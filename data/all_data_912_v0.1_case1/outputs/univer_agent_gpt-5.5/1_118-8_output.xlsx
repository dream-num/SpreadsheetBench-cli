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A8CF847-CD61-4EA2-9000-834E851A108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Admin &amp; Settings" sheetId="1" r:id="rId1"/>
    <sheet name="Appointments" sheetId="2" r:id="rId2"/>
    <sheet name="Customers" sheetId="3" r:id="rId3"/>
    <sheet name="Schedule" sheetId="4" r:id="rId4"/>
    <sheet name="Invoice Template" sheetId="5" r:id="rId5"/>
    <sheet name="Invoice Payments" sheetId="6" r:id="rId6"/>
    <sheet name="Invoice List" sheetId="7" r:id="rId7"/>
    <sheet name="Invoice Items" sheetId="8" r:id="rId8"/>
  </sheets>
  <definedNames>
    <definedName name="Job_Number">OFFSET(Appointments!$I$3,1,,COUNTA(Customers!$I$3:$I$9996)-1,1)</definedName>
    <definedName name="StartDayNumb">Schedule!$B$3</definedName>
    <definedName name="Status">OFFSET('Admin &amp; Settings'!$F$6,,,COUNTA('Admin &amp; Settings'!$F$6:$F$12),1)</definedName>
    <definedName name="vertex42_copyright" hidden="true">"© 2013-2015 Vertex42 LLC"</definedName>
    <definedName name="vertex42_title" hidden="true">"Invoice Tracking Template"</definedName>
    <definedName name="_xlnm.Criteria" localSheetId="0">'Invoice List'!#REF!</definedName>
    <definedName name="Invoice_Total">OFFSET('Invoice List'!$G$2,1,,COUNTA('Invoice List'!$A$2:$A$9989)-1,1)</definedName>
    <definedName name="CalendarHolidays">Schedule!$H$4,Schedule!$J$4,Schedule!$L$4,Schedule!$N$4,Schedule!$P$4,Schedule!$R$4,Schedule!$T$4,Schedule!$H$10,Schedule!$J$10,Schedule!$L$10,Schedule!$N$10,Schedule!$P$10,Schedule!$R$10,Schedule!$T$10,Schedule!$H$16,Schedule!$J$16,Schedule!$L$16,Schedule!$N$16,Schedule!$P$16,Schedule!$R$16,Schedule!$T$16,Schedule!$H$22,Schedule!$J$22,Schedule!$L$22,Schedule!$N$22,Schedule!$P$22,Schedule!$R$22,Schedule!$T$22,Schedule!$H$28,Schedule!$J$28,Schedule!$L$28,Schedule!$N$28,Schedule!$P$28,Schedule!$R$28,Schedule!$T$28,Schedule!$H$34,Schedule!$J$34,Schedule!$L$34</definedName>
    <definedName name="MonthStart">Schedule!$B$4</definedName>
    <definedName name="_xlnm._FilterDatabase" localSheetId="0" hidden="true">Appointments!$A$3:$I$14</definedName>
    <definedName name="CalendarFields">Schedule!$G$5:$S$9,Schedule!$G$11:$S$15,Schedule!$G$17:$S$21,Schedule!$G$23:$S$27,Schedule!$G$29:$S$33,Schedule!$G$35:$S$39</definedName>
    <definedName name="Duration">'Admin &amp; Settings'!$N$6:$N$53</definedName>
    <definedName name="Invoice_Balance">OFFSET('Invoice List'!#REF!,1,,COUNTA('Invoice List'!$A$2:$A$9989)-1,1)</definedName>
    <definedName name="Slicer_Customer">#N/A</definedName>
    <definedName name="TotalOverdue">'Invoice List'!#REF!</definedName>
    <definedName name="vertex42_id" hidden="true">"invoice-tracker.xlsx"</definedName>
    <definedName name="_xlnm.Criteria" localSheetId="0">Appointments!$N$2:$N$3</definedName>
    <definedName name="_xlnm.Criteria" localSheetId="0">'Invoice Items'!#REF!</definedName>
    <definedName name="Unlocked_Range">'Invoice Template'!$D$18:$I$27,'Invoice Template'!#REF!,'Invoice Template'!$O$4:$O$6,'Invoice Template'!$J$33,'Invoice Template'!$D$30</definedName>
    <definedName name="Appt_ID">OFFSET(Appointments!$A$3,1,,COUNTA(Appointments!$A$3:$A$99964)-1,1)</definedName>
    <definedName name="Times">'Admin &amp; Settings'!$M$6:$M$74</definedName>
    <definedName name="CURRENCY_CELLS" localSheetId="0">'Invoice Payments'!$G$16:$I$23,'Invoice Payments'!$I$5,'Invoice Payments'!$I$8,'Invoice Payments'!$F$6,'Invoice Payments'!$D$6,'Invoice Payments'!$M$6:$M$9</definedName>
    <definedName name="Invoice_CustName">OFFSET('Invoice List'!#REF!,1,,COUNTA('Invoice List'!$A$2:$A$9989)-1,1)</definedName>
    <definedName name="Invoice_TotPaid">OFFSET('Invoice List'!#REF!,1,,COUNTA('Invoice List'!$A$2:$A$9989)-1,1)</definedName>
    <definedName name="_xlnm.Print_Area" localSheetId="0">'Invoice Template'!$D$2:$J$36</definedName>
    <definedName name="_xlnm._FilterDatabase" localSheetId="0" hidden="true">'Invoice List'!$A$2:$E$3</definedName>
    <definedName name="CalendarWeekdays">Schedule!$G$3:$Q$3,Schedule!$S$3</definedName>
    <definedName name="CalendarDays">Schedule!$G$4,Schedule!$I$4,Schedule!$K$4,Schedule!$M$4,Schedule!$O$4,Schedule!$Q$4,Schedule!$S$4,Schedule!$G$10,Schedule!$I$10,Schedule!$K$10,Schedule!$M$10,Schedule!$O$10,Schedule!$Q$10,Schedule!$S$10,Schedule!$G$16,Schedule!$I$16,Schedule!$K$16,Schedule!$M$16,Schedule!$O$16,Schedule!$Q$16,Schedule!$S$16,Schedule!$G$22,Schedule!$I$22,Schedule!$K$22,Schedule!$M$22,Schedule!$O$22,Schedule!$Q$22,Schedule!$S$22,Schedule!$G$28,Schedule!$I$28,Schedule!$K$28,Schedule!$M$28,Schedule!$O$28,Schedule!$Q$28,Schedule!$S$28,Schedule!$G$34,Schedule!$I$34,Schedule!$K$34,Schedule!$M$34</definedName>
    <definedName name="StartDay">'Admin &amp; Settings'!$D$5</definedName>
    <definedName name="TotalDue">'Invoice List'!#REF!</definedName>
    <definedName name="_xlnm.Extract" localSheetId="0">Appointments!$R$2:$Z$2</definedName>
    <definedName name="_xlnm._FilterDatabase" localSheetId="0" hidden="true">'Invoice Items'!$A$2:$G$4</definedName>
    <definedName name="ApptDate_Results">OFFSET(Appointments!$U$2,1,,COUNTA(Appointments!$U$2:$U$9965)-1,1)</definedName>
    <definedName name="Slicer_Status">#N/A</definedName>
    <definedName name="Weekdays">'Admin &amp; Settings'!$C$6:$C$12</definedName>
    <definedName name="Years">Schedule!$B$18:$B$26</definedName>
    <definedName name="_xlnm.Extract" localSheetId="0">'Invoice List'!#REF!</definedName>
    <definedName name="Invoice_DueDate">OFFSET('Invoice List'!$E$2,1,,COUNTA('Invoice List'!$A$2:$A$9989)-1,1)</definedName>
    <definedName name="Invoice_ID">OFFSET('Invoice List'!$A$2,1,,COUNTA('Invoice List'!$A$2:$A$9989)-1,1)</definedName>
    <definedName name="ContTypes">OFFSET('Admin &amp; Settings'!$I$5,,,COUNTA('Admin &amp; Settings'!$I$5:$I$12),1)</definedName>
    <definedName name="Invoice_DaysOver">OFFSET('Invoice List'!#REF!,1,,COUNTA('Invoice List'!$A$2:$A$9989)-1,1)</definedName>
    <definedName name="Slicer_Past_Due_Age">#N/A</definedName>
    <definedName name="TD">'Invoice Payments'!$C$2</definedName>
    <definedName name="valuevx">42.314159</definedName>
    <definedName name="_xlnm.Extract" localSheetId="0">'Invoice Items'!#REF!</definedName>
    <definedName name="Cont_ID">OFFSET(Customers!$A$3,1,,COUNTA(Customers!$A$3:$A$9996)-1,1)</definedName>
    <definedName name="Cont_Name">OFFSET(Customers!$B$3,1,,COUNTA(Customers!$A$3:$A$9996)-1,1)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4"/>
  <c r="B13" i="4"/>
  <c r="G4" i="4"/>
  <c r="P4" i="4"/>
  <c r="O4" i="4"/>
  <c r="B4" i="4"/>
  <c r="L4" i="4"/>
  <c r="T4" i="4"/>
  <c r="H4" i="4"/>
  <c r="S4" i="4"/>
  <c r="I4" i="4"/>
  <c r="J4" i="4"/>
  <c r="R4" i="4"/>
  <c r="N4" i="4"/>
  <c r="Q4" i="4"/>
  <c r="M4" i="4"/>
  <c r="K4" i="4"/>
  <c r="B14" i="4"/>
  <c r="D31" i="4"/>
  <c r="E8" i="4"/>
  <c r="B7" i="4"/>
  <c r="S3" i="4"/>
  <c r="I3" i="4"/>
  <c r="B3" i="4"/>
  <c r="M3" i="4"/>
  <c r="G3" i="4"/>
  <c r="Q3" i="4"/>
  <c r="K3" i="4"/>
  <c r="O3" i="4"/>
  <c r="D28" i="4"/>
  <c r="J28" i="4"/>
  <c r="H28" i="4"/>
  <c r="I28" i="4"/>
  <c r="M28" i="4"/>
  <c r="L28" i="4"/>
  <c r="O28" i="4"/>
  <c r="P28" i="4"/>
  <c r="G28" i="4"/>
  <c r="T28" i="4"/>
  <c r="K28" i="4"/>
  <c r="S28" i="4"/>
  <c r="R28" i="4"/>
  <c r="Q28" i="4"/>
  <c r="N28" i="4"/>
  <c r="B6" i="4"/>
  <c r="K34" i="4"/>
  <c r="M34" i="4"/>
  <c r="G34" i="4"/>
  <c r="J34" i="4"/>
  <c r="O34" i="4"/>
  <c r="Q34" i="4"/>
  <c r="H34" i="4"/>
  <c r="L34" i="4"/>
  <c r="I34" i="4"/>
  <c r="S34" i="4"/>
  <c r="R16" i="4"/>
  <c r="O16" i="4"/>
  <c r="S16" i="4"/>
  <c r="N16" i="4"/>
  <c r="P16" i="4"/>
  <c r="M16" i="4"/>
  <c r="H16" i="4"/>
  <c r="Q16" i="4"/>
  <c r="J16" i="4"/>
  <c r="L16" i="4"/>
  <c r="T16" i="4"/>
  <c r="I16" i="4"/>
  <c r="K16" i="4"/>
  <c r="G16" i="4"/>
  <c r="B11" i="4"/>
  <c r="D26" i="4"/>
  <c r="D29" i="4"/>
  <c r="B9" i="4"/>
  <c r="R10" i="4"/>
  <c r="M10" i="4"/>
  <c r="H10" i="4"/>
  <c r="I10" i="4"/>
  <c r="Q10" i="4"/>
  <c r="N10" i="4"/>
  <c r="P10" i="4"/>
  <c r="O10" i="4"/>
  <c r="K10" i="4"/>
  <c r="J10" i="4"/>
  <c r="L10" i="4"/>
  <c r="T10" i="4"/>
  <c r="B10" i="4"/>
  <c r="G10" i="4"/>
  <c r="S10" i="4"/>
  <c r="D27" i="4"/>
  <c r="D30" i="4"/>
  <c r="N22" i="4"/>
  <c r="H22" i="4"/>
  <c r="T22" i="4"/>
  <c r="I22" i="4"/>
  <c r="Q22" i="4"/>
  <c r="P22" i="4"/>
  <c r="L22" i="4"/>
  <c r="S22" i="4"/>
  <c r="M22" i="4"/>
  <c r="G22" i="4"/>
  <c r="K22" i="4"/>
  <c r="R22" i="4"/>
  <c r="J22" i="4"/>
  <c r="O22" i="4"/>
  <c r="N3" i="2"/>
  <c r="O3" i="2"/>
  <c r="J32" i="5"/>
  <c r="D11" i="5"/>
  <c r="J19" i="5"/>
  <c r="D1" i="5"/>
  <c r="J21" i="5"/>
  <c r="D12" i="5"/>
  <c r="J30" i="5"/>
  <c r="D15" i="5"/>
  <c r="F13" i="5"/>
  <c r="E13" i="5"/>
  <c r="D13" i="5"/>
  <c r="F6" i="5"/>
  <c r="D6" i="5"/>
  <c r="E6" i="5"/>
  <c r="J20" i="5"/>
  <c r="J26" i="5"/>
  <c r="J18" i="5"/>
  <c r="D4" i="5"/>
  <c r="J31" i="5"/>
  <c r="D8" i="5"/>
  <c r="O8" i="5"/>
  <c r="O7" i="5"/>
  <c r="D7" i="5"/>
  <c r="J23" i="5"/>
  <c r="D5" i="5"/>
  <c r="D14" i="5"/>
  <c r="J34" i="5"/>
  <c r="J27" i="5"/>
  <c r="J25" i="5"/>
  <c r="J24" i="5"/>
  <c r="J22" i="5"/>
  <c r="J16" i="6"/>
  <c r="K16" i="6"/>
  <c r="L16" i="6"/>
  <c r="I16" i="6"/>
  <c r="M7" i="6"/>
  <c r="L7" i="6"/>
  <c r="L23" i="6"/>
  <c r="I23" i="6"/>
  <c r="K23" i="6"/>
  <c r="J23" i="6"/>
  <c r="L9" i="6"/>
  <c r="M9" i="6"/>
  <c r="K19" i="6"/>
  <c r="I19" i="6"/>
  <c r="L19" i="6"/>
  <c r="J19" i="6"/>
  <c r="J20" i="6"/>
  <c r="I20" i="6"/>
  <c r="L20" i="6"/>
  <c r="K20" i="6"/>
  <c r="C2" i="6"/>
  <c r="L18" i="6"/>
  <c r="K18" i="6"/>
  <c r="J18" i="6"/>
  <c r="I18" i="6"/>
  <c r="M6" i="6"/>
  <c r="F6" i="6"/>
  <c r="L6" i="6"/>
  <c r="D6" i="6"/>
  <c r="I17" i="6"/>
  <c r="K17" i="6"/>
  <c r="J17" i="6"/>
  <c r="L17" i="6"/>
  <c r="L22" i="6"/>
  <c r="K22" i="6"/>
  <c r="J22" i="6"/>
  <c r="I22" i="6"/>
  <c r="M8" i="6"/>
  <c r="I8" i="6"/>
  <c r="L8" i="6"/>
  <c r="D5" i="6"/>
  <c r="I5" i="6"/>
  <c r="F5" i="6"/>
  <c r="K21" i="6"/>
  <c r="L21" i="6"/>
  <c r="J21" i="6"/>
  <c r="I21" i="6"/>
  <c r="M68" i="1"/>
  <c r="U6" i="1"/>
  <c r="U26" i="1"/>
  <c r="M26" i="1"/>
  <c r="U38" i="1"/>
  <c r="M38" i="1"/>
  <c r="M71" i="1"/>
  <c r="U25" i="1"/>
  <c r="M25" i="1"/>
  <c r="U49" i="1"/>
  <c r="M49" i="1"/>
  <c r="U22" i="1"/>
  <c r="M22" i="1"/>
  <c r="M74" i="1"/>
  <c r="U64" i="1"/>
  <c r="M64" i="1"/>
  <c r="U36" i="1"/>
  <c r="M36" i="1"/>
  <c r="M67" i="1"/>
  <c r="U57" i="1"/>
  <c r="M57" i="1"/>
  <c r="M63" i="1"/>
  <c r="U63" i="1"/>
  <c r="U24" i="1"/>
  <c r="M24" i="1"/>
  <c r="M70" i="1"/>
  <c r="U48" i="1"/>
  <c r="M48" i="1"/>
  <c r="U60" i="1"/>
  <c r="M60" i="1"/>
  <c r="U21" i="1"/>
  <c r="M21" i="1"/>
  <c r="U59" i="1"/>
  <c r="M59" i="1"/>
  <c r="U56" i="1"/>
  <c r="M56" i="1"/>
  <c r="U40" i="1"/>
  <c r="M40" i="1"/>
  <c r="U28" i="1"/>
  <c r="M28" i="1"/>
  <c r="U52" i="1"/>
  <c r="M52" i="1"/>
  <c r="U65" i="1"/>
  <c r="M65" i="1"/>
  <c r="U10" i="1"/>
  <c r="M10" i="1"/>
  <c r="U23" i="1"/>
  <c r="M23" i="1"/>
  <c r="M29" i="1"/>
  <c r="U29" i="1"/>
  <c r="U19" i="1"/>
  <c r="M19" i="1"/>
  <c r="U14" i="1"/>
  <c r="M14" i="1"/>
  <c r="U62" i="1"/>
  <c r="M62" i="1"/>
  <c r="U30" i="1"/>
  <c r="M30" i="1"/>
  <c r="M73" i="1"/>
  <c r="M72" i="1"/>
  <c r="U41" i="1"/>
  <c r="M41" i="1"/>
  <c r="U17" i="1"/>
  <c r="M17" i="1"/>
  <c r="U16" i="1"/>
  <c r="M16" i="1"/>
  <c r="U44" i="1"/>
  <c r="M44" i="1"/>
  <c r="U46" i="1"/>
  <c r="M46" i="1"/>
  <c r="M47" i="1"/>
  <c r="U47" i="1"/>
  <c r="U58" i="1"/>
  <c r="M58" i="1"/>
  <c r="U8" i="1"/>
  <c r="M8" i="1"/>
  <c r="U35" i="1"/>
  <c r="M35" i="1"/>
  <c r="U50" i="1"/>
  <c r="M50" i="1"/>
  <c r="M15" i="1"/>
  <c r="U15" i="1"/>
  <c r="U43" i="1"/>
  <c r="M43" i="1"/>
  <c r="U33" i="1"/>
  <c r="M33" i="1"/>
  <c r="U53" i="1"/>
  <c r="M53" i="1"/>
  <c r="U42" i="1"/>
  <c r="M42" i="1"/>
  <c r="U55" i="1"/>
  <c r="M55" i="1"/>
  <c r="U39" i="1"/>
  <c r="M39" i="1"/>
  <c r="U20" i="1"/>
  <c r="M20" i="1"/>
  <c r="U51" i="1"/>
  <c r="M51" i="1"/>
  <c r="U5" i="1"/>
  <c r="U13" i="1"/>
  <c r="M13" i="1"/>
  <c r="U34" i="1"/>
  <c r="M34" i="1"/>
  <c r="M11" i="1"/>
  <c r="U11" i="1"/>
  <c r="U27" i="1"/>
  <c r="M27" i="1"/>
  <c r="U54" i="1"/>
  <c r="M54" i="1"/>
  <c r="U45" i="1"/>
  <c r="M45" i="1"/>
  <c r="U32" i="1"/>
  <c r="M32" i="1"/>
  <c r="U37" i="1"/>
  <c r="M37" i="1"/>
  <c r="M9" i="1"/>
  <c r="U9" i="1"/>
  <c r="M69" i="1"/>
  <c r="U61" i="1"/>
  <c r="M61" i="1"/>
  <c r="M31" i="1"/>
  <c r="U31" i="1"/>
  <c r="U66" i="1"/>
  <c r="M66" i="1"/>
  <c r="U18" i="1"/>
  <c r="M18" i="1"/>
  <c r="U12" i="1"/>
  <c r="M12" i="1"/>
  <c r="U7" i="1"/>
  <c r="M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-</author>
  </authors>
  <commentList>
    <comment ref="U19" authorId="0" shapeId="0" xr:uid="{00521D0C-5F7D-4010-BE18-68E0BD54F8A1}">
      <text>
        <r>
          <rPr>
            <sz val="9"/>
            <color indexed="81"/>
            <rFont val="Tahoma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Easter holiday is always the first Sunday which after the first ecclesiastical full moon that occurs on or after March 21 </t>
        </r>
      </text>
    </comment>
  </commentList>
</comments>
</file>

<file path=xl/sharedStrings.xml><?xml version="1.0" encoding="utf-8"?>
<sst xmlns="http://schemas.openxmlformats.org/spreadsheetml/2006/main" count="437" uniqueCount="430">
  <si>
    <r>
      <rPr>
        <rFont val="Bookman Old Style"/>
        <sz val="26.00"/>
        <b/>
        <color rgb="FF14676c"/>
        <family val="2"/>
      </rPr>
      <t>ADMIN &amp; SETTINGS</t>
    </r>
  </si>
  <si>
    <r>
      <rPr>
        <rFont val="Bookman Old Style"/>
        <sz val="10.00"/>
        <b/>
        <family val="2"/>
      </rPr>
      <t>SCHEDULING</t>
    </r>
  </si>
  <si>
    <r>
      <rPr>
        <rFont val="Bookman Old Style"/>
        <sz val="10.00"/>
        <b/>
        <family val="2"/>
      </rPr>
      <t>APPOINTMENT STATUS</t>
    </r>
  </si>
  <si>
    <r>
      <rPr>
        <rFont val="Bookman Old Style"/>
        <sz val="10.00"/>
        <b/>
        <family val="2"/>
      </rPr>
      <t>CONTACT TYPES</t>
    </r>
  </si>
  <si>
    <r>
      <rPr>
        <rFont val="Bookman Old Style"/>
        <sz val="10.00"/>
        <b/>
        <family val="2"/>
      </rPr>
      <t>TIME &amp; DURATION</t>
    </r>
  </si>
  <si>
    <r>
      <rPr>
        <rFont val="Bookman Old Style"/>
        <sz val="10.00"/>
        <b/>
        <family val="2"/>
      </rPr>
      <t>Holidays</t>
    </r>
  </si>
  <si>
    <r>
      <rPr>
        <rFont val="Bookman Old Style"/>
        <sz val="10.00"/>
        <b/>
        <family val="2"/>
      </rPr>
      <t xml:space="preserve">Month </t>
    </r>
  </si>
  <si>
    <r>
      <rPr>
        <rFont val="Bookman Old Style"/>
        <sz val="10.00"/>
        <b/>
        <family val="2"/>
      </rPr>
      <t>Day</t>
    </r>
  </si>
  <si>
    <r>
      <rPr>
        <rFont val="Bookman Old Style"/>
        <sz val="10.00"/>
        <b/>
        <family val="2"/>
      </rPr>
      <t>Week</t>
    </r>
  </si>
  <si>
    <r>
      <rPr>
        <rFont val="Bookman Old Style"/>
        <sz val="10.00"/>
        <b/>
        <family val="2"/>
      </rPr>
      <t>Weekday</t>
    </r>
  </si>
  <si>
    <r>
      <rPr>
        <rFont val="Bookman Old Style"/>
        <sz val="10.00"/>
        <b/>
        <family val="2"/>
      </rPr>
      <t>Date</t>
    </r>
  </si>
  <si>
    <r>
      <rPr>
        <rFont val="Bookman Old Style"/>
        <sz val="10.00"/>
        <b/>
        <family val="2"/>
      </rPr>
      <t>When / Notes</t>
    </r>
  </si>
  <si>
    <r>
      <rPr>
        <rFont val="Bookman Old Style"/>
        <sz val="10.00"/>
        <color rgb="FF000000"/>
        <family val="2"/>
      </rPr>
      <t>Weekday Start</t>
    </r>
  </si>
  <si>
    <r>
      <rPr>
        <rFont val="Bookman Old Style"/>
        <sz val="10.00"/>
        <color rgb="FF000000"/>
        <family val="2"/>
      </rPr>
      <t>Sunday</t>
    </r>
  </si>
  <si>
    <r>
      <rPr>
        <rFont val="Bookman Old Style"/>
        <sz val="10.00"/>
        <b/>
        <color rgb="FF1a2e3a"/>
        <family val="2"/>
      </rPr>
      <t>Status</t>
    </r>
  </si>
  <si>
    <r>
      <rPr>
        <rFont val="Bookman Old Style"/>
        <sz val="10.00"/>
        <b/>
        <color rgb="FF1a2e3a"/>
        <family val="2"/>
      </rPr>
      <t>Color</t>
    </r>
  </si>
  <si>
    <r>
      <rPr>
        <rFont val="Bookman Old Style"/>
        <sz val="10.00"/>
        <color rgb="FF000000"/>
        <family val="2"/>
      </rPr>
      <t>Prospect</t>
    </r>
  </si>
  <si>
    <r>
      <rPr>
        <rFont val="Bookman Old Style"/>
        <sz val="10.00"/>
        <b/>
        <color rgb="FF1a2e3a"/>
        <family val="2"/>
      </rPr>
      <t>Time</t>
    </r>
  </si>
  <si>
    <r>
      <rPr>
        <rFont val="Bookman Old Style"/>
        <sz val="10.00"/>
        <b/>
        <color rgb="FF1a2e3a"/>
        <family val="2"/>
      </rPr>
      <t>Duration</t>
    </r>
  </si>
  <si>
    <r>
      <rPr>
        <rFont val="Bookman Old Style"/>
        <sz val="10.00"/>
        <family val="2"/>
      </rPr>
      <t>ML King Day</t>
    </r>
  </si>
  <si>
    <r>
      <rPr>
        <rFont val="Bookman Old Style"/>
        <sz val="10.00"/>
        <color rgb="FF000000"/>
        <family val="2"/>
      </rPr>
      <t>January 1</t>
    </r>
  </si>
  <si>
    <r>
      <rPr>
        <rFont val="Bookman Old Style"/>
        <sz val="10.00"/>
        <color rgb="FF000000"/>
        <family val="2"/>
      </rPr>
      <t>Monday</t>
    </r>
  </si>
  <si>
    <t>ü</t>
  </si>
  <si>
    <r>
      <rPr>
        <rFont val="Bookman Old Style"/>
        <sz val="10.00"/>
        <color rgb="FF000000"/>
        <family val="2"/>
      </rPr>
      <t>Tentative</t>
    </r>
  </si>
  <si>
    <r>
      <rPr>
        <rFont val="Bookman Old Style"/>
        <sz val="10.00"/>
        <color rgb="FF000000"/>
        <family val="2"/>
      </rPr>
      <t>Customer</t>
    </r>
  </si>
  <si>
    <r>
      <rPr>
        <rFont val="Bookman Old Style"/>
        <sz val="10.00"/>
        <family val="2"/>
      </rPr>
      <t>Presidents' Day</t>
    </r>
  </si>
  <si>
    <r>
      <rPr>
        <rFont val="Bookman Old Style"/>
        <sz val="10.00"/>
        <color rgb="FF000000"/>
        <family val="2"/>
      </rPr>
      <t>The 3rd Monday in January</t>
    </r>
  </si>
  <si>
    <r>
      <rPr>
        <rFont val="Bookman Old Style"/>
        <sz val="10.00"/>
        <color rgb="FF000000"/>
        <family val="2"/>
      </rPr>
      <t>Tuesday</t>
    </r>
  </si>
  <si>
    <r>
      <rPr>
        <rFont val="Bookman Old Style"/>
        <sz val="10.00"/>
        <color rgb="FF000000"/>
        <family val="2"/>
      </rPr>
      <t>Confirmed</t>
    </r>
  </si>
  <si>
    <r>
      <rPr>
        <rFont val="Bookman Old Style"/>
        <sz val="10.00"/>
        <color rgb="FF000000"/>
        <family val="2"/>
      </rPr>
      <t>Lead</t>
    </r>
  </si>
  <si>
    <r>
      <rPr>
        <rFont val="Bookman Old Style"/>
        <sz val="10.00"/>
        <family val="2"/>
      </rPr>
      <t>Mother's Day</t>
    </r>
  </si>
  <si>
    <r>
      <rPr>
        <rFont val="Bookman Old Style"/>
        <sz val="10.00"/>
        <color rgb="FF000000"/>
        <family val="2"/>
      </rPr>
      <t>2nd Sunday in May</t>
    </r>
  </si>
  <si>
    <r>
      <rPr>
        <rFont val="Bookman Old Style"/>
        <sz val="10.00"/>
        <color rgb="FF000000"/>
        <family val="2"/>
      </rPr>
      <t>Wednesday</t>
    </r>
  </si>
  <si>
    <r>
      <rPr>
        <rFont val="Bookman Old Style"/>
        <sz val="10.00"/>
        <color rgb="FF000000"/>
        <family val="2"/>
      </rPr>
      <t>Scheduled</t>
    </r>
  </si>
  <si>
    <r>
      <rPr>
        <rFont val="Bookman Old Style"/>
        <sz val="10.00"/>
        <family val="2"/>
      </rPr>
      <t>Armed Forces Day</t>
    </r>
  </si>
  <si>
    <r>
      <rPr>
        <rFont val="Bookman Old Style"/>
        <sz val="10.00"/>
        <color rgb="FF000000"/>
        <family val="2"/>
      </rPr>
      <t>3rd Saturday in May</t>
    </r>
  </si>
  <si>
    <r>
      <rPr>
        <rFont val="Bookman Old Style"/>
        <sz val="10.00"/>
        <color rgb="FF000000"/>
        <family val="2"/>
      </rPr>
      <t>Thursday</t>
    </r>
  </si>
  <si>
    <r>
      <rPr>
        <rFont val="Bookman Old Style"/>
        <sz val="10.00"/>
        <color rgb="FF000000"/>
        <family val="2"/>
      </rPr>
      <t>In Process</t>
    </r>
  </si>
  <si>
    <r>
      <rPr>
        <rFont val="Bookman Old Style"/>
        <sz val="10.00"/>
        <family val="2"/>
      </rPr>
      <t>Father's Day</t>
    </r>
  </si>
  <si>
    <r>
      <rPr>
        <rFont val="Bookman Old Style"/>
        <sz val="10.00"/>
        <color rgb="FF000000"/>
        <family val="2"/>
      </rPr>
      <t>3rd Sunday in June</t>
    </r>
  </si>
  <si>
    <r>
      <rPr>
        <rFont val="Bookman Old Style"/>
        <sz val="10.00"/>
        <color rgb="FF000000"/>
        <family val="2"/>
      </rPr>
      <t>Friday</t>
    </r>
  </si>
  <si>
    <r>
      <rPr>
        <rFont val="Bookman Old Style"/>
        <sz val="10.00"/>
        <color rgb="FF000000"/>
        <family val="2"/>
      </rPr>
      <t>Completed</t>
    </r>
  </si>
  <si>
    <r>
      <rPr>
        <rFont val="Bookman Old Style"/>
        <sz val="10.00"/>
        <family val="2"/>
      </rPr>
      <t>Memorial Day</t>
    </r>
  </si>
  <si>
    <r>
      <rPr>
        <rFont val="Bookman Old Style"/>
        <sz val="10.00"/>
        <color rgb="FF000000"/>
        <family val="2"/>
      </rPr>
      <t>The 3rd Monday in February</t>
    </r>
  </si>
  <si>
    <r>
      <rPr>
        <rFont val="Bookman Old Style"/>
        <sz val="10.00"/>
        <color rgb="FF000000"/>
        <family val="2"/>
      </rPr>
      <t>Saturday</t>
    </r>
  </si>
  <si>
    <r>
      <rPr>
        <rFont val="Bookman Old Style"/>
        <sz val="10.00"/>
        <color rgb="FF000000"/>
        <family val="2"/>
      </rPr>
      <t>Closed</t>
    </r>
  </si>
  <si>
    <r>
      <rPr>
        <rFont val="Bookman Old Style"/>
        <sz val="10.00"/>
        <family val="2"/>
      </rPr>
      <t>Labor Day</t>
    </r>
  </si>
  <si>
    <r>
      <rPr>
        <rFont val="Bookman Old Style"/>
        <sz val="10.00"/>
        <color rgb="FF000000"/>
        <family val="2"/>
      </rPr>
      <t>1st Monday in September</t>
    </r>
  </si>
  <si>
    <r>
      <rPr>
        <rFont val="Bookman Old Style"/>
        <sz val="10.00"/>
        <color rgb="FF000000"/>
        <family val="2"/>
      </rPr>
      <t>Sunday</t>
    </r>
  </si>
  <si>
    <r>
      <rPr>
        <rFont val="Bookman Old Style"/>
        <sz val="10.00"/>
        <family val="2"/>
      </rPr>
      <t>Columbus Day</t>
    </r>
  </si>
  <si>
    <r>
      <rPr>
        <rFont val="Bookman Old Style"/>
        <sz val="10.00"/>
        <color rgb="FF000000"/>
        <family val="2"/>
      </rPr>
      <t>2nd Monday in October</t>
    </r>
  </si>
  <si>
    <r>
      <rPr>
        <rFont val="Bookman Old Style"/>
        <sz val="10.00"/>
        <family val="2"/>
      </rPr>
      <t>Thanksgiving</t>
    </r>
  </si>
  <si>
    <r>
      <rPr>
        <rFont val="Bookman Old Style"/>
        <sz val="10.00"/>
        <color rgb="FF000000"/>
        <family val="2"/>
      </rPr>
      <t>4th Thursday in November</t>
    </r>
  </si>
  <si>
    <r>
      <rPr>
        <rFont val="Bookman Old Style"/>
        <sz val="10.00"/>
        <family val="2"/>
      </rPr>
      <t>Taxes Due</t>
    </r>
  </si>
  <si>
    <r>
      <rPr>
        <rFont val="Bookman Old Style"/>
        <sz val="10.00"/>
        <color rgb="FF000000"/>
        <family val="2"/>
      </rPr>
      <t>Includes the affect of Emancipation Day</t>
    </r>
  </si>
  <si>
    <r>
      <rPr>
        <rFont val="Bookman Old Style"/>
        <sz val="10.00"/>
        <b/>
        <family val="2"/>
      </rPr>
      <t>COMPANY DETAILS</t>
    </r>
  </si>
  <si>
    <r>
      <rPr>
        <rFont val="Bookman Old Style"/>
        <sz val="10.00"/>
        <family val="2"/>
      </rPr>
      <t>Daylight Saving (Spring)</t>
    </r>
  </si>
  <si>
    <r>
      <rPr>
        <rFont val="Bookman Old Style"/>
        <sz val="10.00"/>
        <color rgb="FF000000"/>
        <family val="2"/>
      </rPr>
      <t>2nd Sunday in March</t>
    </r>
  </si>
  <si>
    <r>
      <rPr>
        <rFont val="Bookman Old Style"/>
        <sz val="10.00"/>
        <color rgb="FF000000"/>
        <family val="2"/>
      </rPr>
      <t>Bonified Services LLC</t>
    </r>
  </si>
  <si>
    <r>
      <rPr>
        <rFont val="Bookman Old Style"/>
        <sz val="10.00"/>
        <family val="2"/>
      </rPr>
      <t>Daylight Saving (Fall)</t>
    </r>
  </si>
  <si>
    <r>
      <rPr>
        <rFont val="Bookman Old Style"/>
        <sz val="10.00"/>
        <color rgb="FF000000"/>
        <family val="2"/>
      </rPr>
      <t>1st Sunday in November</t>
    </r>
  </si>
  <si>
    <r>
      <rPr>
        <rFont val="Bookman Old Style"/>
        <sz val="10.00"/>
        <color rgb="FF000000"/>
        <family val="2"/>
      </rPr>
      <t>Street Address</t>
    </r>
  </si>
  <si>
    <r>
      <rPr>
        <rFont val="Bookman Old Style"/>
        <sz val="10.00"/>
        <family val="2"/>
      </rPr>
      <t>Grandparents Day</t>
    </r>
  </si>
  <si>
    <r>
      <rPr>
        <rFont val="Bookman Old Style"/>
        <sz val="10.00"/>
        <color rgb="FF000000"/>
        <family val="2"/>
      </rPr>
      <t>1st Sunday in November after Labor Day</t>
    </r>
  </si>
  <si>
    <r>
      <rPr>
        <rFont val="Bookman Old Style"/>
        <sz val="10.00"/>
        <color rgb="FF000000"/>
        <family val="2"/>
      </rPr>
      <t>City</t>
    </r>
  </si>
  <si>
    <r>
      <rPr>
        <rFont val="Bookman Old Style"/>
        <sz val="10.00"/>
        <color rgb="FF000000"/>
        <family val="2"/>
      </rPr>
      <t>ST</t>
    </r>
  </si>
  <si>
    <r>
      <rPr>
        <rFont val="Bookman Old Style"/>
        <sz val="10.00"/>
        <color rgb="FF000000"/>
        <family val="2"/>
      </rPr>
      <t>Zip Code</t>
    </r>
  </si>
  <si>
    <r>
      <rPr>
        <rFont val="Bookman Old Style"/>
        <sz val="10.00"/>
        <family val="2"/>
      </rPr>
      <t>Admin Assist Day</t>
    </r>
  </si>
  <si>
    <r>
      <rPr>
        <rFont val="Bookman Old Style"/>
        <sz val="10.00"/>
        <color rgb="FF000000"/>
        <family val="2"/>
      </rPr>
      <t>Wednesday of last full week in April</t>
    </r>
  </si>
  <si>
    <r>
      <rPr>
        <rFont val="Bookman Old Style"/>
        <sz val="10.00"/>
        <color rgb="FF000000"/>
        <family val="2"/>
      </rPr>
      <t>Phone Number</t>
    </r>
  </si>
  <si>
    <r>
      <rPr>
        <rFont val="Bookman Old Style"/>
        <sz val="10.00"/>
        <family val="2"/>
      </rPr>
      <t>Easter</t>
    </r>
  </si>
  <si>
    <r>
      <rPr>
        <rFont val="Bookman Old Style"/>
        <sz val="10.00"/>
        <color rgb="FF000000"/>
        <family val="2"/>
      </rPr>
      <t>On or after March 21</t>
    </r>
  </si>
  <si>
    <r>
      <rPr>
        <rFont val="Bookman Old Style"/>
        <sz val="10.00"/>
        <color rgb="FF000000"/>
        <family val="2"/>
      </rPr>
      <t>email address</t>
    </r>
  </si>
  <si>
    <r>
      <rPr>
        <rFont val="Bookman Old Style"/>
        <sz val="10.00"/>
        <family val="2"/>
      </rPr>
      <t>New Year's Day</t>
    </r>
  </si>
  <si>
    <r>
      <rPr>
        <rFont val="Bookman Old Style"/>
        <sz val="10.00"/>
        <family val="2"/>
      </rPr>
      <t>Groundhog Day</t>
    </r>
  </si>
  <si>
    <r>
      <rPr>
        <rFont val="Bookman Old Style"/>
        <sz val="10.00"/>
        <color rgb="FF000000"/>
        <family val="2"/>
      </rPr>
      <t>The 2nd Monday in October</t>
    </r>
  </si>
  <si>
    <r>
      <rPr>
        <rFont val="Bookman Old Style"/>
        <sz val="10.00"/>
        <family val="2"/>
      </rPr>
      <t>Lincoln's B-Day</t>
    </r>
  </si>
  <si>
    <r>
      <rPr>
        <rFont val="Bookman Old Style"/>
        <sz val="11.00"/>
        <color rgb="FF000000"/>
        <family val="2"/>
      </rPr>
      <t>Valentine's Day</t>
    </r>
  </si>
  <si>
    <r>
      <rPr>
        <rFont val="Bookman Old Style"/>
        <sz val="10.00"/>
        <family val="2"/>
      </rPr>
      <t>St. Patrick's Day</t>
    </r>
  </si>
  <si>
    <r>
      <rPr>
        <rFont val="Bookman Old Style"/>
        <sz val="10.00"/>
        <family val="2"/>
      </rPr>
      <t>April Fool's Day</t>
    </r>
  </si>
  <si>
    <r>
      <rPr>
        <rFont val="Bookman Old Style"/>
        <sz val="10.00"/>
        <color rgb="FF000000"/>
        <family val="2"/>
      </rPr>
      <t>November 11</t>
    </r>
  </si>
  <si>
    <r>
      <rPr>
        <rFont val="Bookman Old Style"/>
        <sz val="10.00"/>
        <family val="2"/>
      </rPr>
      <t>Earth Day</t>
    </r>
  </si>
  <si>
    <r>
      <rPr>
        <rFont val="Bookman Old Style"/>
        <sz val="10.00"/>
        <family val="2"/>
      </rPr>
      <t>Cinco de Mayo</t>
    </r>
  </si>
  <si>
    <r>
      <rPr>
        <rFont val="Bookman Old Style"/>
        <sz val="10.00"/>
        <color rgb="FF000000"/>
        <family val="2"/>
      </rPr>
      <t>The 4th Thursday in November</t>
    </r>
  </si>
  <si>
    <r>
      <rPr>
        <rFont val="Bookman Old Style"/>
        <sz val="10.00"/>
        <family val="2"/>
      </rPr>
      <t>Flag Day</t>
    </r>
  </si>
  <si>
    <r>
      <rPr>
        <rFont val="Bookman Old Style"/>
        <sz val="10.00"/>
        <family val="2"/>
      </rPr>
      <t>Juneteenth</t>
    </r>
  </si>
  <si>
    <r>
      <rPr>
        <rFont val="Bookman Old Style"/>
        <sz val="10.00"/>
        <family val="2"/>
      </rPr>
      <t>Independence Day</t>
    </r>
  </si>
  <si>
    <r>
      <rPr>
        <rFont val="Bookman Old Style"/>
        <sz val="10.00"/>
        <color rgb="FF000000"/>
        <family val="2"/>
      </rPr>
      <t>December 25</t>
    </r>
  </si>
  <si>
    <r>
      <rPr>
        <rFont val="Bookman Old Style"/>
        <sz val="10.00"/>
        <family val="2"/>
      </rPr>
      <t>Aviation Day</t>
    </r>
  </si>
  <si>
    <r>
      <rPr>
        <rFont val="Bookman Old Style"/>
        <sz val="10.00"/>
        <family val="2"/>
      </rPr>
      <t>Patriot Day</t>
    </r>
  </si>
  <si>
    <r>
      <rPr>
        <rFont val="Bookman Old Style"/>
        <sz val="10.00"/>
        <family val="2"/>
      </rPr>
      <t>Constitution Day</t>
    </r>
  </si>
  <si>
    <r>
      <rPr>
        <rFont val="Bookman Old Style"/>
        <sz val="10.00"/>
        <family val="2"/>
      </rPr>
      <t>Boss's Day</t>
    </r>
  </si>
  <si>
    <r>
      <rPr>
        <rFont val="Bookman Old Style"/>
        <sz val="10.00"/>
        <family val="2"/>
      </rPr>
      <t>United Nations Day</t>
    </r>
  </si>
  <si>
    <r>
      <rPr>
        <rFont val="Bookman Old Style"/>
        <sz val="10.00"/>
        <family val="2"/>
      </rPr>
      <t>Halloween</t>
    </r>
  </si>
  <si>
    <r>
      <rPr>
        <rFont val="Bookman Old Style"/>
        <sz val="10.00"/>
        <family val="2"/>
      </rPr>
      <t>Veterans Day</t>
    </r>
  </si>
  <si>
    <r>
      <rPr>
        <rFont val="Bookman Old Style"/>
        <sz val="10.00"/>
        <family val="2"/>
      </rPr>
      <t>Pearl Harbor</t>
    </r>
  </si>
  <si>
    <r>
      <rPr>
        <rFont val="Bookman Old Style"/>
        <sz val="10.00"/>
        <family val="2"/>
      </rPr>
      <t>Christmas Eve</t>
    </r>
  </si>
  <si>
    <r>
      <rPr>
        <rFont val="Bookman Old Style"/>
        <sz val="10.00"/>
        <family val="2"/>
      </rPr>
      <t>Christmas Day</t>
    </r>
  </si>
  <si>
    <r>
      <rPr>
        <rFont val="Bookman Old Style"/>
        <sz val="10.00"/>
        <family val="2"/>
      </rPr>
      <t>Kwanzaa begins</t>
    </r>
  </si>
  <si>
    <r>
      <rPr>
        <rFont val="Bookman Old Style"/>
        <sz val="10.00"/>
        <family val="2"/>
      </rPr>
      <t>Bill's Birthday</t>
    </r>
  </si>
  <si>
    <r>
      <rPr>
        <rFont val="Bookman Old Style"/>
        <sz val="10.00"/>
        <family val="2"/>
      </rPr>
      <t>Adchara's Birthday</t>
    </r>
  </si>
  <si>
    <r>
      <rPr>
        <rFont val="Bookman Old Style"/>
        <sz val="10.00"/>
        <family val="2"/>
      </rPr>
      <t>Jessica's Birthday</t>
    </r>
  </si>
  <si>
    <r>
      <rPr>
        <rFont val="Bookman Old Style"/>
        <sz val="10.00"/>
        <family val="2"/>
      </rPr>
      <t>Mom's Birthday</t>
    </r>
  </si>
  <si>
    <r>
      <rPr>
        <rFont val="Bookman Old Style"/>
        <sz val="10.00"/>
        <family val="2"/>
      </rPr>
      <t>Maryanne's Birthday</t>
    </r>
  </si>
  <si>
    <r>
      <rPr>
        <rFont val="Bookman Old Style"/>
        <sz val="10.00"/>
        <family val="2"/>
      </rPr>
      <t>Jake's Birthday</t>
    </r>
  </si>
  <si>
    <r>
      <rPr>
        <rFont val="Bookman Old Style"/>
        <sz val="10.00"/>
        <family val="2"/>
      </rPr>
      <t>Ken's Birthday</t>
    </r>
  </si>
  <si>
    <r>
      <rPr>
        <rFont val="Bookman Old Style"/>
        <sz val="10.00"/>
        <family val="2"/>
      </rPr>
      <t>Karl's Birthday</t>
    </r>
  </si>
  <si>
    <r>
      <rPr>
        <rFont val="Bookman Old Style"/>
        <sz val="10.00"/>
        <color rgb="FF000000"/>
        <family val="2"/>
      </rPr>
      <t>APPOINTMENT DATABASE</t>
    </r>
  </si>
  <si>
    <r>
      <rPr>
        <rFont val="Bookman Old Style"/>
        <sz val="10.00"/>
        <color rgb="FF000000"/>
        <family val="2"/>
      </rPr>
      <t>CRITERIA</t>
    </r>
  </si>
  <si>
    <r>
      <rPr>
        <rFont val="Bookman Old Style"/>
        <sz val="10.00"/>
        <color rgb="FF000000"/>
        <family val="2"/>
      </rPr>
      <t>RESULTS</t>
    </r>
  </si>
  <si>
    <r>
      <rPr>
        <rFont val="Bookman Old Style"/>
        <sz val="10.00"/>
        <color rgb="FF000000"/>
        <family val="2"/>
      </rPr>
      <t>Appt. Date</t>
    </r>
  </si>
  <si>
    <r>
      <rPr>
        <rFont val="Bookman Old Style"/>
        <sz val="10.00"/>
        <color rgb="FF000000"/>
        <family val="2"/>
      </rPr>
      <t>Appt. Date</t>
    </r>
  </si>
  <si>
    <r>
      <rPr>
        <rFont val="Bookman Old Style"/>
        <sz val="10.00"/>
        <color rgb="FF000000"/>
        <family val="2"/>
      </rPr>
      <t>Appt. ID</t>
    </r>
  </si>
  <si>
    <r>
      <rPr>
        <rFont val="Bookman Old Style"/>
        <sz val="10.00"/>
        <color rgb="FF000000"/>
        <family val="2"/>
      </rPr>
      <t>Cont. ID</t>
    </r>
  </si>
  <si>
    <r>
      <rPr>
        <rFont val="Bookman Old Style"/>
        <sz val="10.00"/>
        <color rgb="FF000000"/>
        <family val="2"/>
      </rPr>
      <t>Contact</t>
    </r>
  </si>
  <si>
    <r>
      <rPr>
        <rFont val="Bookman Old Style"/>
        <sz val="10.00"/>
        <color rgb="FF000000"/>
        <family val="2"/>
      </rPr>
      <t>Appt. Date</t>
    </r>
  </si>
  <si>
    <r>
      <rPr>
        <rFont val="Bookman Old Style"/>
        <sz val="10.00"/>
        <color rgb="FF000000"/>
        <family val="2"/>
      </rPr>
      <t>Appt. Start</t>
    </r>
  </si>
  <si>
    <r>
      <rPr>
        <rFont val="Bookman Old Style"/>
        <sz val="10.00"/>
        <color rgb="FF000000"/>
        <family val="2"/>
      </rPr>
      <t>Appt. End</t>
    </r>
  </si>
  <si>
    <r>
      <rPr>
        <rFont val="Bookman Old Style"/>
        <sz val="10.00"/>
        <color rgb="FF000000"/>
        <family val="2"/>
      </rPr>
      <t>Duration</t>
    </r>
  </si>
  <si>
    <r>
      <rPr>
        <rFont val="Bookman Old Style"/>
        <sz val="10.00"/>
        <color rgb="FF000000"/>
        <family val="2"/>
      </rPr>
      <t>Status</t>
    </r>
  </si>
  <si>
    <r>
      <rPr>
        <rFont val="Bookman Old Style"/>
        <sz val="10.00"/>
        <color rgb="FF000000"/>
        <family val="2"/>
      </rPr>
      <t>Job #</t>
    </r>
  </si>
  <si>
    <r>
      <rPr>
        <rFont val="Bookman Old Style"/>
        <sz val="10.00"/>
        <color rgb="FF000000"/>
        <family val="2"/>
      </rPr>
      <t>Appt. ID</t>
    </r>
  </si>
  <si>
    <r>
      <rPr>
        <rFont val="Bookman Old Style"/>
        <sz val="10.00"/>
        <color rgb="FF000000"/>
        <family val="2"/>
      </rPr>
      <t>Cont. ID</t>
    </r>
  </si>
  <si>
    <r>
      <rPr>
        <rFont val="Bookman Old Style"/>
        <sz val="10.00"/>
        <color rgb="FF000000"/>
        <family val="2"/>
      </rPr>
      <t>Contact</t>
    </r>
  </si>
  <si>
    <r>
      <rPr>
        <rFont val="Bookman Old Style"/>
        <sz val="10.00"/>
        <color rgb="FF000000"/>
        <family val="2"/>
      </rPr>
      <t>Appt. Date</t>
    </r>
  </si>
  <si>
    <r>
      <rPr>
        <rFont val="Bookman Old Style"/>
        <sz val="10.00"/>
        <color rgb="FF000000"/>
        <family val="2"/>
      </rPr>
      <t>Appt. Start</t>
    </r>
  </si>
  <si>
    <r>
      <rPr>
        <rFont val="Bookman Old Style"/>
        <sz val="10.00"/>
        <color rgb="FF000000"/>
        <family val="2"/>
      </rPr>
      <t>Appt. End</t>
    </r>
  </si>
  <si>
    <r>
      <rPr>
        <rFont val="Bookman Old Style"/>
        <sz val="10.00"/>
        <color rgb="FF000000"/>
        <family val="2"/>
      </rPr>
      <t>Duration</t>
    </r>
  </si>
  <si>
    <r>
      <rPr>
        <rFont val="Bookman Old Style"/>
        <sz val="10.00"/>
        <color rgb="FF000000"/>
        <family val="2"/>
      </rPr>
      <t>Status</t>
    </r>
  </si>
  <si>
    <r>
      <rPr>
        <rFont val="Bookman Old Style"/>
        <sz val="10.00"/>
        <color rgb="FF000000"/>
        <family val="2"/>
      </rPr>
      <t>Job #</t>
    </r>
  </si>
  <si>
    <t>&gt;=45047</t>
  </si>
  <si>
    <t>&lt;=45077</t>
  </si>
  <si>
    <r>
      <rPr>
        <rFont val="Bookman Old Style"/>
        <sz val="10.00"/>
        <color rgb="FF000000"/>
        <family val="2"/>
      </rPr>
      <t>Fred Fredders</t>
    </r>
  </si>
  <si>
    <r>
      <rPr>
        <rFont val="Bookman Old Style"/>
        <sz val="10.00"/>
        <color rgb="FF000000"/>
        <family val="2"/>
      </rPr>
      <t>Tentative</t>
    </r>
  </si>
  <si>
    <r>
      <rPr>
        <rFont val="Bookman Old Style"/>
        <sz val="10.00"/>
        <color rgb="FF000000"/>
        <family val="2"/>
      </rPr>
      <t>Fred Fredders</t>
    </r>
  </si>
  <si>
    <r>
      <rPr>
        <rFont val="Bookman Old Style"/>
        <sz val="10.00"/>
        <color rgb="FF000000"/>
        <family val="2"/>
      </rPr>
      <t>Tentative</t>
    </r>
  </si>
  <si>
    <r>
      <rPr>
        <rFont val="Bookman Old Style"/>
        <sz val="10.00"/>
        <color rgb="FF000000"/>
        <family val="2"/>
      </rPr>
      <t>Peter Parker</t>
    </r>
  </si>
  <si>
    <r>
      <rPr>
        <rFont val="Bookman Old Style"/>
        <sz val="10.00"/>
        <color rgb="FF000000"/>
        <family val="2"/>
      </rPr>
      <t>Scheduled</t>
    </r>
  </si>
  <si>
    <r>
      <rPr>
        <rFont val="Bookman Old Style"/>
        <sz val="10.00"/>
        <color rgb="FF000000"/>
        <family val="2"/>
      </rPr>
      <t>Peter Parker</t>
    </r>
  </si>
  <si>
    <r>
      <rPr>
        <rFont val="Bookman Old Style"/>
        <sz val="10.00"/>
        <color rgb="FF000000"/>
        <family val="2"/>
      </rPr>
      <t>Scheduled</t>
    </r>
  </si>
  <si>
    <r>
      <rPr>
        <rFont val="Bookman Old Style"/>
        <sz val="10.00"/>
        <color rgb="FF000000"/>
        <family val="2"/>
      </rPr>
      <t>Mary Smith</t>
    </r>
  </si>
  <si>
    <r>
      <rPr>
        <rFont val="Bookman Old Style"/>
        <sz val="10.00"/>
        <color rgb="FF000000"/>
        <family val="2"/>
      </rPr>
      <t>Confirmed</t>
    </r>
  </si>
  <si>
    <r>
      <rPr>
        <rFont val="Bookman Old Style"/>
        <sz val="10.00"/>
        <color rgb="FF000000"/>
        <family val="2"/>
      </rPr>
      <t>Mary Smith</t>
    </r>
  </si>
  <si>
    <r>
      <rPr>
        <rFont val="Bookman Old Style"/>
        <sz val="10.00"/>
        <color rgb="FF000000"/>
        <family val="2"/>
      </rPr>
      <t>Confirmed</t>
    </r>
  </si>
  <si>
    <r>
      <rPr>
        <rFont val="Bookman Old Style"/>
        <sz val="10.00"/>
        <color rgb="FF000000"/>
        <family val="2"/>
      </rPr>
      <t>Mark Mason</t>
    </r>
  </si>
  <si>
    <r>
      <rPr>
        <rFont val="Bookman Old Style"/>
        <sz val="10.00"/>
        <color rgb="FF000000"/>
        <family val="2"/>
      </rPr>
      <t>Scheduled</t>
    </r>
  </si>
  <si>
    <r>
      <rPr>
        <rFont val="Bookman Old Style"/>
        <sz val="10.00"/>
        <color rgb="FF000000"/>
        <family val="2"/>
      </rPr>
      <t>Mark Mason</t>
    </r>
  </si>
  <si>
    <r>
      <rPr>
        <rFont val="Bookman Old Style"/>
        <sz val="10.00"/>
        <color rgb="FF000000"/>
        <family val="2"/>
      </rPr>
      <t>Scheduled</t>
    </r>
  </si>
  <si>
    <r>
      <rPr>
        <rFont val="Bookman Old Style"/>
        <sz val="10.00"/>
        <color rgb="FF000000"/>
        <family val="2"/>
      </rPr>
      <t>Jack Johnson</t>
    </r>
  </si>
  <si>
    <r>
      <rPr>
        <rFont val="Bookman Old Style"/>
        <sz val="10.00"/>
        <color rgb="FF000000"/>
        <family val="2"/>
      </rPr>
      <t>Scheduled</t>
    </r>
  </si>
  <si>
    <r>
      <rPr>
        <rFont val="Bookman Old Style"/>
        <sz val="10.00"/>
        <color rgb="FF000000"/>
        <family val="2"/>
      </rPr>
      <t>Jack Johnson</t>
    </r>
  </si>
  <si>
    <r>
      <rPr>
        <rFont val="Bookman Old Style"/>
        <sz val="10.00"/>
        <color rgb="FF000000"/>
        <family val="2"/>
      </rPr>
      <t>Scheduled</t>
    </r>
  </si>
  <si>
    <r>
      <rPr>
        <rFont val="Bookman Old Style"/>
        <sz val="10.00"/>
        <color rgb="FF000000"/>
        <family val="2"/>
      </rPr>
      <t>Lisa Mathews</t>
    </r>
  </si>
  <si>
    <r>
      <rPr>
        <rFont val="Bookman Old Style"/>
        <sz val="10.00"/>
        <color rgb="FF000000"/>
        <family val="2"/>
      </rPr>
      <t>Tentative</t>
    </r>
  </si>
  <si>
    <r>
      <rPr>
        <rFont val="Bookman Old Style"/>
        <sz val="10.00"/>
        <color rgb="FF000000"/>
        <family val="2"/>
      </rPr>
      <t>Lisa Mathews</t>
    </r>
  </si>
  <si>
    <r>
      <rPr>
        <rFont val="Bookman Old Style"/>
        <sz val="10.00"/>
        <color rgb="FF000000"/>
        <family val="2"/>
      </rPr>
      <t>Tentative</t>
    </r>
  </si>
  <si>
    <r>
      <rPr>
        <rFont val="Bookman Old Style"/>
        <sz val="10.00"/>
        <color rgb="FF000000"/>
        <family val="2"/>
      </rPr>
      <t>Greg Perkins</t>
    </r>
  </si>
  <si>
    <r>
      <rPr>
        <rFont val="Bookman Old Style"/>
        <sz val="10.00"/>
        <color rgb="FF000000"/>
        <family val="2"/>
      </rPr>
      <t>Confirmed</t>
    </r>
  </si>
  <si>
    <r>
      <rPr>
        <rFont val="Bookman Old Style"/>
        <sz val="10.00"/>
        <color rgb="FF000000"/>
        <family val="2"/>
      </rPr>
      <t>Greg Perkins</t>
    </r>
  </si>
  <si>
    <r>
      <rPr>
        <rFont val="Bookman Old Style"/>
        <sz val="10.00"/>
        <color rgb="FF000000"/>
        <family val="2"/>
      </rPr>
      <t>Confirmed</t>
    </r>
  </si>
  <si>
    <r>
      <rPr>
        <rFont val="Bookman Old Style"/>
        <sz val="10.00"/>
        <color rgb="FF000000"/>
        <family val="2"/>
      </rPr>
      <t>Anita Withers</t>
    </r>
  </si>
  <si>
    <r>
      <rPr>
        <rFont val="Bookman Old Style"/>
        <sz val="10.00"/>
        <color rgb="FF000000"/>
        <family val="2"/>
      </rPr>
      <t>Scheduled</t>
    </r>
  </si>
  <si>
    <r>
      <rPr>
        <rFont val="Bookman Old Style"/>
        <sz val="10.00"/>
        <color rgb="FF000000"/>
        <family val="2"/>
      </rPr>
      <t>Anita Withers</t>
    </r>
  </si>
  <si>
    <r>
      <rPr>
        <rFont val="Bookman Old Style"/>
        <sz val="10.00"/>
        <color rgb="FF000000"/>
        <family val="2"/>
      </rPr>
      <t>Scheduled</t>
    </r>
  </si>
  <si>
    <r>
      <rPr>
        <rFont val="Bookman Old Style"/>
        <sz val="10.00"/>
        <color rgb="FF000000"/>
        <family val="2"/>
      </rPr>
      <t>Kay Hopkins</t>
    </r>
  </si>
  <si>
    <r>
      <rPr>
        <rFont val="Bookman Old Style"/>
        <sz val="10.00"/>
        <color rgb="FF000000"/>
        <family val="2"/>
      </rPr>
      <t>Scheduled</t>
    </r>
  </si>
  <si>
    <r>
      <rPr>
        <rFont val="Bookman Old Style"/>
        <sz val="10.00"/>
        <color rgb="FF000000"/>
        <family val="2"/>
      </rPr>
      <t>Kay Hopkins</t>
    </r>
  </si>
  <si>
    <r>
      <rPr>
        <rFont val="Bookman Old Style"/>
        <sz val="10.00"/>
        <color rgb="FF000000"/>
        <family val="2"/>
      </rPr>
      <t>Scheduled</t>
    </r>
  </si>
  <si>
    <r>
      <rPr>
        <rFont val="Bookman Old Style"/>
        <sz val="10.00"/>
        <color rgb="FF000000"/>
        <family val="2"/>
      </rPr>
      <t>Mark Mason</t>
    </r>
  </si>
  <si>
    <r>
      <rPr>
        <rFont val="Bookman Old Style"/>
        <sz val="10.00"/>
        <color rgb="FF000000"/>
        <family val="2"/>
      </rPr>
      <t>Scheduled</t>
    </r>
  </si>
  <si>
    <r>
      <rPr>
        <rFont val="Bookman Old Style"/>
        <sz val="10.00"/>
        <color rgb="FF000000"/>
        <family val="2"/>
      </rPr>
      <t>Mark Mason</t>
    </r>
  </si>
  <si>
    <r>
      <rPr>
        <rFont val="Bookman Old Style"/>
        <sz val="10.00"/>
        <color rgb="FF000000"/>
        <family val="2"/>
      </rPr>
      <t>Scheduled</t>
    </r>
  </si>
  <si>
    <r>
      <rPr>
        <rFont val="Bookman Old Style"/>
        <sz val="10.00"/>
        <color rgb="FF000000"/>
        <family val="2"/>
      </rPr>
      <t>Anita Withers</t>
    </r>
  </si>
  <si>
    <r>
      <rPr>
        <rFont val="Bookman Old Style"/>
        <sz val="10.00"/>
        <color rgb="FF000000"/>
        <family val="2"/>
      </rPr>
      <t>Scheduled</t>
    </r>
  </si>
  <si>
    <r>
      <rPr>
        <rFont val="Bookman Old Style"/>
        <sz val="10.00"/>
        <color rgb="FF000000"/>
        <family val="2"/>
      </rPr>
      <t>Anita Withers</t>
    </r>
  </si>
  <si>
    <r>
      <rPr>
        <rFont val="Bookman Old Style"/>
        <sz val="10.00"/>
        <color rgb="FF000000"/>
        <family val="2"/>
      </rPr>
      <t>Scheduled</t>
    </r>
  </si>
  <si>
    <r>
      <rPr>
        <rFont val="Bookman Old Style"/>
        <sz val="10.00"/>
        <color rgb="FF000000"/>
        <family val="2"/>
      </rPr>
      <t>CONTACT DATABASE</t>
    </r>
  </si>
  <si>
    <r>
      <rPr>
        <rFont val="Bookman Old Style"/>
        <sz val="10.00"/>
        <color rgb="FF000000"/>
        <family val="2"/>
      </rPr>
      <t>Cont. ID</t>
    </r>
  </si>
  <si>
    <r>
      <rPr>
        <rFont val="Bookman Old Style"/>
        <sz val="10.00"/>
        <color rgb="FF000000"/>
        <family val="2"/>
      </rPr>
      <t>Name</t>
    </r>
  </si>
  <si>
    <r>
      <rPr>
        <rFont val="Bookman Old Style"/>
        <sz val="10.00"/>
        <color rgb="FF000000"/>
        <family val="2"/>
      </rPr>
      <t>Type</t>
    </r>
  </si>
  <si>
    <r>
      <rPr>
        <rFont val="Bookman Old Style"/>
        <sz val="10.00"/>
        <color rgb="FF000000"/>
        <family val="2"/>
      </rPr>
      <t>Phone Number</t>
    </r>
  </si>
  <si>
    <r>
      <rPr>
        <rFont val="Bookman Old Style"/>
        <sz val="10.00"/>
        <color rgb="FF000000"/>
        <family val="2"/>
      </rPr>
      <t>Email</t>
    </r>
  </si>
  <si>
    <r>
      <rPr>
        <rFont val="Bookman Old Style"/>
        <sz val="10.00"/>
        <color rgb="FF000000"/>
        <family val="2"/>
      </rPr>
      <t>Address</t>
    </r>
  </si>
  <si>
    <r>
      <rPr>
        <rFont val="Bookman Old Style"/>
        <sz val="10.00"/>
        <color rgb="FF000000"/>
        <family val="2"/>
      </rPr>
      <t>City</t>
    </r>
  </si>
  <si>
    <r>
      <rPr>
        <rFont val="Bookman Old Style"/>
        <sz val="10.00"/>
        <color rgb="FF000000"/>
        <family val="2"/>
      </rPr>
      <t>State</t>
    </r>
  </si>
  <si>
    <r>
      <rPr>
        <rFont val="Bookman Old Style"/>
        <sz val="10.00"/>
        <color rgb="FF000000"/>
        <family val="2"/>
      </rPr>
      <t>Zip</t>
    </r>
  </si>
  <si>
    <r>
      <rPr>
        <rFont val="Bookman Old Style"/>
        <sz val="10.00"/>
        <color rgb="FF000000"/>
        <family val="2"/>
      </rPr>
      <t>Property Notes</t>
    </r>
  </si>
  <si>
    <r>
      <rPr>
        <rFont val="Bookman Old Style"/>
        <sz val="10.00"/>
        <color rgb="FF000000"/>
        <family val="2"/>
      </rPr>
      <t>Fred Fredders</t>
    </r>
  </si>
  <si>
    <r>
      <rPr>
        <rFont val="Bookman Old Style"/>
        <sz val="10.00"/>
        <color rgb="FF000000"/>
        <family val="2"/>
      </rPr>
      <t>Prospect</t>
    </r>
  </si>
  <si>
    <r>
      <rPr>
        <rFont val="Bookman Old Style"/>
        <sz val="10.00"/>
        <color rgb="FF000000"/>
        <family val="2"/>
      </rPr>
      <t>Fred Fredders@gmail.com</t>
    </r>
  </si>
  <si>
    <r>
      <rPr>
        <rFont val="Bookman Old Style"/>
        <sz val="10.00"/>
        <color rgb="FF000000"/>
        <family val="2"/>
      </rPr>
      <t>1324 Iaculis Av.</t>
    </r>
  </si>
  <si>
    <r>
      <rPr>
        <rFont val="Bookman Old Style"/>
        <sz val="10.00"/>
        <color rgb="FF000000"/>
        <family val="2"/>
      </rPr>
      <t>Racine</t>
    </r>
  </si>
  <si>
    <r>
      <rPr>
        <rFont val="Bookman Old Style"/>
        <sz val="10.00"/>
        <color rgb="FF000000"/>
        <family val="2"/>
      </rPr>
      <t>MI</t>
    </r>
  </si>
  <si>
    <r>
      <rPr>
        <rFont val="Bookman Old Style"/>
        <sz val="10.00"/>
        <color rgb="FF000000"/>
        <family val="2"/>
      </rPr>
      <t>Test Notes 1</t>
    </r>
  </si>
  <si>
    <r>
      <rPr>
        <rFont val="Bookman Old Style"/>
        <sz val="10.00"/>
        <color rgb="FF000000"/>
        <family val="2"/>
      </rPr>
      <t>Peter Parker</t>
    </r>
  </si>
  <si>
    <r>
      <rPr>
        <rFont val="Bookman Old Style"/>
        <sz val="10.00"/>
        <color rgb="FF000000"/>
        <family val="2"/>
      </rPr>
      <t>Lead</t>
    </r>
  </si>
  <si>
    <r>
      <rPr>
        <rFont val="Bookman Old Style"/>
        <sz val="10.00"/>
        <color rgb="FF000000"/>
        <family val="2"/>
      </rPr>
      <t>Peter Parker@gmail.com</t>
    </r>
  </si>
  <si>
    <r>
      <rPr>
        <rFont val="Bookman Old Style"/>
        <sz val="10.00"/>
        <color rgb="FF000000"/>
        <family val="2"/>
      </rPr>
      <t>2646 Eu Rd.</t>
    </r>
  </si>
  <si>
    <r>
      <rPr>
        <rFont val="Bookman Old Style"/>
        <sz val="10.00"/>
        <color rgb="FF000000"/>
        <family val="2"/>
      </rPr>
      <t>Indianapolis</t>
    </r>
  </si>
  <si>
    <r>
      <rPr>
        <rFont val="Bookman Old Style"/>
        <sz val="10.00"/>
        <color rgb="FF000000"/>
        <family val="2"/>
      </rPr>
      <t>IN</t>
    </r>
  </si>
  <si>
    <r>
      <rPr>
        <rFont val="Bookman Old Style"/>
        <sz val="10.00"/>
        <color rgb="FF000000"/>
        <family val="2"/>
      </rPr>
      <t>Nice Contact</t>
    </r>
  </si>
  <si>
    <r>
      <rPr>
        <rFont val="Bookman Old Style"/>
        <sz val="10.00"/>
        <color rgb="FF000000"/>
        <family val="2"/>
      </rPr>
      <t>Mary Smith</t>
    </r>
  </si>
  <si>
    <r>
      <rPr>
        <rFont val="Bookman Old Style"/>
        <sz val="10.00"/>
        <color rgb="FF000000"/>
        <family val="2"/>
      </rPr>
      <t>Prospect</t>
    </r>
  </si>
  <si>
    <r>
      <rPr>
        <rFont val="Bookman Old Style"/>
        <sz val="10.00"/>
        <color rgb="FF000000"/>
        <family val="2"/>
      </rPr>
      <t>Mary Smith@gmail.com</t>
    </r>
  </si>
  <si>
    <r>
      <rPr>
        <rFont val="Bookman Old Style"/>
        <sz val="10.00"/>
        <color rgb="FF000000"/>
        <family val="2"/>
      </rPr>
      <t>1114 Interdum. Road</t>
    </r>
  </si>
  <si>
    <r>
      <rPr>
        <rFont val="Bookman Old Style"/>
        <sz val="10.00"/>
        <color rgb="FF000000"/>
        <family val="2"/>
      </rPr>
      <t>South Bend</t>
    </r>
  </si>
  <si>
    <r>
      <rPr>
        <rFont val="Bookman Old Style"/>
        <sz val="10.00"/>
        <color rgb="FF000000"/>
        <family val="2"/>
      </rPr>
      <t>IN</t>
    </r>
  </si>
  <si>
    <r>
      <rPr>
        <rFont val="Bookman Old Style"/>
        <sz val="10.00"/>
        <color rgb="FF000000"/>
        <family val="2"/>
      </rPr>
      <t>Test Notes 4</t>
    </r>
  </si>
  <si>
    <r>
      <rPr>
        <rFont val="Bookman Old Style"/>
        <sz val="10.00"/>
        <color rgb="FF000000"/>
        <family val="2"/>
      </rPr>
      <t>Mark Mason</t>
    </r>
  </si>
  <si>
    <r>
      <rPr>
        <rFont val="Bookman Old Style"/>
        <sz val="10.00"/>
        <color rgb="FF000000"/>
        <family val="2"/>
      </rPr>
      <t>Customer</t>
    </r>
  </si>
  <si>
    <r>
      <rPr>
        <rFont val="Bookman Old Style"/>
        <sz val="10.00"/>
        <color rgb="FF000000"/>
        <family val="2"/>
      </rPr>
      <t>Mark Mason@gmail.com</t>
    </r>
  </si>
  <si>
    <r>
      <rPr>
        <rFont val="Bookman Old Style"/>
        <sz val="10.00"/>
        <color rgb="FF000000"/>
        <family val="2"/>
      </rPr>
      <t>4582 Porttitor Rd.</t>
    </r>
  </si>
  <si>
    <r>
      <rPr>
        <rFont val="Bookman Old Style"/>
        <sz val="10.00"/>
        <color rgb="FF000000"/>
        <family val="2"/>
      </rPr>
      <t>Oklahoma City</t>
    </r>
  </si>
  <si>
    <r>
      <rPr>
        <rFont val="Bookman Old Style"/>
        <sz val="10.00"/>
        <color rgb="FF000000"/>
        <family val="2"/>
      </rPr>
      <t>OK</t>
    </r>
  </si>
  <si>
    <r>
      <rPr>
        <rFont val="Bookman Old Style"/>
        <sz val="10.00"/>
        <color rgb="FF000000"/>
        <family val="2"/>
      </rPr>
      <t>Test Notes Updated</t>
    </r>
  </si>
  <si>
    <r>
      <rPr>
        <rFont val="Bookman Old Style"/>
        <sz val="10.00"/>
        <color rgb="FF000000"/>
        <family val="2"/>
      </rPr>
      <t>Jack Johnson</t>
    </r>
  </si>
  <si>
    <r>
      <rPr>
        <rFont val="Bookman Old Style"/>
        <sz val="10.00"/>
        <color rgb="FF000000"/>
        <family val="2"/>
      </rPr>
      <t>Lead</t>
    </r>
  </si>
  <si>
    <r>
      <rPr>
        <rFont val="Bookman Old Style"/>
        <sz val="10.00"/>
        <color rgb="FF000000"/>
        <family val="2"/>
      </rPr>
      <t>Jack Johnson@gmail.com</t>
    </r>
  </si>
  <si>
    <r>
      <rPr>
        <rFont val="Bookman Old Style"/>
        <sz val="10.00"/>
        <color rgb="FF000000"/>
        <family val="2"/>
      </rPr>
      <t>Ap #5 112 Purus Street</t>
    </r>
  </si>
  <si>
    <r>
      <rPr>
        <rFont val="Bookman Old Style"/>
        <sz val="10.00"/>
        <color rgb="FF000000"/>
        <family val="2"/>
      </rPr>
      <t>San Francisco</t>
    </r>
  </si>
  <si>
    <r>
      <rPr>
        <rFont val="Bookman Old Style"/>
        <sz val="10.00"/>
        <color rgb="FF000000"/>
        <family val="2"/>
      </rPr>
      <t>CA</t>
    </r>
  </si>
  <si>
    <r>
      <rPr>
        <rFont val="Bookman Old Style"/>
        <sz val="10.00"/>
        <color rgb="FF000000"/>
        <family val="2"/>
      </rPr>
      <t>Test Notes 6</t>
    </r>
  </si>
  <si>
    <r>
      <rPr>
        <rFont val="Bookman Old Style"/>
        <sz val="10.00"/>
        <color rgb="FF000000"/>
        <family val="2"/>
      </rPr>
      <t>Lisa Mathews</t>
    </r>
  </si>
  <si>
    <r>
      <rPr>
        <rFont val="Bookman Old Style"/>
        <sz val="10.00"/>
        <color rgb="FF000000"/>
        <family val="2"/>
      </rPr>
      <t>Prospect</t>
    </r>
  </si>
  <si>
    <r>
      <rPr>
        <rFont val="Bookman Old Style"/>
        <sz val="10.00"/>
        <color rgb="FF000000"/>
        <family val="2"/>
      </rPr>
      <t>Lisa Mathews@gmail.com</t>
    </r>
  </si>
  <si>
    <r>
      <rPr>
        <rFont val="Bookman Old Style"/>
        <sz val="10.00"/>
        <color rgb="FF000000"/>
        <family val="2"/>
      </rPr>
      <t>5390 Ultrices Rd.</t>
    </r>
  </si>
  <si>
    <r>
      <rPr>
        <rFont val="Bookman Old Style"/>
        <sz val="10.00"/>
        <color rgb="FF000000"/>
        <family val="2"/>
      </rPr>
      <t>Pittsburgh</t>
    </r>
  </si>
  <si>
    <r>
      <rPr>
        <rFont val="Bookman Old Style"/>
        <sz val="10.00"/>
        <color rgb="FF000000"/>
        <family val="2"/>
      </rPr>
      <t>PA</t>
    </r>
  </si>
  <si>
    <r>
      <rPr>
        <rFont val="Bookman Old Style"/>
        <sz val="10.00"/>
        <color rgb="FF000000"/>
        <family val="2"/>
      </rPr>
      <t>Test Notes 7</t>
    </r>
  </si>
  <si>
    <r>
      <rPr>
        <rFont val="Bookman Old Style"/>
        <sz val="10.00"/>
        <color rgb="FF000000"/>
        <family val="2"/>
      </rPr>
      <t>Greg Perkins</t>
    </r>
  </si>
  <si>
    <r>
      <rPr>
        <rFont val="Bookman Old Style"/>
        <sz val="10.00"/>
        <color rgb="FF000000"/>
        <family val="2"/>
      </rPr>
      <t>Customer</t>
    </r>
  </si>
  <si>
    <r>
      <rPr>
        <rFont val="Bookman Old Style"/>
        <sz val="10.00"/>
        <color rgb="FF000000"/>
        <family val="2"/>
      </rPr>
      <t>Greg Perkins@gmail.com</t>
    </r>
  </si>
  <si>
    <r>
      <rPr>
        <rFont val="Bookman Old Style"/>
        <sz val="10.00"/>
        <color rgb="FF000000"/>
        <family val="2"/>
      </rPr>
      <t>6072 Luctus, St.</t>
    </r>
  </si>
  <si>
    <r>
      <rPr>
        <rFont val="Bookman Old Style"/>
        <sz val="10.00"/>
        <color rgb="FF000000"/>
        <family val="2"/>
      </rPr>
      <t>Frederick</t>
    </r>
  </si>
  <si>
    <r>
      <rPr>
        <rFont val="Bookman Old Style"/>
        <sz val="10.00"/>
        <color rgb="FF000000"/>
        <family val="2"/>
      </rPr>
      <t>MD</t>
    </r>
  </si>
  <si>
    <r>
      <rPr>
        <rFont val="Bookman Old Style"/>
        <sz val="10.00"/>
        <color rgb="FF000000"/>
        <family val="2"/>
      </rPr>
      <t>Test Notes 8</t>
    </r>
  </si>
  <si>
    <r>
      <rPr>
        <rFont val="Bookman Old Style"/>
        <sz val="10.00"/>
        <color rgb="FF000000"/>
        <family val="2"/>
      </rPr>
      <t>Anita Withers</t>
    </r>
  </si>
  <si>
    <r>
      <rPr>
        <rFont val="Bookman Old Style"/>
        <sz val="10.00"/>
        <color rgb="FF000000"/>
        <family val="2"/>
      </rPr>
      <t>Lead</t>
    </r>
  </si>
  <si>
    <r>
      <rPr>
        <rFont val="Bookman Old Style"/>
        <sz val="10.00"/>
        <color rgb="FF000000"/>
        <family val="2"/>
      </rPr>
      <t>Anita Withers@gmail.com</t>
    </r>
  </si>
  <si>
    <r>
      <rPr>
        <rFont val="Bookman Old Style"/>
        <sz val="10.00"/>
        <color rgb="FF000000"/>
        <family val="2"/>
      </rPr>
      <t>3675 Ullamcorper Street</t>
    </r>
  </si>
  <si>
    <r>
      <rPr>
        <rFont val="Bookman Old Style"/>
        <sz val="10.00"/>
        <color rgb="FF000000"/>
        <family val="2"/>
      </rPr>
      <t>Rolling Rock</t>
    </r>
  </si>
  <si>
    <r>
      <rPr>
        <rFont val="Bookman Old Style"/>
        <sz val="10.00"/>
        <color rgb="FF000000"/>
        <family val="2"/>
      </rPr>
      <t>WY</t>
    </r>
  </si>
  <si>
    <r>
      <rPr>
        <rFont val="Bookman Old Style"/>
        <sz val="10.00"/>
        <color rgb="FF000000"/>
        <family val="2"/>
      </rPr>
      <t>Test Notes 9</t>
    </r>
  </si>
  <si>
    <r>
      <rPr>
        <rFont val="Bookman Old Style"/>
        <sz val="10.00"/>
        <color rgb="FF000000"/>
        <family val="2"/>
      </rPr>
      <t>Kay Hopkins</t>
    </r>
  </si>
  <si>
    <r>
      <rPr>
        <rFont val="Bookman Old Style"/>
        <sz val="10.00"/>
        <color rgb="FF000000"/>
        <family val="2"/>
      </rPr>
      <t>Prospect</t>
    </r>
  </si>
  <si>
    <r>
      <rPr>
        <rFont val="Bookman Old Style"/>
        <sz val="10.00"/>
        <color rgb="FF000000"/>
        <family val="2"/>
      </rPr>
      <t>Kay Hopkins@gmail.com</t>
    </r>
  </si>
  <si>
    <r>
      <rPr>
        <rFont val="Bookman Old Style"/>
        <sz val="10.00"/>
        <color rgb="FF000000"/>
        <family val="2"/>
      </rPr>
      <t>4880 Vitae St.</t>
    </r>
  </si>
  <si>
    <r>
      <rPr>
        <rFont val="Bookman Old Style"/>
        <sz val="10.00"/>
        <color rgb="FF000000"/>
        <family val="2"/>
      </rPr>
      <t>College</t>
    </r>
  </si>
  <si>
    <r>
      <rPr>
        <rFont val="Bookman Old Style"/>
        <sz val="10.00"/>
        <color rgb="FF000000"/>
        <family val="2"/>
      </rPr>
      <t>AK</t>
    </r>
  </si>
  <si>
    <r>
      <rPr>
        <rFont val="Bookman Old Style"/>
        <sz val="10.00"/>
        <color rgb="FF000000"/>
        <family val="2"/>
      </rPr>
      <t>Test Notes 10</t>
    </r>
  </si>
  <si>
    <r>
      <rPr>
        <rFont val="Bookman Old Style"/>
        <sz val="10.00"/>
        <color rgb="FF000000"/>
        <family val="2"/>
      </rPr>
      <t>Larry Daniels</t>
    </r>
  </si>
  <si>
    <r>
      <rPr>
        <rFont val="Bookman Old Style"/>
        <sz val="10.00"/>
        <color rgb="FF000000"/>
        <family val="2"/>
      </rPr>
      <t>Customer</t>
    </r>
  </si>
  <si>
    <r>
      <rPr>
        <rFont val="Bookman Old Style"/>
        <sz val="10.00"/>
        <color rgb="FF000000"/>
        <family val="2"/>
      </rPr>
      <t>Larry Daniels@gmail.com</t>
    </r>
  </si>
  <si>
    <r>
      <rPr>
        <rFont val="Bookman Old Style"/>
        <sz val="10.00"/>
        <color rgb="FF000000"/>
        <family val="2"/>
      </rPr>
      <t>Ap #556-4411 Rutrum Street</t>
    </r>
  </si>
  <si>
    <r>
      <rPr>
        <rFont val="Bookman Old Style"/>
        <sz val="10.00"/>
        <color rgb="FF000000"/>
        <family val="2"/>
      </rPr>
      <t>Mobile</t>
    </r>
  </si>
  <si>
    <r>
      <rPr>
        <rFont val="Bookman Old Style"/>
        <sz val="10.00"/>
        <color rgb="FF000000"/>
        <family val="2"/>
      </rPr>
      <t>AL</t>
    </r>
  </si>
  <si>
    <r>
      <rPr>
        <rFont val="Bookman Old Style"/>
        <sz val="10.00"/>
        <color rgb="FF000000"/>
        <family val="2"/>
      </rPr>
      <t>Test Notes 11</t>
    </r>
  </si>
  <si>
    <r>
      <rPr>
        <rFont val="Bookman Old Style"/>
        <sz val="10.00"/>
        <color rgb="FF000000"/>
        <family val="2"/>
      </rPr>
      <t>Bob Barker</t>
    </r>
  </si>
  <si>
    <r>
      <rPr>
        <rFont val="Bookman Old Style"/>
        <sz val="10.00"/>
        <color rgb="FF000000"/>
        <family val="2"/>
      </rPr>
      <t>Customer</t>
    </r>
  </si>
  <si>
    <r>
      <rPr>
        <rFont val="Bookman Old Style"/>
        <sz val="10.00"/>
        <color rgb="FF000000"/>
        <family val="2"/>
      </rPr>
      <t>bobbarker@gmail.com</t>
    </r>
  </si>
  <si>
    <r>
      <rPr>
        <rFont val="Bookman Old Style"/>
        <sz val="10.00"/>
        <color rgb="FF000000"/>
        <family val="2"/>
      </rPr>
      <t>123 Main Street</t>
    </r>
  </si>
  <si>
    <r>
      <rPr>
        <rFont val="Bookman Old Style"/>
        <sz val="10.00"/>
        <color rgb="FF000000"/>
        <family val="2"/>
      </rPr>
      <t>Austin</t>
    </r>
  </si>
  <si>
    <r>
      <rPr>
        <rFont val="Bookman Old Style"/>
        <sz val="10.00"/>
        <color rgb="FF000000"/>
        <family val="2"/>
      </rPr>
      <t>TX</t>
    </r>
  </si>
  <si>
    <r>
      <rPr>
        <rFont val="Bookman Old Style"/>
        <sz val="10.00"/>
        <color rgb="FF000000"/>
        <family val="2"/>
      </rPr>
      <t>There are 3 dogs in the back yard.</t>
    </r>
  </si>
  <si>
    <r>
      <rPr>
        <rFont val="Bookman Old Style"/>
        <sz val="10.00"/>
        <color rgb="FF000000"/>
        <family val="2"/>
      </rPr>
      <t>Selected  Year</t>
    </r>
  </si>
  <si>
    <r>
      <rPr>
        <rFont val="Bookman Old Style"/>
        <sz val="10.00"/>
        <color rgb="FF000000"/>
        <family val="2"/>
      </rPr>
      <t>Start Day Numb</t>
    </r>
  </si>
  <si>
    <r>
      <rPr>
        <rFont val="Bookman Old Style"/>
        <sz val="10.00"/>
        <color rgb="FF000000"/>
        <family val="2"/>
      </rPr>
      <t>Select Contact</t>
    </r>
  </si>
  <si>
    <r>
      <rPr>
        <rFont val="Bookman Old Style"/>
        <sz val="10.00"/>
        <color rgb="FF000000"/>
        <family val="2"/>
      </rPr>
      <t>Fred Fredders</t>
    </r>
  </si>
  <si>
    <t>SUNDAY</t>
  </si>
  <si>
    <t>MONDAY</t>
  </si>
  <si>
    <t>TUESDAY</t>
  </si>
  <si>
    <t>WEDNESDAY</t>
  </si>
  <si>
    <t>THURSDAY</t>
  </si>
  <si>
    <t>FRIDAY</t>
  </si>
  <si>
    <t>SATURDAY</t>
  </si>
  <si>
    <r>
      <rPr>
        <rFont val="Bookman Old Style"/>
        <sz val="10.00"/>
        <color rgb="FF000000"/>
        <family val="2"/>
      </rPr>
      <t>Month Start</t>
    </r>
  </si>
  <si>
    <t>Cinco de Mayo</t>
  </si>
  <si>
    <r>
      <rPr>
        <rFont val="Bookman Old Style"/>
        <sz val="10.00"/>
        <color rgb="FF000000"/>
        <family val="2"/>
      </rPr>
      <t>Sel. Month #</t>
    </r>
  </si>
  <si>
    <r>
      <rPr>
        <rFont val="Bookman Old Style"/>
        <sz val="10.00"/>
        <color rgb="FF000000"/>
        <family val="2"/>
      </rPr>
      <t>Appt. Date</t>
    </r>
  </si>
  <si>
    <r>
      <rPr>
        <rFont val="Bookman Old Style"/>
        <sz val="10.00"/>
        <color rgb="FF000000"/>
        <family val="2"/>
      </rPr>
      <t>Sel. Year</t>
    </r>
  </si>
  <si>
    <r>
      <rPr>
        <rFont val="Bookman Old Style"/>
        <sz val="10.00"/>
        <color rgb="FF000000"/>
        <family val="2"/>
      </rPr>
      <t>Appt. Start</t>
    </r>
  </si>
  <si>
    <r>
      <rPr>
        <rFont val="Bookman Old Style"/>
        <sz val="10.00"/>
        <color rgb="FF000000"/>
        <family val="2"/>
      </rPr>
      <t>Month Header</t>
    </r>
  </si>
  <si>
    <t>MAY, 2023</t>
  </si>
  <si>
    <r>
      <rPr>
        <rFont val="Bookman Old Style"/>
        <sz val="10.00"/>
        <color rgb="FF000000"/>
        <family val="2"/>
      </rPr>
      <t>Appt. End</t>
    </r>
  </si>
  <si>
    <r>
      <rPr>
        <rFont val="Bookman Old Style"/>
        <sz val="10.00"/>
        <color rgb="FF000000"/>
        <family val="2"/>
      </rPr>
      <t>Sel. Appt. ID</t>
    </r>
  </si>
  <si>
    <r>
      <rPr>
        <rFont val="Bookman Old Style"/>
        <sz val="10.00"/>
        <color rgb="FF000000"/>
        <family val="2"/>
      </rPr>
      <t>Duration</t>
    </r>
  </si>
  <si>
    <r>
      <rPr>
        <rFont val="Bookman Old Style"/>
        <sz val="10.00"/>
        <color rgb="FF000000"/>
        <family val="2"/>
      </rPr>
      <t>Appt. ID Row</t>
    </r>
  </si>
  <si>
    <r>
      <rPr>
        <rFont val="Bookman Old Style"/>
        <sz val="10.00"/>
        <color rgb="FF000000"/>
        <family val="2"/>
      </rPr>
      <t>Status</t>
    </r>
  </si>
  <si>
    <r>
      <rPr>
        <rFont val="Bookman Old Style"/>
        <sz val="10.00"/>
        <color rgb="FF000000"/>
        <family val="2"/>
      </rPr>
      <t>Tentative</t>
    </r>
  </si>
  <si>
    <r>
      <rPr>
        <rFont val="Bookman Old Style"/>
        <sz val="10.00"/>
        <color rgb="FF000000"/>
        <family val="2"/>
      </rPr>
      <t>Next Appt. ID</t>
    </r>
  </si>
  <si>
    <r>
      <rPr>
        <rFont val="Bookman Old Style"/>
        <sz val="10.00"/>
        <color rgb="FF000000"/>
        <family val="2"/>
      </rPr>
      <t>Job #</t>
    </r>
  </si>
  <si>
    <r>
      <rPr>
        <rFont val="Bookman Old Style"/>
        <sz val="10.00"/>
        <color rgb="FF000000"/>
        <family val="2"/>
      </rPr>
      <t>Cont. Name Row</t>
    </r>
  </si>
  <si>
    <r>
      <rPr>
        <rFont val="Bookman Old Style"/>
        <sz val="10.00"/>
        <color rgb="FF000000"/>
        <family val="2"/>
      </rPr>
      <t>Sel. Cont ID</t>
    </r>
  </si>
  <si>
    <r>
      <rPr>
        <rFont val="Bookman Old Style"/>
        <sz val="10.00"/>
        <color rgb="FF000000"/>
        <family val="2"/>
      </rPr>
      <t>Sel. Cont Row</t>
    </r>
  </si>
  <si>
    <r>
      <rPr>
        <rFont val="Bookman Old Style"/>
        <sz val="10.00"/>
        <color rgb="FF000000"/>
        <family val="2"/>
      </rPr>
      <t>Name</t>
    </r>
  </si>
  <si>
    <r>
      <rPr>
        <rFont val="Bookman Old Style"/>
        <sz val="10.00"/>
        <color rgb="FF000000"/>
        <family val="2"/>
      </rPr>
      <t>Fred Fredders</t>
    </r>
  </si>
  <si>
    <r>
      <rPr>
        <rFont val="Bookman Old Style"/>
        <sz val="10.00"/>
        <color rgb="FF000000"/>
        <family val="2"/>
      </rPr>
      <t>Next Cont. ID</t>
    </r>
  </si>
  <si>
    <r>
      <rPr>
        <rFont val="Bookman Old Style"/>
        <sz val="10.00"/>
        <color rgb="FF000000"/>
        <family val="2"/>
      </rPr>
      <t>Type</t>
    </r>
  </si>
  <si>
    <r>
      <rPr>
        <rFont val="Bookman Old Style"/>
        <sz val="10.00"/>
        <color rgb="FF000000"/>
        <family val="2"/>
      </rPr>
      <t>Prospect</t>
    </r>
  </si>
  <si>
    <r>
      <rPr>
        <rFont val="Bookman Old Style"/>
        <sz val="10.00"/>
        <color rgb="FF000000"/>
        <family val="2"/>
      </rPr>
      <t>Next Job_Number</t>
    </r>
  </si>
  <si>
    <r>
      <rPr>
        <rFont val="Bookman Old Style"/>
        <sz val="10.00"/>
        <color rgb="FF000000"/>
        <family val="2"/>
      </rPr>
      <t>Phone #</t>
    </r>
  </si>
  <si>
    <r>
      <rPr>
        <rFont val="Bookman Old Style"/>
        <sz val="10.00"/>
        <color rgb="FF000000"/>
        <family val="2"/>
      </rPr>
      <t>Email</t>
    </r>
  </si>
  <si>
    <r>
      <rPr>
        <rFont val="Bookman Old Style"/>
        <sz val="10.00"/>
        <color rgb="FF000000"/>
        <family val="2"/>
      </rPr>
      <t>Fred Fredders@gmail.com</t>
    </r>
  </si>
  <si>
    <t>Mother's Day</t>
  </si>
  <si>
    <t>Armed Forces Day</t>
  </si>
  <si>
    <r>
      <rPr>
        <rFont val="Bookman Old Style"/>
        <sz val="10.00"/>
        <color rgb="FF000000"/>
        <family val="2"/>
      </rPr>
      <t>Years</t>
    </r>
  </si>
  <si>
    <r>
      <rPr>
        <rFont val="Bookman Old Style"/>
        <sz val="10.00"/>
        <color rgb="FF000000"/>
        <family val="2"/>
      </rPr>
      <t>Address</t>
    </r>
  </si>
  <si>
    <r>
      <rPr>
        <rFont val="Bookman Old Style"/>
        <sz val="10.00"/>
        <color rgb="FF000000"/>
        <family val="2"/>
      </rPr>
      <t>1324 Iaculis Av.</t>
    </r>
  </si>
  <si>
    <r>
      <rPr>
        <rFont val="Bookman Old Style"/>
        <sz val="10.00"/>
        <color rgb="FF000000"/>
        <family val="2"/>
      </rPr>
      <t>City</t>
    </r>
  </si>
  <si>
    <r>
      <rPr>
        <rFont val="Bookman Old Style"/>
        <sz val="10.00"/>
        <color rgb="FF000000"/>
        <family val="2"/>
      </rPr>
      <t>Racine</t>
    </r>
  </si>
  <si>
    <r>
      <rPr>
        <rFont val="Bookman Old Style"/>
        <sz val="10.00"/>
        <color rgb="FF000000"/>
        <family val="2"/>
      </rPr>
      <t>State</t>
    </r>
  </si>
  <si>
    <r>
      <rPr>
        <rFont val="Bookman Old Style"/>
        <sz val="10.00"/>
        <color rgb="FF000000"/>
        <family val="2"/>
      </rPr>
      <t>MI</t>
    </r>
  </si>
  <si>
    <r>
      <rPr>
        <rFont val="Bookman Old Style"/>
        <sz val="10.00"/>
        <color rgb="FF000000"/>
        <family val="2"/>
      </rPr>
      <t>Zip</t>
    </r>
  </si>
  <si>
    <r>
      <rPr>
        <rFont val="Bookman Old Style"/>
        <sz val="10.00"/>
        <color rgb="FF000000"/>
        <family val="2"/>
      </rPr>
      <t>Property Notes</t>
    </r>
  </si>
  <si>
    <r>
      <rPr>
        <rFont val="Bookman Old Style"/>
        <sz val="10.00"/>
        <color rgb="FF000000"/>
        <family val="2"/>
      </rPr>
      <t>Test Notes 1</t>
    </r>
  </si>
  <si>
    <r>
      <rPr>
        <rFont val="Bookman Old Style"/>
        <sz val="10.00"/>
        <b/>
        <family val="2"/>
      </rPr>
      <t>Status</t>
    </r>
  </si>
  <si>
    <t>Tentative</t>
  </si>
  <si>
    <t>Confirmed</t>
  </si>
  <si>
    <t>Scheduled</t>
  </si>
  <si>
    <t>Memorial Day</t>
  </si>
  <si>
    <t>In Process</t>
  </si>
  <si>
    <t>Completed</t>
  </si>
  <si>
    <t>Closed</t>
  </si>
  <si>
    <t>#VALUE!</t>
  </si>
  <si>
    <r>
      <rPr>
        <rFont val="Bookman Old Style"/>
        <sz val="18.00"/>
        <b/>
        <family val="2"/>
      </rPr>
      <t>INVOICE</t>
    </r>
  </si>
  <si>
    <r>
      <rPr>
        <rFont val="Bookman Old Style"/>
        <sz val="14.00"/>
        <b/>
        <color rgb="FF000000"/>
        <family val="2"/>
      </rPr>
      <t>Invoice No:</t>
    </r>
  </si>
  <si>
    <r>
      <rPr>
        <rFont val="Bookman Old Style"/>
        <sz val="18.00"/>
        <b/>
        <family val="2"/>
      </rPr>
      <t>Company Details</t>
    </r>
  </si>
  <si>
    <t>Bonified Services LLC</t>
  </si>
  <si>
    <r>
      <rPr>
        <rFont val="Bookman Old Style"/>
        <sz val="12.00"/>
        <b/>
        <color rgb="FF000000"/>
        <family val="2"/>
      </rPr>
      <t>Job No:</t>
    </r>
  </si>
  <si>
    <r>
      <rPr>
        <rFont val="Bookman Old Style"/>
        <sz val="11.00"/>
        <b/>
        <color rgb="FF000000"/>
        <family val="2"/>
      </rPr>
      <t>Search Invoice</t>
    </r>
  </si>
  <si>
    <t>Street Address</t>
  </si>
  <si>
    <r>
      <rPr>
        <rFont val="Bookman Old Style"/>
        <sz val="12.00"/>
        <b/>
        <color rgb="FF000000"/>
        <family val="2"/>
      </rPr>
      <t>Date:</t>
    </r>
  </si>
  <si>
    <r>
      <rPr>
        <rFont val="Bookman Old Style"/>
        <sz val="11.00"/>
        <b/>
        <color rgb="FF000000"/>
        <family val="2"/>
      </rPr>
      <t>Tax Rate</t>
    </r>
  </si>
  <si>
    <t>City</t>
  </si>
  <si>
    <t>ST</t>
  </si>
  <si>
    <t>Zip Code</t>
  </si>
  <si>
    <r>
      <rPr>
        <rFont val="Bookman Old Style"/>
        <sz val="12.00"/>
        <b/>
        <color rgb="FF000000"/>
        <family val="2"/>
      </rPr>
      <t>Terms:</t>
    </r>
  </si>
  <si>
    <r>
      <rPr>
        <rFont val="Bookman Old Style"/>
        <sz val="12.00"/>
        <color rgb="FF000000"/>
        <family val="2"/>
      </rPr>
      <t>Net 30</t>
    </r>
  </si>
  <si>
    <r>
      <rPr>
        <rFont val="Bookman Old Style"/>
        <sz val="11.00"/>
        <b/>
        <color rgb="FF000000"/>
        <family val="2"/>
      </rPr>
      <t>Labor Rate</t>
    </r>
  </si>
  <si>
    <t>Phone Number</t>
  </si>
  <si>
    <r>
      <rPr>
        <rFont val="Bookman Old Style"/>
        <sz val="11.00"/>
        <b/>
        <color rgb="FF000000"/>
        <family val="2"/>
      </rPr>
      <t>Term (days)</t>
    </r>
  </si>
  <si>
    <t>30</t>
  </si>
  <si>
    <t>email address</t>
  </si>
  <si>
    <r>
      <rPr>
        <rFont val="Bookman Old Style"/>
        <sz val="11.00"/>
        <b/>
        <color rgb="FF000000"/>
        <family val="2"/>
      </rPr>
      <t>Due Date</t>
    </r>
  </si>
  <si>
    <r>
      <rPr>
        <rFont val="Bookman Old Style"/>
        <sz val="12.00"/>
        <b/>
        <color rgb="FF000000"/>
        <family val="2"/>
      </rPr>
      <t>BILL TO:</t>
    </r>
  </si>
  <si>
    <t>Kay Hopkins</t>
  </si>
  <si>
    <r>
      <rPr>
        <rFont val="Bookman Old Style"/>
        <sz val="11.00"/>
        <b/>
        <color rgb="FF000000"/>
        <family val="2"/>
      </rPr>
      <t>PDF Location</t>
    </r>
  </si>
  <si>
    <r>
      <rPr>
        <rFont val="Bookman Old Style"/>
        <sz val="11.00"/>
        <color rgb="FF000000"/>
        <family val="2"/>
      </rPr>
      <t>C:\Users\Bill\OneDrive\Invoices\</t>
    </r>
  </si>
  <si>
    <t>4880 Vitae St.</t>
  </si>
  <si>
    <t>College</t>
  </si>
  <si>
    <t>AK</t>
  </si>
  <si>
    <t>Kay Hopkins@gmail.com</t>
  </si>
  <si>
    <r>
      <rPr>
        <rFont val="Bookman Old Style"/>
        <sz val="12.00"/>
        <b/>
        <color rgb="FF000000"/>
        <family val="2"/>
      </rPr>
      <t>Description</t>
    </r>
  </si>
  <si>
    <r>
      <rPr>
        <rFont val="Bookman Old Style"/>
        <sz val="12.00"/>
        <b/>
        <color rgb="FF000000"/>
        <family val="2"/>
      </rPr>
      <t xml:space="preserve">Qty </t>
    </r>
  </si>
  <si>
    <r>
      <rPr>
        <rFont val="Bookman Old Style"/>
        <sz val="12.00"/>
        <b/>
        <color rgb="FF000000"/>
        <family val="2"/>
      </rPr>
      <t>UOM</t>
    </r>
  </si>
  <si>
    <r>
      <rPr>
        <rFont val="Bookman Old Style"/>
        <sz val="12.00"/>
        <b/>
        <color rgb="FF000000"/>
        <family val="2"/>
      </rPr>
      <t>Price</t>
    </r>
  </si>
  <si>
    <r>
      <rPr>
        <rFont val="Bookman Old Style"/>
        <sz val="12.00"/>
        <b/>
        <color rgb="FF000000"/>
        <family val="2"/>
      </rPr>
      <t>Total</t>
    </r>
  </si>
  <si>
    <r>
      <rPr>
        <rFont val="Bookman Old Style"/>
        <sz val="12.00"/>
        <color rgb="FF000000"/>
        <family val="2"/>
      </rPr>
      <t>siding paint</t>
    </r>
  </si>
  <si>
    <r>
      <rPr>
        <rFont val="Bookman Old Style"/>
        <sz val="12.00"/>
        <color rgb="FF000000"/>
        <family val="2"/>
      </rPr>
      <t>5 gal</t>
    </r>
  </si>
  <si>
    <r>
      <rPr>
        <rFont val="Bookman Old Style"/>
        <sz val="12.00"/>
        <color rgb="FF000000"/>
        <family val="2"/>
      </rPr>
      <t>trim paint</t>
    </r>
  </si>
  <si>
    <r>
      <rPr>
        <rFont val="Bookman Old Style"/>
        <sz val="12.00"/>
        <color rgb="FF000000"/>
        <family val="2"/>
      </rPr>
      <t>5 gal</t>
    </r>
  </si>
  <si>
    <r>
      <rPr>
        <rFont val="Bookman Old Style"/>
        <sz val="12.00"/>
        <b/>
        <color rgb="FF000000"/>
        <family val="2"/>
      </rPr>
      <t>Customer Message</t>
    </r>
  </si>
  <si>
    <r>
      <rPr>
        <rFont val="Bookman Old Style"/>
        <sz val="12.00"/>
        <color rgb="FF000000"/>
        <family val="2"/>
      </rPr>
      <t>Paint house exterior</t>
    </r>
  </si>
  <si>
    <r>
      <rPr>
        <rFont val="Bookman Old Style"/>
        <sz val="12.00"/>
        <b/>
        <color rgb="FF000000"/>
        <family val="2"/>
      </rPr>
      <t>Hours</t>
    </r>
  </si>
  <si>
    <r>
      <rPr>
        <rFont val="Bookman Old Style"/>
        <sz val="12.00"/>
        <b/>
        <color rgb="FF000000"/>
        <family val="2"/>
      </rPr>
      <t>Labor</t>
    </r>
  </si>
  <si>
    <r>
      <rPr>
        <rFont val="Bookman Old Style"/>
        <sz val="12.00"/>
        <b/>
        <color rgb="FF000000"/>
        <family val="2"/>
      </rPr>
      <t>Tax</t>
    </r>
  </si>
  <si>
    <r>
      <rPr>
        <rFont val="Bookman Old Style"/>
        <sz val="12.00"/>
        <b/>
        <color rgb="FF000000"/>
        <family val="2"/>
      </rPr>
      <t>Discount</t>
    </r>
  </si>
  <si>
    <r>
      <rPr>
        <rFont val="Bookman Old Style"/>
        <sz val="12.00"/>
        <b/>
        <color rgb="FF000000"/>
        <family val="2"/>
      </rPr>
      <t>Total</t>
    </r>
  </si>
  <si>
    <r>
      <rPr>
        <rFont val="Bookman Old Style"/>
        <sz val="14.00"/>
        <i/>
        <b/>
        <color rgb="FF000000"/>
        <family val="2"/>
      </rPr>
      <t>Thank you for your business!</t>
    </r>
  </si>
  <si>
    <r>
      <rPr>
        <rFont val="Bookman Old Style"/>
        <sz val="16.00"/>
        <b/>
        <color rgb="FF000000"/>
        <family val="2"/>
      </rPr>
      <t>Invoice Payments</t>
    </r>
  </si>
  <si>
    <r>
      <rPr>
        <rFont val="Bookman Old Style"/>
        <sz val="12.00"/>
        <b/>
        <color rgb="FFFFFFFF"/>
        <family val="2"/>
      </rPr>
      <t>EXPECTING PAYMENTS</t>
    </r>
  </si>
  <si>
    <r>
      <rPr>
        <rFont val="Bookman Old Style"/>
        <sz val="12.00"/>
        <b/>
        <color rgb="FFFFFFFF"/>
        <family val="2"/>
      </rPr>
      <t>CURRENT AMOUNT</t>
    </r>
  </si>
  <si>
    <r>
      <rPr>
        <rFont val="Bookman Old Style"/>
        <sz val="12.00"/>
        <b/>
        <color rgb="FFFFFFFF"/>
        <family val="2"/>
      </rPr>
      <t>PAST DUE AMOUNT</t>
    </r>
  </si>
  <si>
    <r>
      <rPr>
        <rFont val="Bookman Old Style"/>
        <sz val="10.00"/>
        <color rgb="FFFFFFFF"/>
        <family val="2"/>
      </rPr>
      <t>NEXT 7 DAYS</t>
    </r>
  </si>
  <si>
    <r>
      <rPr>
        <rFont val="Bookman Old Style"/>
        <sz val="12.00"/>
        <b/>
        <color rgb="FFFFFFFF"/>
        <family val="2"/>
      </rPr>
      <t>PAST DUE AGING</t>
    </r>
  </si>
  <si>
    <r>
      <rPr>
        <rFont val="Bookman Old Style"/>
        <sz val="12.00"/>
        <b/>
        <color rgb="FFFFFFFF"/>
        <family val="2"/>
      </rPr>
      <t>INVOICES</t>
    </r>
  </si>
  <si>
    <r>
      <rPr>
        <rFont val="Bookman Old Style"/>
        <sz val="12.00"/>
        <b/>
        <color rgb="FFFFFFFF"/>
        <family val="2"/>
      </rPr>
      <t>INVOICE AMOUNT</t>
    </r>
  </si>
  <si>
    <r>
      <rPr>
        <rFont val="Bookman Old Style"/>
        <sz val="10.00"/>
        <color rgb="FFFFFFFF"/>
        <family val="2"/>
      </rPr>
      <t>1 - 30 Days</t>
    </r>
  </si>
  <si>
    <r>
      <rPr>
        <rFont val="Bookman Old Style"/>
        <sz val="10.00"/>
        <color rgb="FFFFFFFF"/>
        <family val="2"/>
      </rPr>
      <t>NEXT 30 DAYS</t>
    </r>
  </si>
  <si>
    <r>
      <rPr>
        <rFont val="Bookman Old Style"/>
        <sz val="10.00"/>
        <color rgb="FFFFFFFF"/>
        <family val="2"/>
      </rPr>
      <t>31 - 60 Days</t>
    </r>
  </si>
  <si>
    <r>
      <rPr>
        <rFont val="Bookman Old Style"/>
        <sz val="10.00"/>
        <color rgb="FFFFFFFF"/>
        <family val="2"/>
      </rPr>
      <t>61 - 90 Days</t>
    </r>
  </si>
  <si>
    <r>
      <rPr>
        <rFont val="Bookman Old Style"/>
        <sz val="10.00"/>
        <color rgb="FFFFFFFF"/>
        <family val="2"/>
      </rPr>
      <t>91+ Days</t>
    </r>
  </si>
  <si>
    <r>
      <rPr>
        <rFont val="Bookman Old Style"/>
        <sz val="10.00"/>
        <i/>
        <color rgb="FFFFFFFF"/>
        <family val="2"/>
      </rPr>
      <t>Filter the invoice table using these slicers</t>
    </r>
  </si>
  <si>
    <r>
      <rPr>
        <rFont val="Bookman Old Style"/>
        <sz val="10.00"/>
        <i/>
        <color rgb="FFFFFFFF"/>
        <family val="2"/>
      </rPr>
      <t>Green colored columns are automatically calculated. Do Not Edit.</t>
    </r>
  </si>
  <si>
    <t>Invoice No.</t>
  </si>
  <si>
    <t>Customer</t>
  </si>
  <si>
    <t>Invoice Date</t>
  </si>
  <si>
    <t>Due Date</t>
  </si>
  <si>
    <t>Invoice Amount</t>
  </si>
  <si>
    <t>Paid Amount</t>
  </si>
  <si>
    <t>Outstanding Amount</t>
  </si>
  <si>
    <t>Status</t>
  </si>
  <si>
    <t>Past Due Age</t>
  </si>
  <si>
    <t>Selected</t>
  </si>
  <si>
    <t>PDF</t>
  </si>
  <si>
    <t>Notes</t>
  </si>
  <si>
    <r>
      <rPr>
        <rFont val="Bookman Old Style"/>
        <sz val="10.00"/>
        <color rgb="FF000000"/>
        <family val="2"/>
      </rPr>
      <t>Anita Withers</t>
    </r>
  </si>
  <si>
    <r>
      <rPr>
        <rFont val="Bookman Old Style"/>
        <sz val="10.00"/>
        <color rgb="FF000000"/>
        <family val="2"/>
      </rPr>
      <t>Anita Withers</t>
    </r>
  </si>
  <si>
    <r>
      <rPr>
        <rFont val="Bookman Old Style"/>
        <sz val="10.00"/>
        <color rgb="FF000000"/>
        <family val="2"/>
      </rPr>
      <t>Mark Mason</t>
    </r>
  </si>
  <si>
    <t>1003 - Mark Mason</t>
  </si>
  <si>
    <r>
      <rPr>
        <rFont val="Bookman Old Style"/>
        <sz val="10.00"/>
        <color rgb="FF000000"/>
        <family val="2"/>
      </rPr>
      <t>Mark Mason</t>
    </r>
  </si>
  <si>
    <t>1004 - Mark Mason</t>
  </si>
  <si>
    <r>
      <rPr>
        <rFont val="Bookman Old Style"/>
        <sz val="10.00"/>
        <color rgb="FF000000"/>
        <family val="2"/>
      </rPr>
      <t>Anita Withers</t>
    </r>
  </si>
  <si>
    <t>1005 - Anita Withers</t>
  </si>
  <si>
    <r>
      <rPr>
        <rFont val="Bookman Old Style"/>
        <sz val="10.00"/>
        <color rgb="FF000000"/>
        <family val="2"/>
      </rPr>
      <t>Mary Smith</t>
    </r>
  </si>
  <si>
    <t>1006 - Mary Smith</t>
  </si>
  <si>
    <r>
      <rPr>
        <rFont val="Bookman Old Style"/>
        <sz val="10.00"/>
        <color rgb="FF000000"/>
        <family val="2"/>
      </rPr>
      <t>Greg Perkins</t>
    </r>
  </si>
  <si>
    <t>1008 - Greg Perkins</t>
  </si>
  <si>
    <r>
      <rPr>
        <rFont val="Bookman Old Style"/>
        <sz val="10.00"/>
        <color rgb="FF000000"/>
        <family val="2"/>
      </rPr>
      <t>Greg Perkins</t>
    </r>
  </si>
  <si>
    <t>1008 - Greg Perkins</t>
  </si>
  <si>
    <r>
      <rPr>
        <rFont val="Bookman Old Style"/>
        <sz val="10.00"/>
        <b/>
        <color rgb="FF000000"/>
        <family val="2"/>
      </rPr>
      <t>INVOICE LIST</t>
    </r>
  </si>
  <si>
    <r>
      <rPr>
        <rFont val="Bookman Old Style"/>
        <sz val="10.00"/>
        <b/>
        <family val="2"/>
      </rPr>
      <t>Invoice No.</t>
    </r>
  </si>
  <si>
    <r>
      <rPr>
        <rFont val="Bookman Old Style"/>
        <sz val="10.00"/>
        <b/>
        <family val="2"/>
      </rPr>
      <t>Job No.</t>
    </r>
  </si>
  <si>
    <r>
      <rPr>
        <rFont val="Bookman Old Style"/>
        <sz val="10.00"/>
        <b/>
        <family val="2"/>
      </rPr>
      <t>Date</t>
    </r>
  </si>
  <si>
    <r>
      <rPr>
        <rFont val="Bookman Old Style"/>
        <sz val="10.00"/>
        <b/>
        <family val="2"/>
      </rPr>
      <t>Terms</t>
    </r>
  </si>
  <si>
    <r>
      <rPr>
        <rFont val="Bookman Old Style"/>
        <sz val="10.00"/>
        <b/>
        <family val="2"/>
      </rPr>
      <t>Due Date</t>
    </r>
  </si>
  <si>
    <r>
      <rPr>
        <rFont val="Bookman Old Style"/>
        <sz val="10.00"/>
        <b/>
        <family val="2"/>
      </rPr>
      <t>Discount</t>
    </r>
  </si>
  <si>
    <r>
      <rPr>
        <rFont val="Bookman Old Style"/>
        <sz val="10.00"/>
        <b/>
        <family val="2"/>
      </rPr>
      <t>Total</t>
    </r>
  </si>
  <si>
    <t>Net 30</t>
  </si>
  <si>
    <r>
      <rPr>
        <rFont val="Bookman Old Style"/>
        <sz val="10.00"/>
        <b/>
        <color rgb="FF000000"/>
        <family val="2"/>
      </rPr>
      <t>INVOICE ITEMS</t>
    </r>
  </si>
  <si>
    <r>
      <rPr>
        <rFont val="Bookman Old Style"/>
        <sz val="10.00"/>
        <b/>
        <family val="2"/>
      </rPr>
      <t>Invoice No.</t>
    </r>
  </si>
  <si>
    <r>
      <rPr>
        <rFont val="Bookman Old Style"/>
        <sz val="10.00"/>
        <b/>
        <family val="2"/>
      </rPr>
      <t>Date</t>
    </r>
  </si>
  <si>
    <r>
      <rPr>
        <rFont val="Bookman Old Style"/>
        <sz val="10.00"/>
        <b/>
        <family val="2"/>
      </rPr>
      <t>Description</t>
    </r>
  </si>
  <si>
    <r>
      <rPr>
        <rFont val="Bookman Old Style"/>
        <sz val="10.00"/>
        <b/>
        <family val="2"/>
      </rPr>
      <t>Qty</t>
    </r>
  </si>
  <si>
    <r>
      <rPr>
        <rFont val="Bookman Old Style"/>
        <sz val="10.00"/>
        <b/>
        <family val="2"/>
      </rPr>
      <t>UOM</t>
    </r>
  </si>
  <si>
    <r>
      <rPr>
        <rFont val="Bookman Old Style"/>
        <sz val="10.00"/>
        <b/>
        <family val="2"/>
      </rPr>
      <t>Price</t>
    </r>
  </si>
  <si>
    <r>
      <rPr>
        <rFont val="Bookman Old Style"/>
        <sz val="10.00"/>
        <b/>
        <family val="2"/>
      </rPr>
      <t>Total</t>
    </r>
  </si>
  <si>
    <r>
      <rPr>
        <rFont val="Bookman Old Style"/>
        <sz val="10.00"/>
        <color rgb="FF000000"/>
        <family val="2"/>
      </rPr>
      <t>siding paint</t>
    </r>
  </si>
  <si>
    <t>5 gal</t>
  </si>
  <si>
    <r>
      <rPr>
        <rFont val="Bookman Old Style"/>
        <sz val="10.00"/>
        <color rgb="FF000000"/>
        <family val="2"/>
      </rPr>
      <t>trim paint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</si>
</sst>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8">
    <numFmt numFmtId="1" formatCode="General"/>
    <numFmt numFmtId="2" formatCode="h:mm"/>
    <numFmt numFmtId="3" formatCode="[$-409]mmmm\ d"/>
    <numFmt numFmtId="4" formatCode="YYYY-M-D"/>
    <numFmt numFmtId="5" formatCode="&quot;$&quot;#,##0.00"/>
    <numFmt numFmtId="6" formatCode="h:mm AM/PM"/>
    <numFmt numFmtId="7" formatCode="0.00"/>
    <numFmt numFmtId="8" formatCode="d"/>
    <numFmt numFmtId="9" formatCode="[&lt;=9999999]###\-####;\(###\)\ ###\-####"/>
    <numFmt numFmtId="10" formatCode="0.00%"/>
    <numFmt numFmtId="11" formatCode="[$-F800]dddd\,\ mmmm\ dd\,\ yyyy"/>
    <numFmt numFmtId="12" formatCode="_(&quot;$&quot;* #,##0.00_);_(&quot;$&quot;* \(#,##0.00\);_(&quot;$&quot;* &quot;-&quot;??_);_(@_)"/>
    <numFmt numFmtId="13" formatCode="[$-409]h:mm\ AM/PM;@"/>
    <numFmt numFmtId="14" formatCode="[$-409]dddd\ \ \-\ \ mmmm\ d\,\ yyyy"/>
    <numFmt numFmtId="15" formatCode="00000"/>
    <numFmt numFmtId="16" formatCode="h:mm;@"/>
    <numFmt numFmtId="17" formatCode="dd"/>
    <numFmt numFmtId="18" formatCode="mmm\ dd\,\ yyyy"/>
  </numFmts>
  <fonts count="37">
    <font>
      <sz val="11"/>
      <color theme="1"/>
      <name val="Arial"/>
      <family val="2"/>
      <scheme val="minor"/>
    </font>
    <font>
      <name val="Bookman Old Style"/>
      <sz val="11.00"/>
      <color rgb="FF000000"/>
      <family val="2"/>
    </font>
    <font>
      <name val="Bookman Old Style"/>
      <sz val="10.00"/>
      <color rgb="FF000000"/>
      <family val="2"/>
    </font>
    <font>
      <name val="Bookman Old Style"/>
      <sz val="9.00"/>
      <family val="2"/>
    </font>
    <font>
      <name val="Bookman Old Style"/>
      <sz val="10.00"/>
      <b/>
      <family val="2"/>
    </font>
    <font>
      <name val="Bookman Old Style"/>
      <sz val="12.00"/>
      <color rgb="FF000000"/>
      <family val="2"/>
    </font>
    <font>
      <name val="Bookman Old Style"/>
      <sz val="10.00"/>
      <b/>
      <color rgb="FF000000"/>
      <family val="2"/>
    </font>
    <font>
      <name val="Bookman Old Style"/>
      <sz val="11.00"/>
      <b/>
      <family val="2"/>
    </font>
    <font>
      <name val="Bookman Old Style"/>
      <sz val="12.00"/>
      <b/>
      <color rgb="FF000000"/>
      <family val="2"/>
    </font>
    <font>
      <name val="Bookman Old Style"/>
      <sz val="12.00"/>
      <i/>
      <color rgb="FF000000"/>
      <family val="2"/>
    </font>
    <font>
      <name val="Bookman Old Style"/>
      <sz val="10.00"/>
      <b/>
      <color rgb="FFFFFFFF"/>
      <family val="2"/>
    </font>
    <font>
      <name val="Bookman Old Style"/>
      <sz val="18.00"/>
      <b/>
      <family val="2"/>
    </font>
    <font>
      <name val="Bookman Old Style"/>
      <sz val="14.00"/>
      <b/>
      <color rgb="FF000000"/>
      <family val="2"/>
    </font>
    <font>
      <name val="Bookman Old Style"/>
      <sz val="9.00"/>
      <b/>
      <color rgb="FF000000"/>
      <family val="2"/>
    </font>
    <font>
      <name val="Bookman Old Style"/>
      <sz val="10.00"/>
      <color rgb="FFFFFFFF"/>
      <family val="2"/>
    </font>
    <font>
      <name val="Bookman Old Style"/>
      <sz val="12.00"/>
      <b/>
      <family val="2"/>
    </font>
    <font>
      <name val="Bookman Old Style"/>
      <sz val="14.00"/>
      <i/>
      <b/>
      <color rgb="FF000000"/>
      <family val="2"/>
    </font>
    <font>
      <name val="华文仿宋"/>
      <sz val="11.00"/>
      <color rgb="FF000000"/>
      <family val="2"/>
    </font>
    <font>
      <name val="Bookman Old Style"/>
      <sz val="24.00"/>
      <b/>
      <color rgb="FF000000"/>
      <family val="2"/>
    </font>
    <font>
      <name val="Bookman Old Style"/>
      <sz val="26.00"/>
      <b/>
      <color rgb="FF14676c"/>
      <family val="2"/>
    </font>
    <font>
      <name val="Wingdings"/>
      <sz val="10.00"/>
      <color rgb="FF000000"/>
      <family val="2"/>
    </font>
    <font>
      <name val="Bookman Old Style"/>
      <sz val="8.00"/>
      <color rgb="FF00B050"/>
      <family val="2"/>
    </font>
    <font>
      <name val="Bookman Old Style"/>
      <sz val="10.00"/>
      <b/>
      <color rgb="FF1a2e3a"/>
      <family val="2"/>
    </font>
    <font>
      <name val="Bookman Old Style"/>
      <sz val="16.00"/>
      <i/>
      <b/>
      <color rgb="FF7030A0"/>
      <family val="2"/>
    </font>
    <font>
      <name val="华文仿宋"/>
      <sz val="11.00"/>
      <u val="single"/>
      <color rgb="FF0070C0"/>
      <family val="2"/>
    </font>
    <font>
      <name val="Bookman Old Style"/>
      <sz val="10.00"/>
      <family val="2"/>
    </font>
    <font>
      <name val="Bookman Old Style"/>
      <sz val="11.00"/>
      <b/>
      <color rgb="FF000000"/>
      <family val="2"/>
    </font>
    <font>
      <name val="Bookman Old Style"/>
      <sz val="12.00"/>
      <b/>
      <color rgb="FFFFFFFF"/>
      <family val="2"/>
    </font>
    <font>
      <name val="Bookman Old Style"/>
      <sz val="12.00"/>
      <color rgb="FF00B050"/>
      <family val="2"/>
    </font>
    <font>
      <name val="Bookman Old Style"/>
      <sz val="10.00"/>
      <i/>
      <b/>
      <color rgb="FF7030A0"/>
      <family val="2"/>
    </font>
    <font>
      <name val="Bookman Old Style"/>
      <sz val="16.00"/>
      <b/>
      <color rgb="FF000000"/>
      <family val="2"/>
    </font>
    <font>
      <name val="Bookman Old Style"/>
      <sz val="10.00"/>
      <i/>
      <color rgb="FFFFFFFF"/>
      <family val="2"/>
    </font>
    <font>
      <name val="华文仿宋"/>
      <sz val="11.00"/>
      <u val="single"/>
      <color rgb="FF0000FF"/>
      <family val="2"/>
    </font>
    <font>
      <name val="华文仿宋"/>
      <sz val="10.00"/>
      <color rgb="FF000000"/>
      <family val="2"/>
    </font>
    <font>
      <name val="Bookman Old Style"/>
      <sz val="11.00"/>
      <b/>
      <color rgb="FFFFFFFF"/>
      <family val="2"/>
    </font>
    <font>
      <name val="Bookman Old Style"/>
      <sz val="8.00"/>
      <color rgb="FF000000"/>
      <family val="2"/>
    </font>
    <font>
      <name val="华文仿宋"/>
      <sz val="11.00"/>
      <u val="single"/>
      <color rgb="FF0563c1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0"/>
        <bgColor indexed="64"/>
      </patternFill>
    </fill>
    <fill>
      <patternFill patternType="solid">
        <fgColor rgb="FFd4f5f7"/>
        <bgColor indexed="64"/>
      </patternFill>
    </fill>
    <fill>
      <patternFill patternType="solid">
        <fgColor rgb="FF9C86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4def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CD7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4B5E4"/>
        <bgColor indexed="64"/>
      </patternFill>
    </fill>
    <fill>
      <patternFill patternType="solid">
        <fgColor rgb="FF75b6e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d1e7f6"/>
        <bgColor indexed="64"/>
      </patternFill>
    </fill>
    <fill>
      <patternFill patternType="solid">
        <fgColor rgb="FF7de2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dd6c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rgb="FF00B050"/>
        <bgColor indexed="64"/>
      </patternFill>
    </fill>
  </fills>
  <borders count="87">
    <border>
      <left/>
      <right/>
      <top/>
      <bottom/>
      <diagonal/>
    </border>
    <border>
      <left style="thin">
        <color rgb="FF14676c"/>
      </left>
      <right style="medium">
        <color rgb="FF14676c"/>
      </right>
      <top style="hair">
        <color rgb="FF14676c"/>
      </top>
      <bottom style="thin">
        <color rgb="FF14676c"/>
      </bottom>
      <diagonal/>
    </border>
    <border>
      <left style="thin">
        <color rgb="FF14676c"/>
      </left>
      <right style="thin">
        <color rgb="FF14676c"/>
      </right>
      <top style="thin">
        <color rgb="FF14676c"/>
      </top>
      <bottom style="medium">
        <color rgb="FF14676c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 style="thin">
        <color rgb="FF14676c"/>
      </right>
      <top/>
      <bottom style="thin">
        <color rgb="FF14676c"/>
      </bottom>
      <diagonal/>
    </border>
    <border>
      <left style="thin">
        <color rgb="FF14676c"/>
      </left>
      <right style="thin">
        <color rgb="FF14676c"/>
      </right>
      <top style="medium">
        <color rgb="FF14676c"/>
      </top>
      <bottom style="thin">
        <color rgb="FF14676c"/>
      </bottom>
      <diagonal/>
    </border>
    <border>
      <left/>
      <right/>
      <top style="medium">
        <color rgb="FF14676c"/>
      </top>
      <bottom style="thin">
        <color rgb="FF14676c"/>
      </bottom>
      <diagonal/>
    </border>
    <border>
      <left style="thin">
        <color rgb="FF14676c"/>
      </left>
      <right style="medium">
        <color rgb="FF14676c"/>
      </right>
      <top style="thin">
        <color rgb="FF14676c"/>
      </top>
      <bottom style="medium">
        <color rgb="FF14676c"/>
      </bottom>
      <diagonal/>
    </border>
    <border>
      <left/>
      <right/>
      <top style="dashed">
        <color rgb="FF000000"/>
      </top>
      <bottom style="thin">
        <color rgb="FF000000"/>
      </bottom>
      <diagonal/>
    </border>
    <border>
      <left/>
      <right style="medium">
        <color rgb="FF14676c"/>
      </right>
      <top/>
      <bottom/>
      <diagonal/>
    </border>
    <border>
      <left style="medium">
        <color rgb="FF14676c"/>
      </left>
      <right style="medium">
        <color rgb="FF14676c"/>
      </right>
      <top style="thin">
        <color rgb="FF14676c"/>
      </top>
      <bottom style="thin">
        <color rgb="FF14676c"/>
      </bottom>
      <diagonal/>
    </border>
    <border>
      <left style="medium">
        <color rgb="FF14676c"/>
      </left>
      <right style="thin">
        <color rgb="FF14676c"/>
      </right>
      <top style="thin">
        <color rgb="FF14676c"/>
      </top>
      <bottom style="hair">
        <color rgb="FF14676c"/>
      </bottom>
      <diagonal/>
    </border>
    <border>
      <left style="medium">
        <color rgb="FF14676c"/>
      </left>
      <right style="hair">
        <color rgb="FF14676c"/>
      </right>
      <top style="thin">
        <color rgb="FF14676c"/>
      </top>
      <bottom style="medium">
        <color rgb="FF14676c"/>
      </bottom>
      <diagonal/>
    </border>
    <border>
      <left style="thin">
        <color rgb="FF14676c"/>
      </left>
      <right style="thin">
        <color rgb="FF14676c"/>
      </right>
      <top style="thin">
        <color rgb="FF14676c"/>
      </top>
      <bottom style="thin">
        <color rgb="FF14676c"/>
      </bottom>
      <diagonal/>
    </border>
    <border>
      <left style="medium">
        <color rgb="FF14676c"/>
      </left>
      <right style="thin">
        <color rgb="FF14676c"/>
      </right>
      <top style="thin">
        <color rgb="FF14676c"/>
      </top>
      <bottom style="thin">
        <color rgb="FF14676c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/>
      <right/>
      <top/>
      <bottom style="thin">
        <color rgb="FF26445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4676c"/>
      </left>
      <right style="hair">
        <color rgb="FF14676c"/>
      </right>
      <top style="thin">
        <color rgb="FF14676c"/>
      </top>
      <bottom style="thin">
        <color rgb="FF14676c"/>
      </bottom>
      <diagonal/>
    </border>
    <border>
      <left/>
      <right style="thin">
        <color rgb="FF14676c"/>
      </right>
      <top style="thin">
        <color rgb="FF14676c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264457"/>
      </left>
      <right style="thin">
        <color rgb="FF264457"/>
      </right>
      <top style="thin">
        <color rgb="FF264457"/>
      </top>
      <bottom style="thin">
        <color rgb="FF264457"/>
      </bottom>
      <diagonal/>
    </border>
    <border>
      <left style="thin">
        <color rgb="FF14676c"/>
      </left>
      <right style="medium">
        <color rgb="FF14676c"/>
      </right>
      <top style="medium">
        <color rgb="FF14676c"/>
      </top>
      <bottom style="medium">
        <color rgb="FF14676c"/>
      </bottom>
      <diagonal/>
    </border>
    <border>
      <left/>
      <right/>
      <top style="thin">
        <color rgb="FF000000"/>
      </top>
      <bottom/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thin">
        <color rgb="FF14676c"/>
      </left>
      <right style="medium">
        <color rgb="FF14676c"/>
      </right>
      <top style="medium">
        <color rgb="FF14676c"/>
      </top>
      <bottom style="thin">
        <color rgb="FF14676c"/>
      </bottom>
      <diagonal/>
    </border>
    <border>
      <left style="medium">
        <color rgb="FF14676c"/>
      </left>
      <right/>
      <top style="thin">
        <color rgb="FF14676c"/>
      </top>
      <bottom style="medium">
        <color rgb="FF14676c"/>
      </bottom>
      <diagonal/>
    </border>
    <border>
      <left style="thin">
        <color rgb="FF000000"/>
      </left>
      <right/>
      <top style="dashed">
        <color rgb="FF000000"/>
      </top>
      <bottom style="thin">
        <color rgb="FF000000"/>
      </bottom>
      <diagonal/>
    </border>
    <border>
      <left/>
      <right/>
      <top style="thin">
        <color rgb="FF14676c"/>
      </top>
      <bottom style="thin">
        <color rgb="FF14676c"/>
      </bottom>
      <diagonal/>
    </border>
    <border>
      <left style="medium">
        <color rgb="FF14676c"/>
      </left>
      <right style="thin">
        <color rgb="FF14676c"/>
      </right>
      <top style="hair">
        <color rgb="FF14676c"/>
      </top>
      <bottom style="hair">
        <color rgb="FF14676c"/>
      </bottom>
      <diagonal/>
    </border>
    <border>
      <left style="medium">
        <color rgb="FF14676c"/>
      </left>
      <right/>
      <top/>
      <bottom style="thin">
        <color rgb="FF14676c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14676c"/>
      </left>
      <right style="medium">
        <color rgb="FF14676c"/>
      </right>
      <top/>
      <bottom style="medium">
        <color rgb="FF14676c"/>
      </bottom>
      <diagonal/>
    </border>
    <border>
      <left style="thin">
        <color rgb="FF14676c"/>
      </left>
      <right style="medium">
        <color rgb="FF14676c"/>
      </right>
      <top style="thin">
        <color rgb="FF14676c"/>
      </top>
      <bottom style="thin">
        <color rgb="FF14676c"/>
      </bottom>
      <diagonal/>
    </border>
    <border>
      <left style="thin">
        <color rgb="FF14676c"/>
      </left>
      <right style="medium">
        <color rgb="FF14676c"/>
      </right>
      <top style="thin">
        <color rgb="FF14676c"/>
      </top>
      <bottom style="hair">
        <color rgb="FF14676c"/>
      </bottom>
      <diagonal/>
    </border>
    <border>
      <left/>
      <right style="medium">
        <color rgb="FF14676c"/>
      </right>
      <top/>
      <bottom style="medium">
        <color rgb="FF14676c"/>
      </bottom>
      <diagonal/>
    </border>
    <border>
      <left/>
      <right/>
      <top style="thin">
        <color rgb="FF14676c"/>
      </top>
      <bottom style="medium">
        <color rgb="FF14676c"/>
      </bottom>
      <diagonal/>
    </border>
    <border>
      <left style="medium">
        <color rgb="FF14676c"/>
      </left>
      <right/>
      <top style="medium">
        <color rgb="FF14676c"/>
      </top>
      <bottom style="thin">
        <color rgb="FF14676c"/>
      </bottom>
      <diagonal/>
    </border>
    <border>
      <left style="medium">
        <color rgb="FF14676c"/>
      </left>
      <right style="medium">
        <color rgb="FF14676c"/>
      </right>
      <top style="medium">
        <color rgb="FF14676c"/>
      </top>
      <bottom style="thin">
        <color rgb="FF14676c"/>
      </bottom>
      <diagonal/>
    </border>
    <border>
      <left style="medium">
        <color rgb="FF14676c"/>
      </left>
      <right style="hair">
        <color rgb="FF14676c"/>
      </right>
      <top style="hair">
        <color rgb="FF14676c"/>
      </top>
      <bottom style="hair">
        <color rgb="FF14676c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medium">
        <color rgb="FF14676c"/>
      </left>
      <right style="medium">
        <color rgb="FF14676c"/>
      </right>
      <top style="thin">
        <color rgb="FF14676c"/>
      </top>
      <bottom style="medium">
        <color rgb="FF14676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4676c"/>
      </left>
      <right style="thin">
        <color rgb="FF14676c"/>
      </right>
      <top style="thin">
        <color rgb="FF14676c"/>
      </top>
      <bottom style="medium">
        <color rgb="FF14676c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rgb="FF14676c"/>
      </left>
      <right/>
      <top/>
      <bottom/>
      <diagonal/>
    </border>
    <border>
      <left/>
      <right/>
      <top/>
      <bottom style="dashed">
        <color rgb="FF000000"/>
      </bottom>
      <diagonal/>
    </border>
    <border>
      <left style="medium">
        <color rgb="FF14676c"/>
      </left>
      <right style="thin">
        <color rgb="FF14676c"/>
      </right>
      <top style="medium">
        <color rgb="FF14676c"/>
      </top>
      <bottom style="thin">
        <color rgb="FF14676c"/>
      </bottom>
      <diagonal/>
    </border>
    <border>
      <left style="hair">
        <color rgb="FF14676c"/>
      </left>
      <right style="medium">
        <color rgb="FF14676c"/>
      </right>
      <top style="thin">
        <color rgb="FF14676c"/>
      </top>
      <bottom style="thin">
        <color rgb="FF14676c"/>
      </bottom>
      <diagonal/>
    </border>
    <border>
      <left/>
      <right style="medium">
        <color rgb="FF14676c"/>
      </right>
      <top style="medium">
        <color rgb="FF14676c"/>
      </top>
      <bottom style="thin">
        <color rgb="FF14676c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/>
      <bottom style="dashed">
        <color rgb="FF000000"/>
      </bottom>
      <diagonal/>
    </border>
    <border>
      <left style="hair">
        <color rgb="FF14676c"/>
      </left>
      <right style="medium">
        <color rgb="FF14676c"/>
      </right>
      <top style="medium">
        <color rgb="FF14676c"/>
      </top>
      <bottom style="thin">
        <color rgb="FF14676c"/>
      </bottom>
      <diagonal/>
    </border>
    <border>
      <left style="thin">
        <color rgb="FF14676c"/>
      </left>
      <right style="medium">
        <color rgb="FF14676c"/>
      </right>
      <top/>
      <bottom/>
      <diagonal/>
    </border>
    <border>
      <left/>
      <right style="medium">
        <color rgb="FF14676c"/>
      </right>
      <top style="thin">
        <color rgb="FF14676c"/>
      </top>
      <bottom style="thin">
        <color rgb="FF14676c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4676c"/>
      </left>
      <right style="thin">
        <color rgb="FF14676c"/>
      </right>
      <top/>
      <bottom/>
      <diagonal/>
    </border>
    <border>
      <left style="thin">
        <color rgb="FF14676c"/>
      </left>
      <right style="medium">
        <color rgb="FF14676c"/>
      </right>
      <top style="hair">
        <color rgb="FF14676c"/>
      </top>
      <bottom style="hair">
        <color rgb="FF14676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14676c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4676c"/>
      </left>
      <right style="medium">
        <color rgb="FF14676c"/>
      </right>
      <top style="thin">
        <color rgb="FF14676c"/>
      </top>
      <bottom/>
      <diagonal/>
    </border>
    <border>
      <left style="thin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 style="thin">
        <color rgb="FF14676c"/>
      </right>
      <top/>
      <bottom/>
      <diagonal/>
    </border>
    <border>
      <left style="medium">
        <color rgb="FF14676c"/>
      </left>
      <right style="thin">
        <color rgb="FF14676c"/>
      </right>
      <top style="thin">
        <color rgb="FF14676c"/>
      </top>
      <bottom/>
      <diagonal/>
    </border>
    <border>
      <left style="medium">
        <color rgb="FF14676c"/>
      </left>
      <right style="thin">
        <color rgb="FF14676c"/>
      </right>
      <top style="medium">
        <color rgb="FF14676c"/>
      </top>
      <bottom style="medium">
        <color rgb="FF14676c"/>
      </bottom>
      <diagonal/>
    </border>
    <border>
      <left style="thin">
        <color rgb="FF14676c"/>
      </left>
      <right/>
      <top/>
      <bottom style="thin">
        <color rgb="FF14676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/>
      <right style="medium">
        <color rgb="FF14676c"/>
      </right>
      <top style="thin">
        <color rgb="FF14676c"/>
      </top>
      <bottom style="medium">
        <color rgb="FF14676c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14676c"/>
      </left>
      <right style="hair">
        <color rgb="FF14676c"/>
      </right>
      <top style="medium">
        <color rgb="FF14676c"/>
      </top>
      <bottom style="thin">
        <color rgb="FF14676c"/>
      </bottom>
      <diagonal/>
    </border>
    <border>
      <left style="medium">
        <color rgb="FF14676c"/>
      </left>
      <right/>
      <top style="thin">
        <color rgb="FF14676c"/>
      </top>
      <bottom style="thin">
        <color rgb="FF14676c"/>
      </bottom>
      <diagonal/>
    </border>
    <border>
      <left/>
      <right style="medium">
        <color rgb="FF14676c"/>
      </right>
      <top/>
      <bottom style="thin">
        <color rgb="FF14676c"/>
      </bottom>
      <diagonal/>
    </border>
    <border>
      <left style="medium">
        <color rgb="FF14676c"/>
      </left>
      <right style="thin">
        <color rgb="FF14676c"/>
      </right>
      <top style="hair">
        <color rgb="FF14676c"/>
      </top>
      <bottom style="medium">
        <color rgb="FF14676c"/>
      </bottom>
      <diagonal/>
    </border>
    <border>
      <left style="medium">
        <color rgb="FF14676c"/>
      </left>
      <right style="thin">
        <color rgb="FF14676c"/>
      </right>
      <top/>
      <bottom style="medium">
        <color rgb="FF14676c"/>
      </bottom>
      <diagonal/>
    </border>
    <border>
      <left/>
      <right style="thin">
        <color rgb="FF000000"/>
      </right>
      <top/>
      <bottom/>
      <diagonal/>
    </border>
    <border>
      <left style="medium">
        <color rgb="FF14676c"/>
      </left>
      <right style="hair">
        <color rgb="FF14676c"/>
      </right>
      <top style="hair">
        <color rgb="FF14676c"/>
      </top>
      <bottom style="medium">
        <color rgb="FF14676c"/>
      </bottom>
      <diagonal/>
    </border>
    <border>
      <left style="medium">
        <color rgb="FF14676c"/>
      </left>
      <right style="hair">
        <color rgb="FF14676c"/>
      </right>
      <top style="thin">
        <color rgb="FF14676c"/>
      </top>
      <bottom/>
      <diagonal/>
    </border>
    <border>
      <left style="hair">
        <color rgb="FF14676c"/>
      </left>
      <right style="medium">
        <color rgb="FF14676c"/>
      </right>
      <top style="thin">
        <color rgb="FF14676c"/>
      </top>
      <bottom style="medium">
        <color rgb="FF14676c"/>
      </bottom>
      <diagonal/>
    </border>
    <border>
      <left style="thin">
        <color rgb="FF000000"/>
      </left>
      <right style="thin">
        <color rgb="FF000000"/>
      </right>
      <top/>
      <bottom style="dash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14676c"/>
      </left>
      <right style="medium">
        <color rgb="FF14676c"/>
      </right>
      <top style="thin">
        <color rgb="FF14676c"/>
      </top>
      <bottom/>
      <diagonal/>
    </border>
  </borders>
  <cellStyleXfs count="369">
    <xf numFmtId="0" fontId="0" fillId="0" borderId="0"/>
    <xf numFmtId="1" applyNumberFormat="1" fontId="1" applyFont="1" applyAlignment="1">
      <alignment vertical="center"/>
    </xf>
    <xf numFmtId="2" applyNumberFormat="1" fontId="2" applyFont="1" fillId="2" applyFill="1" borderId="1" applyBorder="1" applyAlignment="1">
      <alignment vertical="center" horizontal="center"/>
    </xf>
    <xf numFmtId="3" applyNumberFormat="1" fontId="3" applyFont="1" fillId="2" applyFill="1" borderId="2" applyBorder="1" applyAlignment="1">
      <alignment vertical="center" horizontal="left"/>
    </xf>
    <xf numFmtId="1" applyNumberFormat="1" fontId="4" applyFont="1" applyAlignment="1">
      <alignment vertical="center"/>
    </xf>
    <xf numFmtId="1" applyNumberFormat="1" fontId="5" applyFont="1" borderId="3" applyBorder="1" applyAlignment="1">
      <alignment vertical="center" horizontal="left"/>
    </xf>
    <xf numFmtId="1" applyNumberFormat="1" fontId="4" applyFont="1" fillId="3" applyFill="1" applyAlignment="1">
      <alignment vertical="center"/>
    </xf>
    <xf numFmtId="1" applyNumberFormat="1" fontId="6" applyFont="1" borderId="4" applyBorder="1" applyAlignment="1">
      <alignment vertical="center"/>
    </xf>
    <xf numFmtId="3" applyNumberFormat="1" fontId="4" applyFont="1" borderId="5" applyBorder="1" applyAlignment="1">
      <alignment vertical="center" horizontal="center" wrapText="1"/>
    </xf>
    <xf numFmtId="1" applyNumberFormat="1" fontId="4" applyFont="1" borderId="6" applyBorder="1" applyAlignment="1">
      <alignment vertical="center" horizontal="center"/>
    </xf>
    <xf numFmtId="1" applyNumberFormat="1" fontId="4" applyFont="1" applyAlignment="1">
      <alignment vertical="center"/>
    </xf>
    <xf numFmtId="1" applyNumberFormat="1" fontId="2" applyFont="1" fillId="3" applyFill="1" applyAlignment="1">
      <alignment vertical="center" horizontal="center"/>
    </xf>
    <xf numFmtId="1" applyNumberFormat="1" fontId="2" applyFont="1" fillId="3" applyFill="1" applyAlignment="1">
      <alignment vertical="center"/>
    </xf>
    <xf numFmtId="4" applyNumberFormat="1" fontId="5" applyFont="1" applyAlignment="1">
      <alignment vertical="center" horizontal="left"/>
    </xf>
    <xf numFmtId="1" applyNumberFormat="1" fontId="2" applyFont="1" fillId="3" applyFill="1" applyAlignment="1">
      <alignment vertical="center" horizontal="center"/>
    </xf>
    <xf numFmtId="1" applyNumberFormat="1" fontId="2" applyFont="1" applyAlignment="1">
      <alignment vertical="center" horizontal="right"/>
    </xf>
    <xf numFmtId="5" applyNumberFormat="1" fontId="2" applyFont="1" fillId="2" applyFill="1" applyAlignment="1">
      <alignment vertical="center" horizontal="right"/>
    </xf>
    <xf numFmtId="1" applyNumberFormat="1" fontId="2" applyFont="1" fillId="2" applyFill="1" borderId="7" applyBorder="1" applyAlignment="1">
      <alignment vertical="center" horizontal="left"/>
    </xf>
    <xf numFmtId="1" applyNumberFormat="1" fontId="5" applyFont="1" borderId="8" applyBorder="1" applyAlignment="1">
      <alignment vertical="center" horizontal="left"/>
    </xf>
    <xf numFmtId="1" applyNumberFormat="1" fontId="2" applyFont="1" fillId="4" applyFill="1" borderId="9" applyBorder="1" applyAlignment="1">
      <alignment vertical="center" horizontal="center"/>
    </xf>
    <xf numFmtId="1" applyNumberFormat="1" fontId="2" applyFont="1" fillId="5" applyFill="1" borderId="10" applyBorder="1" applyAlignment="1">
      <alignment vertical="center" horizontal="left"/>
    </xf>
    <xf numFmtId="1" applyNumberFormat="1" fontId="2" applyFont="1" applyAlignment="1">
      <alignment vertical="center" horizontal="left"/>
    </xf>
    <xf numFmtId="1" applyNumberFormat="1" fontId="2" applyFont="1" fillId="2" applyFill="1" applyAlignment="1">
      <alignment vertical="center" horizontal="left" wrapText="1"/>
    </xf>
    <xf numFmtId="1" applyNumberFormat="1" fontId="2" applyFont="1" fillId="2" applyFill="1" applyAlignment="1">
      <alignment vertical="center" horizontal="left"/>
    </xf>
    <xf numFmtId="6" applyNumberFormat="1" fontId="2" applyFont="1" fillId="2" applyFill="1" borderId="11" applyBorder="1" applyAlignment="1">
      <alignment vertical="center" horizontal="center"/>
    </xf>
    <xf numFmtId="1" applyNumberFormat="1" fontId="5" applyFont="1" applyAlignment="1">
      <alignment vertical="center"/>
    </xf>
    <xf numFmtId="1" applyNumberFormat="1" fontId="2" applyFont="1" applyAlignment="1">
      <alignment vertical="center" horizontal="left" wrapText="1"/>
    </xf>
    <xf numFmtId="1" applyNumberFormat="1" fontId="1" applyFont="1" applyAlignment="1">
      <alignment vertical="center" horizontal="right"/>
    </xf>
    <xf numFmtId="1" applyNumberFormat="1" fontId="2" applyFont="1" fillId="5" applyFill="1" borderId="12" applyBorder="1" applyAlignment="1">
      <alignment vertical="center" horizontal="center" wrapText="1"/>
    </xf>
    <xf numFmtId="1" applyNumberFormat="1" fontId="2" applyFont="1" applyAlignment="1">
      <alignment vertical="center" horizontal="center"/>
    </xf>
    <xf numFmtId="1" applyNumberFormat="1" fontId="2" applyFont="1" fillId="2" applyFill="1" borderId="13" applyBorder="1" applyAlignment="1">
      <alignment vertical="center" horizontal="center" wrapText="1"/>
    </xf>
    <xf numFmtId="1" applyNumberFormat="1" fontId="1" applyFont="1" fillId="2" applyFill="1" borderId="14" applyBorder="1" applyAlignment="1">
      <alignment horizontal="left" wrapText="1"/>
    </xf>
    <xf numFmtId="7" applyNumberFormat="1" fontId="5" applyFont="1" borderId="15" applyBorder="1" applyAlignment="1">
      <alignment vertical="center" horizontal="right"/>
    </xf>
    <xf numFmtId="1" applyNumberFormat="1" fontId="2" applyFont="1" borderId="16" applyBorder="1" applyAlignment="1">
      <alignment vertical="center" horizontal="left"/>
    </xf>
    <xf numFmtId="1" applyNumberFormat="1" fontId="2" applyFont="1" fillId="6" applyFill="1" borderId="17" applyBorder="1" applyAlignment="1">
      <alignment vertical="center" horizontal="left"/>
    </xf>
    <xf numFmtId="6" applyNumberFormat="1" fontId="2" applyFont="1" fillId="5" applyFill="1" borderId="18" applyBorder="1" applyAlignment="1">
      <alignment vertical="center" horizontal="center" wrapText="1"/>
    </xf>
    <xf numFmtId="8" applyNumberFormat="1" fontId="7" applyFont="1" borderId="19" applyBorder="1" applyAlignment="1">
      <alignment vertical="center" horizontal="left"/>
    </xf>
    <xf numFmtId="1" applyNumberFormat="1" fontId="8" applyFont="1" applyAlignment="1">
      <alignment vertical="center" horizontal="right" wrapText="1"/>
    </xf>
    <xf numFmtId="1" applyNumberFormat="1" fontId="5" applyFont="1" borderId="20" applyBorder="1" applyAlignment="1">
      <alignment vertical="top" horizontal="left"/>
    </xf>
    <xf numFmtId="4" applyNumberFormat="1" fontId="2" applyFont="1" applyAlignment="1">
      <alignment vertical="center" horizontal="left" wrapText="1"/>
    </xf>
    <xf numFmtId="9" applyNumberFormat="1" fontId="2" applyFont="1" borderId="21" applyBorder="1" applyAlignment="1">
      <alignment vertical="center" horizontal="center" wrapText="1"/>
    </xf>
    <xf numFmtId="1" applyNumberFormat="1" fontId="2" applyFont="1" fillId="7" applyFill="1" borderId="17" applyBorder="1" applyAlignment="1">
      <alignment vertical="center" horizontal="left"/>
    </xf>
    <xf numFmtId="1" applyNumberFormat="1" fontId="2" applyFont="1" fillId="3" applyFill="1" applyAlignment="1">
      <alignment vertical="center" horizontal="right"/>
    </xf>
    <xf numFmtId="1" applyNumberFormat="1" fontId="9" applyFont="1" applyAlignment="1">
      <alignment vertical="center" horizontal="center"/>
    </xf>
    <xf numFmtId="1" applyNumberFormat="1" fontId="4" applyFont="1" fillId="8" applyFill="1" borderId="17" applyBorder="1" applyAlignment="1">
      <alignment vertical="center" horizontal="left" wrapText="1"/>
    </xf>
    <xf numFmtId="1" applyNumberFormat="1" fontId="10" applyFont="1" fillId="9" applyFill="1" applyAlignment="1">
      <alignment vertical="center" horizontal="left"/>
    </xf>
    <xf numFmtId="1" applyNumberFormat="1" fontId="2" applyFont="1" fillId="5" applyFill="1" borderId="22" applyBorder="1" applyAlignment="1">
      <alignment vertical="center" horizontal="left" wrapText="1"/>
    </xf>
    <xf numFmtId="9" applyNumberFormat="1" fontId="2" applyFont="1" applyAlignment="1">
      <alignment vertical="center" horizontal="center"/>
    </xf>
    <xf numFmtId="1" applyNumberFormat="1" fontId="2" applyFont="1" applyAlignment="1">
      <alignment vertical="center"/>
    </xf>
    <xf numFmtId="1" applyNumberFormat="1" fontId="4" applyFont="1" applyAlignment="1">
      <alignment vertical="center" horizontal="center"/>
    </xf>
    <xf numFmtId="1" applyNumberFormat="1" fontId="11" applyFont="1" borderId="23" applyBorder="1" applyAlignment="1">
      <alignment vertical="center" horizontal="left"/>
    </xf>
    <xf numFmtId="1" applyNumberFormat="1" fontId="12" applyFont="1" borderId="23" applyBorder="1" applyAlignment="1">
      <alignment vertical="center" horizontal="left"/>
    </xf>
    <xf numFmtId="7" applyNumberFormat="1" fontId="5" applyFont="1" borderId="24" applyBorder="1" applyAlignment="1">
      <alignment vertical="center" horizontal="right"/>
    </xf>
    <xf numFmtId="1" applyNumberFormat="1" fontId="2" applyFont="1" fillId="5" applyFill="1" borderId="25" applyBorder="1" applyAlignment="1">
      <alignment vertical="center" horizontal="left" wrapText="1"/>
    </xf>
    <xf numFmtId="1" applyNumberFormat="1" fontId="9" applyFont="1" applyAlignment="1">
      <alignment vertical="center" horizontal="left"/>
    </xf>
    <xf numFmtId="1" applyNumberFormat="1" fontId="4" applyFont="1" borderId="25" applyBorder="1" applyAlignment="1">
      <alignment vertical="center" horizontal="left" wrapText="1"/>
    </xf>
    <xf numFmtId="1" applyNumberFormat="1" fontId="2" applyFont="1" applyAlignment="1">
      <alignment vertical="center"/>
    </xf>
    <xf numFmtId="1" applyNumberFormat="1" fontId="2" applyFont="1" fillId="2" applyFill="1" borderId="26" applyBorder="1" applyAlignment="1">
      <alignment vertical="center" horizontal="left" wrapText="1"/>
    </xf>
    <xf numFmtId="10" applyNumberFormat="1" fontId="1" applyFont="1" borderId="17" applyBorder="1" applyAlignment="1">
      <alignment vertical="center" horizontal="center"/>
    </xf>
    <xf numFmtId="1" applyNumberFormat="1" fontId="2" applyFont="1" fillId="3" applyFill="1" applyAlignment="1">
      <alignment vertical="center" horizontal="left"/>
    </xf>
    <xf numFmtId="1" applyNumberFormat="1" fontId="5" applyFont="1" applyAlignment="1">
      <alignment vertical="center"/>
    </xf>
    <xf numFmtId="11" applyNumberFormat="1" fontId="2" applyFont="1" fillId="5" applyFill="1" borderId="25" applyBorder="1" applyAlignment="1">
      <alignment vertical="center" horizontal="left"/>
    </xf>
    <xf numFmtId="1" applyNumberFormat="1" fontId="8" applyFont="1" applyAlignment="1">
      <alignment vertical="center" horizontal="left"/>
    </xf>
    <xf numFmtId="1" applyNumberFormat="1" fontId="5" applyFont="1" borderId="27" applyBorder="1" applyAlignment="1">
      <alignment vertical="center" horizontal="left"/>
    </xf>
    <xf numFmtId="1" applyNumberFormat="1" fontId="13" applyFont="1" fillId="10" applyFill="1" borderId="10" applyBorder="1" applyAlignment="1">
      <alignment vertical="center" horizontal="left"/>
    </xf>
    <xf numFmtId="1" applyNumberFormat="1" fontId="4" applyFont="1" applyAlignment="1">
      <alignment vertical="center"/>
    </xf>
    <xf numFmtId="1" applyNumberFormat="1" fontId="4" applyFont="1" applyAlignment="1">
      <alignment vertical="center"/>
    </xf>
    <xf numFmtId="1" applyNumberFormat="1" fontId="14" applyFont="1" fillId="9" applyFill="1" applyAlignment="1">
      <alignment vertical="center" horizontal="left"/>
    </xf>
    <xf numFmtId="1" applyNumberFormat="1" fontId="6" applyFont="1" applyAlignment="1">
      <alignment vertical="top" horizontal="center" wrapText="1"/>
    </xf>
    <xf numFmtId="1" applyNumberFormat="1" fontId="2" applyFont="1" fillId="2" applyFill="1" borderId="28" applyBorder="1" applyAlignment="1">
      <alignment vertical="center"/>
    </xf>
    <xf numFmtId="6" applyNumberFormat="1" fontId="2" applyFont="1" fillId="2" applyFill="1" borderId="29" applyBorder="1" applyAlignment="1">
      <alignment vertical="center" horizontal="center"/>
    </xf>
    <xf numFmtId="1" applyNumberFormat="1" fontId="5" applyFont="1" applyAlignment="1">
      <alignment vertical="center" horizontal="left" wrapText="1"/>
    </xf>
    <xf numFmtId="1" applyNumberFormat="1" fontId="2" applyFont="1" borderId="21" applyBorder="1" applyAlignment="1">
      <alignment vertical="center" horizontal="left" wrapText="1"/>
    </xf>
    <xf numFmtId="1" applyNumberFormat="1" fontId="2" applyFont="1" fillId="2" applyFill="1" borderId="30" applyBorder="1" applyAlignment="1">
      <alignment vertical="center" horizontal="left" wrapText="1"/>
    </xf>
    <xf numFmtId="1" applyNumberFormat="1" fontId="1" applyFont="1" fillId="3" applyFill="1" applyAlignment="1">
      <alignment vertical="center" horizontal="center"/>
    </xf>
    <xf numFmtId="1" applyNumberFormat="1" fontId="15" applyFont="1" applyAlignment="1">
      <alignment vertical="center"/>
    </xf>
    <xf numFmtId="1" applyNumberFormat="1" fontId="5" applyFont="1" borderId="3" applyBorder="1" applyAlignment="1">
      <alignment vertical="center" horizontal="left"/>
    </xf>
    <xf numFmtId="1" applyNumberFormat="1" fontId="13" applyFont="1" fillId="11" applyFill="1" borderId="10" applyBorder="1" applyAlignment="1">
      <alignment vertical="center" horizontal="left"/>
    </xf>
    <xf numFmtId="1" applyNumberFormat="1" fontId="13" applyFont="1" fillId="12" applyFill="1" borderId="10" applyBorder="1" applyAlignment="1">
      <alignment vertical="center" horizontal="left"/>
    </xf>
    <xf numFmtId="1" applyNumberFormat="1" fontId="1" applyFont="1" applyAlignment="1">
      <alignment vertical="center"/>
    </xf>
    <xf numFmtId="1" applyNumberFormat="1" fontId="2" applyFont="1" fillId="3" applyFill="1" borderId="9" applyBorder="1" applyAlignment="1">
      <alignment vertical="center" horizontal="center"/>
    </xf>
    <xf numFmtId="9" applyNumberFormat="1" fontId="9" applyFont="1" applyAlignment="1">
      <alignment vertical="center" horizontal="left"/>
    </xf>
    <xf numFmtId="1" applyNumberFormat="1" fontId="2" applyFont="1" applyAlignment="1">
      <alignment vertical="center" horizontal="center"/>
    </xf>
    <xf numFmtId="1" applyNumberFormat="1" fontId="2" applyFont="1" borderId="18" applyBorder="1" applyAlignment="1">
      <alignment vertical="center" horizontal="center" wrapText="1"/>
    </xf>
    <xf numFmtId="1" applyNumberFormat="1" fontId="16" applyFont="1" applyAlignment="1">
      <alignment vertical="center" horizontal="center"/>
    </xf>
    <xf numFmtId="1" applyNumberFormat="1" fontId="2" applyFont="1" applyAlignment="1">
      <alignment vertical="center" horizontal="left"/>
    </xf>
    <xf numFmtId="1" applyNumberFormat="1" fontId="17" applyFont="1" applyAlignment="1">
      <alignment horizontal="center"/>
    </xf>
    <xf numFmtId="1" applyNumberFormat="1" fontId="5" applyFont="1" borderId="31" applyBorder="1" applyAlignment="1">
      <alignment vertical="center" horizontal="center" wrapText="1"/>
    </xf>
    <xf numFmtId="1" applyNumberFormat="1" fontId="8" applyFont="1" applyAlignment="1">
      <alignment vertical="center" horizontal="left" wrapText="1"/>
    </xf>
    <xf numFmtId="7" applyNumberFormat="1" fontId="5" applyFont="1" borderId="32" applyBorder="1" applyAlignment="1">
      <alignment vertical="center" horizontal="right"/>
    </xf>
    <xf numFmtId="1" applyNumberFormat="1" fontId="6" applyFont="1" applyAlignment="1">
      <alignment vertical="center" horizontal="left" wrapText="1"/>
    </xf>
    <xf numFmtId="1" applyNumberFormat="1" fontId="2" applyFont="1" fillId="5" applyFill="1" borderId="33" applyBorder="1" applyAlignment="1">
      <alignment vertical="top" horizontal="left" wrapText="1"/>
    </xf>
    <xf numFmtId="1" applyNumberFormat="1" fontId="1" applyFont="1" applyAlignment="1">
      <alignment vertical="center"/>
    </xf>
    <xf numFmtId="1" applyNumberFormat="1" fontId="2" applyFont="1" fillId="2" applyFill="1" borderId="34" applyBorder="1" applyAlignment="1">
      <alignment vertical="center" horizontal="left" wrapText="1"/>
    </xf>
    <xf numFmtId="1" applyNumberFormat="1" fontId="12" applyFont="1" borderId="23" applyBorder="1" applyAlignment="1">
      <alignment vertical="center" horizontal="right"/>
    </xf>
    <xf numFmtId="1" applyNumberFormat="1" fontId="5" applyFont="1" borderId="24" applyBorder="1" applyAlignment="1">
      <alignment vertical="center" horizontal="center" wrapText="1"/>
    </xf>
    <xf numFmtId="1" applyNumberFormat="1" fontId="2" applyFont="1" fillId="13" applyFill="1" borderId="9" applyBorder="1" applyAlignment="1">
      <alignment vertical="center" horizontal="center"/>
    </xf>
    <xf numFmtId="1" applyNumberFormat="1" fontId="14" applyFont="1" fillId="9" applyFill="1" applyAlignment="1">
      <alignment vertical="center" horizontal="left" wrapText="1"/>
    </xf>
    <xf numFmtId="1" applyNumberFormat="1" fontId="2" applyFont="1" fillId="3" applyFill="1" applyAlignment="1">
      <alignment vertical="center"/>
    </xf>
    <xf numFmtId="2" applyNumberFormat="1" fontId="2" applyFont="1" fillId="2" applyFill="1" borderId="35" applyBorder="1" applyAlignment="1">
      <alignment vertical="center" horizontal="center"/>
    </xf>
    <xf numFmtId="1" applyNumberFormat="1" fontId="2" applyFont="1" fillId="2" applyFill="1" borderId="36" applyBorder="1" applyAlignment="1">
      <alignment vertical="center" horizontal="center"/>
    </xf>
    <xf numFmtId="1" applyNumberFormat="1" fontId="2" applyFont="1" fillId="2" applyFill="1" borderId="37" applyBorder="1" applyAlignment="1">
      <alignment vertical="center"/>
    </xf>
    <xf numFmtId="1" applyNumberFormat="1" fontId="18" applyFont="1" applyAlignment="1">
      <alignment vertical="center"/>
    </xf>
    <xf numFmtId="1" applyNumberFormat="1" fontId="11" applyFont="1" applyAlignment="1">
      <alignment vertical="center" wrapText="1"/>
    </xf>
    <xf numFmtId="1" applyNumberFormat="1" fontId="1" applyFont="1" fillId="14" applyFill="1" applyAlignment="1">
      <alignment vertical="center" horizontal="left"/>
    </xf>
    <xf numFmtId="1" applyNumberFormat="1" fontId="4" applyFont="1" borderId="38" applyBorder="1" applyAlignment="1">
      <alignment vertical="center" wrapText="1"/>
    </xf>
    <xf numFmtId="1" applyNumberFormat="1" fontId="2" applyFont="1" fillId="3" applyFill="1" borderId="14" applyBorder="1" applyAlignment="1">
      <alignment vertical="center" horizontal="right" wrapText="1"/>
    </xf>
    <xf numFmtId="1" applyNumberFormat="1" fontId="1" applyFont="1" fillId="3" applyFill="1" applyAlignment="1">
      <alignment vertical="center"/>
    </xf>
    <xf numFmtId="1" applyNumberFormat="1" fontId="1" applyFont="1" applyAlignment="1">
      <alignment/>
    </xf>
    <xf numFmtId="4" applyNumberFormat="1" fontId="2" applyFont="1" applyAlignment="1">
      <alignment vertical="center" horizontal="left"/>
    </xf>
    <xf numFmtId="1" applyNumberFormat="1" fontId="4" applyFont="1" borderId="39" applyBorder="1" applyAlignment="1">
      <alignment vertical="center" wrapText="1"/>
    </xf>
    <xf numFmtId="5" applyNumberFormat="1" fontId="2" applyFont="1" applyAlignment="1">
      <alignment vertical="center" horizontal="left"/>
    </xf>
    <xf numFmtId="1" applyNumberFormat="1" fontId="10" applyFont="1" applyAlignment="1">
      <alignment vertical="center"/>
    </xf>
    <xf numFmtId="1" applyNumberFormat="1" fontId="1" applyFont="1" fillId="3" applyFill="1" applyAlignment="1">
      <alignment vertical="center"/>
    </xf>
    <xf numFmtId="4" applyNumberFormat="1" fontId="4" applyFont="1" fillId="8" applyFill="1" borderId="17" applyBorder="1" applyAlignment="1">
      <alignment vertical="center" horizontal="left" wrapText="1"/>
    </xf>
    <xf numFmtId="6" applyNumberFormat="1" fontId="2" applyFont="1" fillId="5" applyFill="1" borderId="40" applyBorder="1" applyAlignment="1">
      <alignment vertical="center" horizontal="right" wrapText="1"/>
    </xf>
    <xf numFmtId="4" applyNumberFormat="1" fontId="2" applyFont="1" fillId="2" applyFill="1" applyAlignment="1">
      <alignment vertical="center" horizontal="center"/>
    </xf>
    <xf numFmtId="1" applyNumberFormat="1" fontId="2" applyFont="1" fillId="5" applyFill="1" borderId="40" applyBorder="1" applyAlignment="1">
      <alignment vertical="center" horizontal="right" wrapText="1"/>
    </xf>
    <xf numFmtId="12" applyNumberFormat="1" fontId="8" applyFont="1" borderId="41" applyBorder="1" applyAlignment="1">
      <alignment vertical="center" horizontal="right"/>
    </xf>
    <xf numFmtId="1" applyNumberFormat="1" fontId="1" applyFont="1" borderId="23" applyBorder="1" applyAlignment="1">
      <alignment vertical="center"/>
    </xf>
    <xf numFmtId="1" applyNumberFormat="1" fontId="5" applyFont="1" applyAlignment="1">
      <alignment vertical="center" horizontal="center"/>
    </xf>
    <xf numFmtId="7" applyNumberFormat="1" fontId="5" applyFont="1" borderId="42" applyBorder="1" applyAlignment="1">
      <alignment vertical="center" horizontal="right"/>
    </xf>
    <xf numFmtId="1" applyNumberFormat="1" fontId="2" applyFont="1" borderId="17" applyBorder="1" applyAlignment="1">
      <alignment vertical="center" horizontal="left" wrapText="1"/>
    </xf>
    <xf numFmtId="1" applyNumberFormat="1" fontId="1" applyFont="1" applyAlignment="1">
      <alignment vertical="center" horizontal="left"/>
    </xf>
    <xf numFmtId="1" applyNumberFormat="1" fontId="19" applyFont="1" applyAlignment="1">
      <alignment vertical="center" wrapText="1"/>
    </xf>
    <xf numFmtId="5" applyNumberFormat="1" fontId="2" applyFont="1" applyAlignment="1">
      <alignment vertical="center" horizontal="left"/>
    </xf>
    <xf numFmtId="1" applyNumberFormat="1" fontId="4" applyFont="1" borderId="38" applyBorder="1" applyAlignment="1">
      <alignment vertical="center" horizontal="center" wrapText="1"/>
    </xf>
    <xf numFmtId="1" applyNumberFormat="1" fontId="2" applyFont="1" fillId="5" applyFill="1" borderId="43" applyBorder="1" applyAlignment="1">
      <alignment vertical="center" horizontal="left"/>
    </xf>
    <xf numFmtId="1" applyNumberFormat="1" fontId="2" applyFont="1" fillId="3" applyFill="1" applyAlignment="1">
      <alignment vertical="center"/>
    </xf>
    <xf numFmtId="3" applyNumberFormat="1" fontId="4" applyFont="1" applyAlignment="1">
      <alignment vertical="center" horizontal="left"/>
    </xf>
    <xf numFmtId="5" applyNumberFormat="1" fontId="2" applyFont="1" fillId="2" applyFill="1" applyAlignment="1">
      <alignment vertical="center" horizontal="right"/>
    </xf>
    <xf numFmtId="1" applyNumberFormat="1" fontId="2" applyFont="1" fillId="2" applyFill="1" borderId="14" applyBorder="1" applyAlignment="1">
      <alignment vertical="center" horizontal="left" wrapText="1"/>
    </xf>
    <xf numFmtId="1" applyNumberFormat="1" fontId="5" applyFont="1" applyAlignment="1">
      <alignment vertical="center" horizontal="right"/>
    </xf>
    <xf numFmtId="1" applyNumberFormat="1" fontId="2" applyFont="1" fillId="6" applyFill="1" borderId="17" applyBorder="1" applyAlignment="1">
      <alignment vertical="center" horizontal="right" wrapText="1"/>
    </xf>
    <xf numFmtId="1" applyNumberFormat="1" fontId="2" applyFont="1" applyAlignment="1">
      <alignment vertical="center" horizontal="left"/>
    </xf>
    <xf numFmtId="1" applyNumberFormat="1" fontId="2" applyFont="1" fillId="15" applyFill="1" borderId="9" applyBorder="1" applyAlignment="1">
      <alignment vertical="center" horizontal="center"/>
    </xf>
    <xf numFmtId="1" applyNumberFormat="1" fontId="2" applyFont="1" applyAlignment="1">
      <alignment vertical="center"/>
    </xf>
    <xf numFmtId="1" applyNumberFormat="1" fontId="2" applyFont="1" fillId="3" applyFill="1" applyAlignment="1">
      <alignment vertical="center"/>
    </xf>
    <xf numFmtId="1" applyNumberFormat="1" fontId="2" applyFont="1" fillId="3" applyFill="1" applyAlignment="1">
      <alignment vertical="center" horizontal="left"/>
    </xf>
    <xf numFmtId="1" applyNumberFormat="1" fontId="1" applyFont="1" borderId="44" applyBorder="1" applyAlignment="1">
      <alignment vertical="center"/>
    </xf>
    <xf numFmtId="1" applyNumberFormat="1" fontId="2" applyFont="1" fillId="3" applyFill="1" borderId="45" applyBorder="1" applyAlignment="1">
      <alignment vertical="center" horizontal="right" wrapText="1"/>
    </xf>
    <xf numFmtId="1" applyNumberFormat="1" fontId="2" applyFont="1" applyAlignment="1">
      <alignment vertical="center" horizontal="left"/>
    </xf>
    <xf numFmtId="1" applyNumberFormat="1" fontId="2" applyFont="1" fillId="16" applyFill="1" borderId="17" applyBorder="1" applyAlignment="1">
      <alignment vertical="center" horizontal="left"/>
    </xf>
    <xf numFmtId="5" applyNumberFormat="1" fontId="15" applyFont="1" fillId="2" applyFill="1" borderId="46" applyBorder="1" applyAlignment="1">
      <alignment vertical="center" horizontal="center"/>
    </xf>
    <xf numFmtId="1" applyNumberFormat="1" fontId="6" applyFont="1" borderId="47" applyBorder="1" applyAlignment="1">
      <alignment vertical="center" horizontal="center"/>
    </xf>
    <xf numFmtId="1" applyNumberFormat="1" fontId="1" applyFont="1" borderId="17" applyBorder="1" applyAlignment="1">
      <alignment vertical="center" horizontal="center"/>
    </xf>
    <xf numFmtId="1" applyNumberFormat="1" fontId="6" applyFont="1" applyAlignment="1">
      <alignment vertical="center" horizontal="left"/>
    </xf>
    <xf numFmtId="5" applyNumberFormat="1" fontId="4" applyFont="1" fillId="8" applyFill="1" borderId="17" applyBorder="1" applyAlignment="1">
      <alignment vertical="center" horizontal="left" wrapText="1"/>
    </xf>
    <xf numFmtId="1" applyNumberFormat="1" fontId="5" applyFont="1" borderId="48" applyBorder="1" applyAlignment="1">
      <alignment vertical="center" horizontal="left"/>
    </xf>
    <xf numFmtId="1" applyNumberFormat="1" fontId="2" applyFont="1" fillId="5" applyFill="1" borderId="18" applyBorder="1" applyAlignment="1">
      <alignment vertical="center" horizontal="center" wrapText="1"/>
    </xf>
    <xf numFmtId="1" applyNumberFormat="1" fontId="10" applyFont="1" fillId="9" applyFill="1" applyAlignment="1">
      <alignment vertical="center" horizontal="left"/>
    </xf>
    <xf numFmtId="1" applyNumberFormat="1" fontId="17" applyFont="1" applyAlignment="1">
      <alignment horizontal="center"/>
    </xf>
    <xf numFmtId="1" applyNumberFormat="1" fontId="4" applyFont="1" borderId="49" applyBorder="1" applyAlignment="1">
      <alignment vertical="center" horizontal="left" wrapText="1"/>
    </xf>
    <xf numFmtId="1" applyNumberFormat="1" fontId="2" applyFont="1" fillId="17" applyFill="1" borderId="17" applyBorder="1" applyAlignment="1">
      <alignment vertical="center" horizontal="left" wrapText="1"/>
    </xf>
    <xf numFmtId="1" applyNumberFormat="1" fontId="20" applyFont="1" fillId="5" applyFill="1" borderId="50" applyBorder="1" applyAlignment="1">
      <alignment vertical="center" horizontal="center"/>
    </xf>
    <xf numFmtId="1" applyNumberFormat="1" fontId="2" applyFont="1" fillId="9" applyFill="1" applyAlignment="1">
      <alignment vertical="center" horizontal="left"/>
    </xf>
    <xf numFmtId="1" applyNumberFormat="1" fontId="4" applyFont="1" applyAlignment="1">
      <alignment vertical="center"/>
    </xf>
    <xf numFmtId="1" applyNumberFormat="1" fontId="21" applyFont="1" fillId="3" applyFill="1" applyAlignment="1">
      <alignment vertical="center" horizontal="right"/>
    </xf>
    <xf numFmtId="1" applyNumberFormat="1" fontId="2" applyFont="1" applyAlignment="1">
      <alignment vertical="center" horizontal="center" wrapText="1"/>
    </xf>
    <xf numFmtId="1" applyNumberFormat="1" fontId="22" applyFont="1" borderId="50" applyBorder="1" applyAlignment="1">
      <alignment vertical="center" horizontal="center" wrapText="1"/>
    </xf>
    <xf numFmtId="1" applyNumberFormat="1" fontId="2" applyFont="1" fillId="11" applyFill="1" borderId="9" applyBorder="1" applyAlignment="1">
      <alignment vertical="center" horizontal="center"/>
    </xf>
    <xf numFmtId="3" applyNumberFormat="1" fontId="2" applyFont="1" applyAlignment="1">
      <alignment vertical="center" horizontal="left"/>
    </xf>
    <xf numFmtId="1" applyNumberFormat="1" fontId="23" applyFont="1" fillId="3" applyFill="1" applyAlignment="1">
      <alignment vertical="center" horizontal="left"/>
    </xf>
    <xf numFmtId="1" applyNumberFormat="1" fontId="17" applyFont="1" applyAlignment="1">
      <alignment horizontal="center"/>
    </xf>
    <xf numFmtId="5" applyNumberFormat="1" fontId="15" applyFont="1" borderId="46" applyBorder="1" applyAlignment="1">
      <alignment vertical="center" horizontal="center"/>
    </xf>
    <xf numFmtId="1" applyNumberFormat="1" fontId="1" applyFont="1" fillId="3" applyFill="1" applyAlignment="1">
      <alignment vertical="center" horizontal="center"/>
    </xf>
    <xf numFmtId="1" applyNumberFormat="1" fontId="4" applyFont="1" borderId="51" applyBorder="1" applyAlignment="1">
      <alignment vertical="center" horizontal="center"/>
    </xf>
    <xf numFmtId="1" applyNumberFormat="1" fontId="2" applyFont="1" borderId="52" applyBorder="1" applyAlignment="1">
      <alignment vertical="center" horizontal="left" wrapText="1"/>
    </xf>
    <xf numFmtId="1" applyNumberFormat="1" fontId="2" applyFont="1" applyAlignment="1">
      <alignment vertical="center" horizontal="left"/>
    </xf>
    <xf numFmtId="1" applyNumberFormat="1" fontId="1" applyFont="1" applyAlignment="1">
      <alignment vertical="center" horizontal="center"/>
    </xf>
    <xf numFmtId="1" applyNumberFormat="1" fontId="19" applyFont="1" applyAlignment="1">
      <alignment vertical="center"/>
    </xf>
    <xf numFmtId="7" applyNumberFormat="1" fontId="5" applyFont="1" borderId="53" applyBorder="1" applyAlignment="1">
      <alignment vertical="center" horizontal="right"/>
    </xf>
    <xf numFmtId="1" applyNumberFormat="1" fontId="5" applyFont="1" borderId="52" applyBorder="1" applyAlignment="1">
      <alignment vertical="top" horizontal="left"/>
    </xf>
    <xf numFmtId="1" applyNumberFormat="1" fontId="24" applyFont="1" fillId="2" applyFill="1" applyAlignment="1">
      <alignment vertical="center"/>
    </xf>
    <xf numFmtId="1" applyNumberFormat="1" fontId="25" applyFont="1" fillId="2" applyFill="1" borderId="14" applyBorder="1" applyAlignment="1">
      <alignment horizontal="left" wrapText="1"/>
    </xf>
    <xf numFmtId="1" applyNumberFormat="1" fontId="2" applyFont="1" applyAlignment="1">
      <alignment vertical="center" horizontal="left"/>
    </xf>
    <xf numFmtId="1" applyNumberFormat="1" fontId="5" applyFont="1" borderId="8" applyBorder="1" applyAlignment="1">
      <alignment vertical="center" horizontal="left"/>
    </xf>
    <xf numFmtId="1" applyNumberFormat="1" fontId="2" applyFont="1" applyAlignment="1">
      <alignment vertical="center" horizontal="center"/>
    </xf>
    <xf numFmtId="1" applyNumberFormat="1" fontId="10" applyFont="1" applyAlignment="1">
      <alignment vertical="center"/>
    </xf>
    <xf numFmtId="1" applyNumberFormat="1" fontId="1" applyFont="1" applyAlignment="1">
      <alignment vertical="center" horizontal="left"/>
    </xf>
    <xf numFmtId="1" applyNumberFormat="1" fontId="4" applyFont="1" borderId="54" applyBorder="1" applyAlignment="1">
      <alignment vertical="center"/>
    </xf>
    <xf numFmtId="1" applyNumberFormat="1" fontId="4" applyFont="1" applyAlignment="1">
      <alignment vertical="center"/>
    </xf>
    <xf numFmtId="1" applyNumberFormat="1" fontId="4" applyFont="1" borderId="23" applyBorder="1" applyAlignment="1">
      <alignment vertical="center"/>
    </xf>
    <xf numFmtId="1" applyNumberFormat="1" fontId="8" applyFont="1" applyAlignment="1">
      <alignment vertical="center" horizontal="right" wrapText="1"/>
    </xf>
    <xf numFmtId="13" applyNumberFormat="1" fontId="2" applyFont="1" fillId="5" applyFill="1" borderId="34" applyBorder="1" applyAlignment="1">
      <alignment vertical="center" horizontal="left"/>
    </xf>
    <xf numFmtId="1" applyNumberFormat="1" fontId="2" applyFont="1" applyAlignment="1">
      <alignment vertical="center" horizontal="left"/>
    </xf>
    <xf numFmtId="1" applyNumberFormat="1" fontId="2" applyFont="1" fillId="5" applyFill="1" borderId="55" applyBorder="1" applyAlignment="1">
      <alignment vertical="top" horizontal="left" wrapText="1"/>
    </xf>
    <xf numFmtId="6" applyNumberFormat="1" fontId="2" applyFont="1" fillId="5" applyFill="1" borderId="10" applyBorder="1" applyAlignment="1">
      <alignment vertical="center" horizontal="left" wrapText="1"/>
    </xf>
    <xf numFmtId="1" applyNumberFormat="1" fontId="1" applyFont="1" applyAlignment="1">
      <alignment vertical="center" horizontal="right"/>
    </xf>
    <xf numFmtId="8" applyNumberFormat="1" fontId="7" applyFont="1" borderId="13" applyBorder="1" applyAlignment="1">
      <alignment vertical="center" horizontal="center"/>
    </xf>
    <xf numFmtId="1" applyNumberFormat="1" fontId="4" applyFont="1" applyAlignment="1">
      <alignment vertical="center" horizontal="left"/>
    </xf>
    <xf numFmtId="1" applyNumberFormat="1" fontId="2" applyFont="1" fillId="2" applyFill="1" borderId="56" applyBorder="1" applyAlignment="1">
      <alignment vertical="center"/>
    </xf>
    <xf numFmtId="1" applyNumberFormat="1" fontId="2" applyFont="1" fillId="3" applyFill="1" borderId="49" applyBorder="1" applyAlignment="1">
      <alignment vertical="center" horizontal="right" wrapText="1"/>
    </xf>
    <xf numFmtId="1" applyNumberFormat="1" fontId="26" applyFont="1" borderId="57" applyBorder="1" applyAlignment="1">
      <alignment vertical="center" horizontal="left" wrapText="1"/>
    </xf>
    <xf numFmtId="1" applyNumberFormat="1" fontId="1" applyFont="1" fillId="7" applyFill="1" borderId="17" applyBorder="1" applyAlignment="1">
      <alignment vertical="center" horizontal="center"/>
    </xf>
    <xf numFmtId="9" applyNumberFormat="1" fontId="2" applyFont="1" fillId="5" applyFill="1" borderId="34" applyBorder="1" applyAlignment="1">
      <alignment vertical="center" horizontal="left"/>
    </xf>
    <xf numFmtId="1" applyNumberFormat="1" fontId="2" applyFont="1" applyAlignment="1">
      <alignment vertical="center" horizontal="center"/>
    </xf>
    <xf numFmtId="1" applyNumberFormat="1" fontId="2" applyFont="1" fillId="7" applyFill="1" borderId="17" applyBorder="1" applyAlignment="1">
      <alignment vertical="center" horizontal="right" wrapText="1"/>
    </xf>
    <xf numFmtId="1" applyNumberFormat="1" fontId="2" applyFont="1" fillId="18" applyFill="1" borderId="17" applyBorder="1" applyAlignment="1">
      <alignment vertical="center" horizontal="left"/>
    </xf>
    <xf numFmtId="14" applyNumberFormat="1" fontId="27" applyFont="1" fillId="9" applyFill="1" applyAlignment="1">
      <alignment vertical="center" horizontal="center"/>
    </xf>
    <xf numFmtId="1" applyNumberFormat="1" fontId="14" applyFont="1" fillId="9" applyFill="1" applyAlignment="1">
      <alignment vertical="center" horizontal="center" wrapText="1"/>
    </xf>
    <xf numFmtId="15" applyNumberFormat="1" fontId="2" applyFont="1" fillId="2" applyFill="1" borderId="34" applyBorder="1" applyAlignment="1">
      <alignment vertical="center" horizontal="left" wrapText="1"/>
    </xf>
    <xf numFmtId="1" applyNumberFormat="1" fontId="28" applyFont="1" applyAlignment="1">
      <alignment vertical="center" horizontal="right"/>
    </xf>
    <xf numFmtId="16" applyNumberFormat="1" fontId="2" applyFont="1" borderId="34" applyBorder="1" applyAlignment="1">
      <alignment vertical="center" horizontal="left"/>
    </xf>
    <xf numFmtId="1" applyNumberFormat="1" fontId="2" applyFont="1" fillId="19" applyFill="1" borderId="9" applyBorder="1" applyAlignment="1">
      <alignment vertical="center" horizontal="center"/>
    </xf>
    <xf numFmtId="1" applyNumberFormat="1" fontId="22" applyFont="1" borderId="18" applyBorder="1" applyAlignment="1">
      <alignment vertical="center" horizontal="center" wrapText="1"/>
    </xf>
    <xf numFmtId="1" applyNumberFormat="1" fontId="27" applyFont="1" fillId="9" applyFill="1" applyAlignment="1">
      <alignment vertical="center" horizontal="left" wrapText="1"/>
    </xf>
    <xf numFmtId="1" applyNumberFormat="1" fontId="2" applyFont="1" fillId="3" applyFill="1" applyAlignment="1">
      <alignment vertical="center" horizontal="left"/>
    </xf>
    <xf numFmtId="1" applyNumberFormat="1" fontId="2" applyFont="1" applyAlignment="1">
      <alignment vertical="center" horizontal="left"/>
    </xf>
    <xf numFmtId="1" applyNumberFormat="1" fontId="2" applyFont="1" fillId="3" applyFill="1" borderId="58" applyBorder="1" applyAlignment="1">
      <alignment vertical="center" wrapText="1"/>
    </xf>
    <xf numFmtId="8" applyNumberFormat="1" fontId="29" applyFont="1" borderId="19" applyBorder="1" applyAlignment="1">
      <alignment vertical="center" horizontal="left"/>
    </xf>
    <xf numFmtId="2" applyNumberFormat="1" fontId="2" applyFont="1" fillId="2" applyFill="1" borderId="59" applyBorder="1" applyAlignment="1">
      <alignment vertical="center" horizontal="center"/>
    </xf>
    <xf numFmtId="1" applyNumberFormat="1" fontId="5" applyFont="1" applyAlignment="1">
      <alignment vertical="center"/>
    </xf>
    <xf numFmtId="1" applyNumberFormat="1" fontId="8" applyFont="1" borderId="17" applyBorder="1" applyAlignment="1">
      <alignment vertical="center" horizontal="center" wrapText="1"/>
    </xf>
    <xf numFmtId="1" applyNumberFormat="1" fontId="5" applyFont="1" borderId="60" applyBorder="1" applyAlignment="1">
      <alignment vertical="top" horizontal="left" wrapText="1"/>
    </xf>
    <xf numFmtId="1" applyNumberFormat="1" fontId="10" applyFont="1" fillId="20" applyFill="1" borderId="61" applyBorder="1" applyAlignment="1">
      <alignment vertical="top" horizontal="center" wrapText="1"/>
    </xf>
    <xf numFmtId="1" applyNumberFormat="1" fontId="4" applyFont="1" borderId="5" applyBorder="1" applyAlignment="1">
      <alignment vertical="center" horizontal="center" wrapText="1"/>
    </xf>
    <xf numFmtId="1" applyNumberFormat="1" fontId="4" applyFont="1" borderId="54" applyBorder="1" applyAlignment="1">
      <alignment vertical="center"/>
    </xf>
    <xf numFmtId="1" applyNumberFormat="1" fontId="2" applyFont="1" fillId="2" applyFill="1" borderId="62" applyBorder="1" applyAlignment="1">
      <alignment vertical="center"/>
    </xf>
    <xf numFmtId="1" applyNumberFormat="1" fontId="2" applyFont="1" fillId="2" applyFill="1" borderId="10" applyBorder="1" applyAlignment="1">
      <alignment vertical="center" horizontal="left" wrapText="1"/>
    </xf>
    <xf numFmtId="1" applyNumberFormat="1" fontId="9" applyFont="1" applyAlignment="1">
      <alignment vertical="center"/>
    </xf>
    <xf numFmtId="9" applyNumberFormat="1" fontId="5" applyFont="1" applyAlignment="1">
      <alignment vertical="center" horizontal="center"/>
    </xf>
    <xf numFmtId="1" applyNumberFormat="1" fontId="30" applyFont="1" applyAlignment="1">
      <alignment vertical="center" wrapText="1"/>
    </xf>
    <xf numFmtId="1" applyNumberFormat="1" fontId="26" applyFont="1" fillId="3" applyFill="1" applyAlignment="1">
      <alignment vertical="center" horizontal="left"/>
    </xf>
    <xf numFmtId="1" applyNumberFormat="1" fontId="4" applyFont="1" borderId="39" applyBorder="1" applyAlignment="1">
      <alignment vertical="center" horizontal="center" wrapText="1"/>
    </xf>
    <xf numFmtId="1" applyNumberFormat="1" fontId="2" applyFont="1" fillId="3" applyFill="1" borderId="36" applyBorder="1" applyAlignment="1">
      <alignment vertical="center" horizontal="center"/>
    </xf>
    <xf numFmtId="1" applyNumberFormat="1" fontId="10" applyFont="1" fillId="20" applyFill="1" applyAlignment="1">
      <alignment vertical="top" horizontal="center" wrapText="1"/>
    </xf>
    <xf numFmtId="9" applyNumberFormat="1" fontId="2" applyFont="1" applyAlignment="1">
      <alignment vertical="center" horizontal="center"/>
    </xf>
    <xf numFmtId="1" applyNumberFormat="1" fontId="25" applyFont="1" fillId="2" applyFill="1" borderId="2" applyBorder="1" applyAlignment="1">
      <alignment horizontal="center"/>
    </xf>
    <xf numFmtId="1" applyNumberFormat="1" fontId="12" applyFont="1" applyAlignment="1">
      <alignment vertical="center" horizontal="left"/>
    </xf>
    <xf numFmtId="1" applyNumberFormat="1" fontId="26" applyFont="1" borderId="17" applyBorder="1" applyAlignment="1">
      <alignment vertical="center" horizontal="left" wrapText="1"/>
    </xf>
    <xf numFmtId="7" applyNumberFormat="1" fontId="5" applyFont="1" borderId="63" applyBorder="1" applyAlignment="1">
      <alignment vertical="center" horizontal="right"/>
    </xf>
    <xf numFmtId="1" applyNumberFormat="1" fontId="2" applyFont="1" fillId="18" applyFill="1" borderId="17" applyBorder="1" applyAlignment="1">
      <alignment vertical="center" horizontal="right" wrapText="1"/>
    </xf>
    <xf numFmtId="1" applyNumberFormat="1" fontId="13" applyFont="1" fillId="2" applyFill="1" borderId="43" applyBorder="1" applyAlignment="1">
      <alignment vertical="center" horizontal="left"/>
    </xf>
    <xf numFmtId="1" applyNumberFormat="1" fontId="5" applyFont="1" borderId="64" applyBorder="1" applyAlignment="1">
      <alignment vertical="center" horizontal="left" wrapText="1"/>
    </xf>
    <xf numFmtId="9" applyNumberFormat="1" fontId="2" applyFont="1" applyAlignment="1">
      <alignment vertical="center" horizontal="center"/>
    </xf>
    <xf numFmtId="1" applyNumberFormat="1" fontId="1" applyFont="1" applyAlignment="1">
      <alignment vertical="center" horizontal="left"/>
    </xf>
    <xf numFmtId="1" applyNumberFormat="1" fontId="2" applyFont="1" applyAlignment="1">
      <alignment vertical="center" horizontal="center"/>
    </xf>
    <xf numFmtId="1" applyNumberFormat="1" fontId="2" applyFont="1" fillId="14" applyFill="1" applyAlignment="1">
      <alignment vertical="center" horizontal="left"/>
    </xf>
    <xf numFmtId="1" applyNumberFormat="1" fontId="2" applyFont="1" fillId="3" applyFill="1" applyAlignment="1">
      <alignment vertical="center"/>
    </xf>
    <xf numFmtId="7" applyNumberFormat="1" fontId="5" applyFont="1" borderId="42" applyBorder="1" applyAlignment="1">
      <alignment vertical="center" horizontal="right"/>
    </xf>
    <xf numFmtId="1" applyNumberFormat="1" fontId="16" applyFont="1" applyAlignment="1">
      <alignment vertical="center" horizontal="left"/>
    </xf>
    <xf numFmtId="1" applyNumberFormat="1" fontId="1" applyFont="1" borderId="65" applyBorder="1" applyAlignment="1">
      <alignment vertical="center" horizontal="left" wrapText="1"/>
    </xf>
    <xf numFmtId="1" applyNumberFormat="1" fontId="5" applyFont="1" borderId="23" applyBorder="1" applyAlignment="1">
      <alignment vertical="top" horizontal="left"/>
    </xf>
    <xf numFmtId="1" applyNumberFormat="1" fontId="2" applyFont="1" fillId="3" applyFill="1" applyAlignment="1">
      <alignment vertical="center"/>
    </xf>
    <xf numFmtId="1" applyNumberFormat="1" fontId="1" applyFont="1" fillId="3" applyFill="1" applyAlignment="1">
      <alignment/>
    </xf>
    <xf numFmtId="1" applyNumberFormat="1" fontId="27" applyFont="1" fillId="9" applyFill="1" applyAlignment="1">
      <alignment vertical="center" horizontal="center" wrapText="1"/>
    </xf>
    <xf numFmtId="1" applyNumberFormat="1" fontId="2" applyFont="1" fillId="5" applyFill="1" borderId="66" applyBorder="1" applyAlignment="1">
      <alignment vertical="top" horizontal="left" wrapText="1"/>
    </xf>
    <xf numFmtId="1" applyNumberFormat="1" fontId="2" applyFont="1" applyAlignment="1">
      <alignment vertical="center"/>
    </xf>
    <xf numFmtId="1" applyNumberFormat="1" fontId="1" applyFont="1" applyAlignment="1">
      <alignment vertical="center" horizontal="center"/>
    </xf>
    <xf numFmtId="1" applyNumberFormat="1" fontId="31" applyFont="1" fillId="9" applyFill="1" applyAlignment="1">
      <alignment vertical="center" horizontal="left" wrapText="1"/>
    </xf>
    <xf numFmtId="1" applyNumberFormat="1" fontId="1" applyFont="1" fillId="14" applyFill="1" applyAlignment="1">
      <alignment vertical="center" horizontal="right"/>
    </xf>
    <xf numFmtId="1" applyNumberFormat="1" fontId="9" applyFont="1" applyAlignment="1">
      <alignment vertical="center"/>
    </xf>
    <xf numFmtId="1" applyNumberFormat="1" fontId="5" applyFont="1" applyAlignment="1">
      <alignment vertical="center" horizontal="left"/>
    </xf>
    <xf numFmtId="1" applyNumberFormat="1" fontId="2" applyFont="1" borderId="16" applyBorder="1" applyAlignment="1">
      <alignment vertical="center" horizontal="left"/>
    </xf>
    <xf numFmtId="1" applyNumberFormat="1" fontId="5" applyFont="1" borderId="67" applyBorder="1" applyAlignment="1">
      <alignment vertical="center" horizontal="left" wrapText="1"/>
    </xf>
    <xf numFmtId="1" applyNumberFormat="1" fontId="6" applyFont="1" borderId="68" applyBorder="1" applyAlignment="1">
      <alignment vertical="center"/>
    </xf>
    <xf numFmtId="1" applyNumberFormat="1" fontId="2" applyFont="1" fillId="3" applyFill="1" borderId="69" applyBorder="1" applyAlignment="1">
      <alignment vertical="center" wrapText="1"/>
    </xf>
    <xf numFmtId="1" applyNumberFormat="1" fontId="2" applyFont="1" applyAlignment="1">
      <alignment vertical="center"/>
    </xf>
    <xf numFmtId="1" applyNumberFormat="1" fontId="2" applyFont="1" fillId="2" applyFill="1" applyAlignment="1">
      <alignment vertical="center" horizontal="center"/>
    </xf>
    <xf numFmtId="4" applyNumberFormat="1" fontId="2" applyFont="1" fillId="7" applyFill="1" borderId="17" applyBorder="1" applyAlignment="1">
      <alignment vertical="center" horizontal="left"/>
    </xf>
    <xf numFmtId="9" applyNumberFormat="1" fontId="5" applyFont="1" applyAlignment="1">
      <alignment vertical="center" horizontal="left"/>
    </xf>
    <xf numFmtId="1" applyNumberFormat="1" fontId="13" applyFont="1" fillId="4" applyFill="1" borderId="10" applyBorder="1" applyAlignment="1">
      <alignment vertical="center" horizontal="left"/>
    </xf>
    <xf numFmtId="1" applyNumberFormat="1" fontId="31" applyFont="1" fillId="9" applyFill="1" applyAlignment="1">
      <alignment vertical="center" horizontal="left" wrapText="1"/>
    </xf>
    <xf numFmtId="1" applyNumberFormat="1" fontId="2" applyFont="1" fillId="3" applyFill="1" borderId="70" applyBorder="1" applyAlignment="1">
      <alignment vertical="center" horizontal="right" wrapText="1"/>
    </xf>
    <xf numFmtId="1" applyNumberFormat="1" fontId="2" applyFont="1" fillId="3" applyFill="1" applyAlignment="1">
      <alignment vertical="center"/>
    </xf>
    <xf numFmtId="1" applyNumberFormat="1" fontId="6" applyFont="1" borderId="71" applyBorder="1" applyAlignment="1">
      <alignment vertical="center" horizontal="center"/>
    </xf>
    <xf numFmtId="1" applyNumberFormat="1" fontId="32" applyFont="1" fillId="2" applyFill="1" applyAlignment="1">
      <alignment vertical="center"/>
    </xf>
    <xf numFmtId="3" applyNumberFormat="1" fontId="3" applyFont="1" fillId="2" applyFill="1" borderId="13" applyBorder="1" applyAlignment="1">
      <alignment vertical="center" horizontal="left"/>
    </xf>
    <xf numFmtId="1" applyNumberFormat="1" fontId="2" applyFont="1" fillId="2" applyFill="1" borderId="18" applyBorder="1" applyAlignment="1">
      <alignment vertical="center" horizontal="center" wrapText="1"/>
    </xf>
    <xf numFmtId="6" applyNumberFormat="1" fontId="2" applyFont="1" fillId="2" applyFill="1" borderId="10" applyBorder="1" applyAlignment="1">
      <alignment vertical="center" horizontal="left" wrapText="1"/>
    </xf>
    <xf numFmtId="1" applyNumberFormat="1" fontId="5" applyFont="1" borderId="15" applyBorder="1" applyAlignment="1">
      <alignment vertical="center" horizontal="center"/>
    </xf>
    <xf numFmtId="1" applyNumberFormat="1" fontId="4" applyFont="1" borderId="23" applyBorder="1" applyAlignment="1">
      <alignment vertical="center"/>
    </xf>
    <xf numFmtId="1" applyNumberFormat="1" fontId="2" applyFont="1" fillId="3" applyFill="1" applyAlignment="1">
      <alignment vertical="center"/>
    </xf>
    <xf numFmtId="7" applyNumberFormat="1" fontId="5" applyFont="1" borderId="72" applyBorder="1" applyAlignment="1">
      <alignment vertical="center" horizontal="right"/>
    </xf>
    <xf numFmtId="5" applyNumberFormat="1" fontId="15" applyFont="1" fillId="2" applyFill="1" borderId="46" applyBorder="1" applyAlignment="1">
      <alignment vertical="center" horizontal="center"/>
    </xf>
    <xf numFmtId="4" applyNumberFormat="1" fontId="33" applyFont="1" applyAlignment="1">
      <alignment vertical="center" horizontal="left"/>
    </xf>
    <xf numFmtId="1" applyNumberFormat="1" fontId="2" applyFont="1" applyAlignment="1">
      <alignment vertical="center"/>
    </xf>
    <xf numFmtId="1" applyNumberFormat="1" fontId="17" applyFont="1" applyAlignment="1">
      <alignment horizontal="center"/>
    </xf>
    <xf numFmtId="1" applyNumberFormat="1" fontId="2" applyFont="1" fillId="2" applyFill="1" borderId="73" applyBorder="1" applyAlignment="1">
      <alignment vertical="center"/>
    </xf>
    <xf numFmtId="1" applyNumberFormat="1" fontId="5" applyFont="1" applyAlignment="1">
      <alignment vertical="top" horizontal="left"/>
    </xf>
    <xf numFmtId="1" applyNumberFormat="1" fontId="5" applyFont="1" borderId="74" applyBorder="1" applyAlignment="1">
      <alignment vertical="top" horizontal="left"/>
    </xf>
    <xf numFmtId="12" applyNumberFormat="1" fontId="2" applyFont="1" applyAlignment="1">
      <alignment vertical="center" horizontal="center" wrapText="1"/>
    </xf>
    <xf numFmtId="1" applyNumberFormat="1" fontId="4" applyFont="1" borderId="75" applyBorder="1" applyAlignment="1">
      <alignment vertical="center" wrapText="1"/>
    </xf>
    <xf numFmtId="1" applyNumberFormat="1" fontId="2" applyFont="1" fillId="2" applyFill="1" borderId="76" applyBorder="1" applyAlignment="1">
      <alignment vertical="center" horizontal="left" wrapText="1"/>
    </xf>
    <xf numFmtId="1" applyNumberFormat="1" fontId="25" applyFont="1" fillId="2" applyFill="1" borderId="2" applyBorder="1" applyAlignment="1">
      <alignment horizontal="center"/>
    </xf>
    <xf numFmtId="1" applyNumberFormat="1" fontId="8" applyFont="1" borderId="17" applyBorder="1" applyAlignment="1">
      <alignment vertical="center" horizontal="center"/>
    </xf>
    <xf numFmtId="16" applyNumberFormat="1" fontId="2" applyFont="1" applyAlignment="1">
      <alignment vertical="center" horizontal="left"/>
    </xf>
    <xf numFmtId="1" applyNumberFormat="1" fontId="2" applyFont="1" fillId="21" applyFill="1" borderId="9" applyBorder="1" applyAlignment="1">
      <alignment vertical="center" horizontal="center"/>
    </xf>
    <xf numFmtId="1" applyNumberFormat="1" fontId="10" applyFont="1" fillId="22" applyFill="1" applyAlignment="1">
      <alignment vertical="top" horizontal="center" wrapText="1"/>
    </xf>
    <xf numFmtId="3" applyNumberFormat="1" fontId="2" applyFont="1" fillId="3" applyFill="1" applyAlignment="1">
      <alignment vertical="center" horizontal="left"/>
    </xf>
    <xf numFmtId="1" applyNumberFormat="1" fontId="2" applyFont="1" fillId="3" applyFill="1" applyAlignment="1">
      <alignment vertical="center"/>
    </xf>
    <xf numFmtId="1" applyNumberFormat="1" fontId="2" applyFont="1" fillId="2" applyFill="1" borderId="50" applyBorder="1" applyAlignment="1">
      <alignment vertical="center" horizontal="center" wrapText="1"/>
    </xf>
    <xf numFmtId="1" applyNumberFormat="1" fontId="2" applyFont="1" borderId="16" applyBorder="1" applyAlignment="1">
      <alignment vertical="center" horizontal="left"/>
    </xf>
    <xf numFmtId="1" applyNumberFormat="1" fontId="34" applyFont="1" fillId="20" applyFill="1" borderId="62" applyBorder="1" applyAlignment="1">
      <alignment vertical="center" horizontal="center"/>
    </xf>
    <xf numFmtId="1" applyNumberFormat="1" fontId="2" applyFont="1" applyAlignment="1">
      <alignment vertical="center"/>
    </xf>
    <xf numFmtId="1" applyNumberFormat="1" fontId="2" applyFont="1" fillId="2" applyFill="1" borderId="77" applyBorder="1" applyAlignment="1">
      <alignment vertical="center"/>
    </xf>
    <xf numFmtId="6" applyNumberFormat="1" fontId="2" applyFont="1" fillId="2" applyFill="1" borderId="78" applyBorder="1" applyAlignment="1">
      <alignment vertical="center" horizontal="center"/>
    </xf>
    <xf numFmtId="1" applyNumberFormat="1" fontId="35" applyFont="1" fillId="3" applyFill="1" applyAlignment="1">
      <alignment vertical="center" horizontal="right"/>
    </xf>
    <xf numFmtId="1" applyNumberFormat="1" fontId="2" applyFont="1" fillId="3" applyFill="1" borderId="79" applyBorder="1" applyAlignment="1">
      <alignment vertical="top"/>
    </xf>
    <xf numFmtId="1" applyNumberFormat="1" fontId="2" applyFont="1" applyAlignment="1">
      <alignment vertical="center" horizontal="left" wrapText="1"/>
    </xf>
    <xf numFmtId="1" applyNumberFormat="1" fontId="2" applyFont="1" fillId="3" applyFill="1" applyAlignment="1">
      <alignment vertical="center" horizontal="left"/>
    </xf>
    <xf numFmtId="1" applyNumberFormat="1" fontId="25" applyFont="1" fillId="2" applyFill="1" borderId="13" applyBorder="1" applyAlignment="1">
      <alignment/>
    </xf>
    <xf numFmtId="1" applyNumberFormat="1" fontId="1" applyFont="1" applyAlignment="1">
      <alignment/>
    </xf>
    <xf numFmtId="1" applyNumberFormat="1" fontId="5" applyFont="1" borderId="80" applyBorder="1" applyAlignment="1">
      <alignment vertical="top" horizontal="left"/>
    </xf>
    <xf numFmtId="1" applyNumberFormat="1" fontId="2" applyFont="1" fillId="5" applyFill="1" borderId="81" applyBorder="1" applyAlignment="1">
      <alignment vertical="center" horizontal="right"/>
    </xf>
    <xf numFmtId="17" applyNumberFormat="1" fontId="27" applyFont="1" fillId="9" applyFill="1" applyAlignment="1">
      <alignment vertical="center" horizontal="left"/>
    </xf>
    <xf numFmtId="1" applyNumberFormat="1" fontId="2" applyFont="1" applyAlignment="1">
      <alignment vertical="center"/>
    </xf>
    <xf numFmtId="1" applyNumberFormat="1" fontId="25" applyFont="1" fillId="2" applyFill="1" borderId="13" applyBorder="1" applyAlignment="1">
      <alignment horizontal="center"/>
    </xf>
    <xf numFmtId="1" applyNumberFormat="1" fontId="5" applyFont="1" borderId="23" applyBorder="1" applyAlignment="1">
      <alignment vertical="top" horizontal="left"/>
    </xf>
    <xf numFmtId="1" applyNumberFormat="1" fontId="27" applyFont="1" fillId="9" applyFill="1" applyAlignment="1">
      <alignment vertical="center" horizontal="center" wrapText="1"/>
    </xf>
    <xf numFmtId="1" applyNumberFormat="1" fontId="2" applyFont="1" fillId="3" applyFill="1" applyAlignment="1">
      <alignment vertical="center"/>
    </xf>
    <xf numFmtId="1" applyNumberFormat="1" fontId="8" applyFont="1" borderId="17" applyBorder="1" applyAlignment="1">
      <alignment vertical="center" horizontal="center" wrapText="1"/>
    </xf>
    <xf numFmtId="1" applyNumberFormat="1" fontId="34" applyFont="1" fillId="20" applyFill="1" borderId="62" applyBorder="1" applyAlignment="1">
      <alignment vertical="center" horizontal="center"/>
    </xf>
    <xf numFmtId="1" applyNumberFormat="1" fontId="2" applyFont="1" borderId="21" applyBorder="1" applyAlignment="1">
      <alignment vertical="center" horizontal="center" wrapText="1"/>
    </xf>
    <xf numFmtId="1" applyNumberFormat="1" fontId="14" applyFont="1" fillId="9" applyFill="1" applyAlignment="1">
      <alignment vertical="center" horizontal="left" wrapText="1"/>
    </xf>
    <xf numFmtId="1" applyNumberFormat="1" fontId="10" applyFont="1" fillId="9" applyFill="1" applyAlignment="1">
      <alignment vertical="center" horizontal="left" wrapText="1"/>
    </xf>
    <xf numFmtId="1" applyNumberFormat="1" fontId="4" applyFont="1" borderId="51" applyBorder="1" applyAlignment="1">
      <alignment vertical="center"/>
    </xf>
    <xf numFmtId="9" applyNumberFormat="1" fontId="2" applyFont="1" fillId="2" applyFill="1" borderId="76" applyBorder="1" applyAlignment="1">
      <alignment vertical="center" horizontal="left" wrapText="1"/>
    </xf>
    <xf numFmtId="1" applyNumberFormat="1" fontId="16" applyFont="1" applyAlignment="1">
      <alignment vertical="center" horizontal="center" wrapText="1"/>
    </xf>
    <xf numFmtId="1" applyNumberFormat="1" fontId="13" applyFont="1" fillId="15" applyFill="1" borderId="10" applyBorder="1" applyAlignment="1">
      <alignment vertical="center" horizontal="left"/>
    </xf>
    <xf numFmtId="1" applyNumberFormat="1" fontId="2" applyFont="1" fillId="3" applyFill="1" applyAlignment="1">
      <alignment vertical="center" horizontal="center"/>
    </xf>
    <xf numFmtId="1" applyNumberFormat="1" fontId="2" applyFont="1" applyAlignment="1">
      <alignment vertical="center" horizontal="left" wrapText="1"/>
    </xf>
    <xf numFmtId="5" applyNumberFormat="1" fontId="14" applyFont="1" fillId="9" applyFill="1" applyAlignment="1">
      <alignment vertical="center" horizontal="center"/>
    </xf>
    <xf numFmtId="5" applyNumberFormat="1" fontId="1" applyFont="1" borderId="17" applyBorder="1" applyAlignment="1">
      <alignment vertical="center" horizontal="center"/>
    </xf>
    <xf numFmtId="1" applyNumberFormat="1" fontId="2" applyFont="1" applyAlignment="1">
      <alignment vertical="center" horizontal="left" wrapText="1"/>
    </xf>
    <xf numFmtId="1" applyNumberFormat="1" fontId="13" applyFont="1" fillId="21" applyFill="1" borderId="10" applyBorder="1" applyAlignment="1">
      <alignment vertical="center" horizontal="left"/>
    </xf>
    <xf numFmtId="1" applyNumberFormat="1" fontId="22" applyFont="1" borderId="82" applyBorder="1" applyAlignment="1">
      <alignment vertical="center" horizontal="center" wrapText="1"/>
    </xf>
    <xf numFmtId="1" applyNumberFormat="1" fontId="2" applyFont="1" applyAlignment="1">
      <alignment vertical="center"/>
    </xf>
    <xf numFmtId="1" applyNumberFormat="1" fontId="20" applyFont="1" fillId="2" applyFill="1" borderId="50" applyBorder="1" applyAlignment="1">
      <alignment vertical="center" horizontal="center"/>
    </xf>
    <xf numFmtId="13" applyNumberFormat="1" fontId="2" applyFont="1" applyAlignment="1">
      <alignment vertical="center" horizontal="left"/>
    </xf>
    <xf numFmtId="1" applyNumberFormat="1" fontId="10" applyFont="1" applyAlignment="1">
      <alignment vertical="center"/>
    </xf>
    <xf numFmtId="1" applyNumberFormat="1" fontId="20" applyFont="1" fillId="5" applyFill="1" borderId="83" applyBorder="1" applyAlignment="1">
      <alignment vertical="center" horizontal="center"/>
    </xf>
    <xf numFmtId="1" applyNumberFormat="1" fontId="35" applyFont="1" applyAlignment="1">
      <alignment vertical="center" horizontal="right"/>
    </xf>
    <xf numFmtId="1" applyNumberFormat="1" fontId="8" applyFont="1" applyAlignment="1">
      <alignment vertical="center" wrapText="1"/>
    </xf>
    <xf numFmtId="1" applyNumberFormat="1" fontId="5" applyFont="1" borderId="61" applyBorder="1" applyAlignment="1">
      <alignment vertical="top" horizontal="left"/>
    </xf>
    <xf numFmtId="1" applyNumberFormat="1" fontId="2" applyFont="1" fillId="3" applyFill="1" borderId="17" applyBorder="1" applyAlignment="1">
      <alignment vertical="center" horizontal="left"/>
    </xf>
    <xf numFmtId="1" applyNumberFormat="1" fontId="36" applyFont="1" fillId="2" applyFill="1" applyAlignment="1">
      <alignment vertical="center" wrapText="1"/>
    </xf>
    <xf numFmtId="1" applyNumberFormat="1" fontId="2" applyFont="1" fillId="3" applyFill="1" applyAlignment="1">
      <alignment vertical="center" horizontal="right"/>
    </xf>
    <xf numFmtId="1" applyNumberFormat="1" fontId="4" applyFont="1" borderId="75" applyBorder="1" applyAlignment="1">
      <alignment vertical="center" wrapText="1"/>
    </xf>
    <xf numFmtId="1" applyNumberFormat="1" fontId="12" applyFont="1" applyAlignment="1">
      <alignment vertical="center" horizontal="right" wrapText="1"/>
    </xf>
    <xf numFmtId="1" applyNumberFormat="1" fontId="33" applyFont="1" applyAlignment="1">
      <alignment vertical="center" horizontal="left"/>
    </xf>
    <xf numFmtId="4" applyNumberFormat="1" fontId="33" applyFont="1" applyAlignment="1">
      <alignment vertical="center" horizontal="left"/>
    </xf>
    <xf numFmtId="5" applyNumberFormat="1" fontId="6" applyFont="1" applyAlignment="1">
      <alignment vertical="center" horizontal="left"/>
    </xf>
    <xf numFmtId="1" applyNumberFormat="1" fontId="1" applyFont="1" applyAlignment="1">
      <alignment vertical="center" horizontal="center"/>
    </xf>
    <xf numFmtId="7" applyNumberFormat="1" fontId="5" applyFont="1" borderId="84" applyBorder="1" applyAlignment="1">
      <alignment vertical="center" horizontal="right"/>
    </xf>
    <xf numFmtId="1" applyNumberFormat="1" fontId="5" applyFont="1" borderId="85" applyBorder="1" applyAlignment="1">
      <alignment vertical="top" horizontal="left"/>
    </xf>
    <xf numFmtId="1" applyNumberFormat="1" fontId="2" applyFont="1" fillId="14" applyFill="1" applyAlignment="1">
      <alignment vertical="center" horizontal="right"/>
    </xf>
    <xf numFmtId="1" applyNumberFormat="1" fontId="2" applyFont="1" fillId="3" applyFill="1" applyAlignment="1">
      <alignment vertical="center"/>
    </xf>
    <xf numFmtId="1" applyNumberFormat="1" fontId="14" applyFont="1" fillId="9" applyFill="1" applyAlignment="1">
      <alignment vertical="center" horizontal="center" wrapText="1"/>
    </xf>
    <xf numFmtId="3" applyNumberFormat="1" fontId="2" applyFont="1" applyAlignment="1">
      <alignment vertical="center" horizontal="left"/>
    </xf>
    <xf numFmtId="1" applyNumberFormat="1" fontId="2" applyFont="1" fillId="3" applyFill="1" applyAlignment="1">
      <alignment vertical="center"/>
    </xf>
    <xf numFmtId="1" applyNumberFormat="1" fontId="2" applyFont="1" fillId="3" applyFill="1" applyAlignment="1">
      <alignment vertical="center"/>
    </xf>
    <xf numFmtId="5" applyNumberFormat="1" fontId="2" applyFont="1" applyAlignment="1">
      <alignment vertical="center" horizontal="left"/>
    </xf>
    <xf numFmtId="1" applyNumberFormat="1" fontId="2" applyFont="1" applyAlignment="1">
      <alignment vertical="center" horizontal="left" wrapText="1"/>
    </xf>
    <xf numFmtId="1" applyNumberFormat="1" fontId="5" applyFont="1" applyAlignment="1">
      <alignment vertical="top" horizontal="left"/>
    </xf>
    <xf numFmtId="1" applyNumberFormat="1" fontId="2" applyFont="1" applyAlignment="1">
      <alignment vertical="center"/>
    </xf>
    <xf numFmtId="4" applyNumberFormat="1" fontId="2" applyFont="1" applyAlignment="1">
      <alignment vertical="center" horizontal="left"/>
    </xf>
    <xf numFmtId="1" applyNumberFormat="1" fontId="11" applyFont="1" applyAlignment="1">
      <alignment vertical="center" horizontal="left" wrapText="1"/>
    </xf>
    <xf numFmtId="4" applyNumberFormat="1" fontId="1" applyFont="1" borderId="17" applyBorder="1" applyAlignment="1">
      <alignment vertical="center" horizontal="center"/>
    </xf>
    <xf numFmtId="1" applyNumberFormat="1" fontId="2" applyFont="1" fillId="5" applyFill="1" borderId="34" applyBorder="1" applyAlignment="1">
      <alignment vertical="center" horizontal="left" wrapText="1"/>
    </xf>
    <xf numFmtId="1" applyNumberFormat="1" fontId="22" applyFont="1" borderId="86" applyBorder="1" applyAlignment="1">
      <alignment vertical="center" horizontal="center" wrapText="1"/>
    </xf>
    <xf numFmtId="7" applyNumberFormat="1" fontId="5" applyFont="1" borderId="31" applyBorder="1" applyAlignment="1">
      <alignment vertical="center" horizontal="right"/>
    </xf>
    <xf numFmtId="4" applyNumberFormat="1" fontId="6" applyFont="1" applyAlignment="1">
      <alignment vertical="center" horizontal="left"/>
    </xf>
    <xf numFmtId="1" applyNumberFormat="1" fontId="5" applyFont="1" borderId="48" applyBorder="1" applyAlignment="1">
      <alignment vertical="center" horizontal="left"/>
    </xf>
    <xf numFmtId="1" applyNumberFormat="1" fontId="5" applyFont="1" borderId="52" applyBorder="1" applyAlignment="1">
      <alignment vertical="top" horizontal="left"/>
    </xf>
    <xf numFmtId="18" applyNumberFormat="1" fontId="2" applyFont="1" fillId="2" applyFill="1" borderId="34" applyBorder="1" applyAlignment="1">
      <alignment vertical="center" horizontal="left" wrapText="1"/>
    </xf>
    <xf numFmtId="1" applyNumberFormat="1" fontId="2" applyFont="1" borderId="17" applyBorder="1" applyAlignment="1">
      <alignment vertical="center" horizontal="left" wrapText="1"/>
    </xf>
    <xf numFmtId="1" applyNumberFormat="1" fontId="2" applyFont="1" fillId="5" applyFill="1" borderId="7" applyBorder="1" applyAlignment="1">
      <alignment vertical="center" horizontal="left"/>
    </xf>
  </cellStyleXfs>
  <cellXfs count="372">
    <xf numFmtId="0" fontId="0" fillId="0" borderId="0" xfId="0"/>
    <xf xfId="136" quotePrefix="0" pivotButton="0" numFmtId="1" applyNumberFormat="1" fontId="2" applyFont="1" applyAlignment="1">
      <alignment vertical="center"/>
    </xf>
    <xf xfId="82" quotePrefix="0" pivotButton="0" numFmtId="1" applyNumberFormat="1" fontId="2" applyFont="1" applyAlignment="1">
      <alignment vertical="center" horizontal="center"/>
    </xf>
    <xf xfId="21" quotePrefix="0" pivotButton="0" numFmtId="1" applyNumberFormat="1" fontId="2" applyFont="1" applyAlignment="1">
      <alignment vertical="center" horizontal="left"/>
    </xf>
    <xf xfId="350" quotePrefix="0" pivotButton="0" numFmtId="3" applyNumberFormat="1" fontId="2" applyFont="1" applyAlignment="1">
      <alignment vertical="center" horizontal="left"/>
    </xf>
    <xf xfId="331" quotePrefix="0" pivotButton="0" numFmtId="1" applyNumberFormat="1" fontId="10" applyFont="1" applyAlignment="1">
      <alignment vertical="center"/>
    </xf>
    <xf xfId="124" quotePrefix="0" pivotButton="0" numFmtId="1" applyNumberFormat="1" fontId="19" applyFont="1" applyAlignment="1">
      <alignment vertical="center" wrapText="1"/>
    </xf>
    <xf xfId="124" quotePrefix="0" pivotButton="0" numFmtId="1" applyNumberFormat="1" fontId="19" applyFont="1" applyAlignment="1">
      <alignment vertical="center" wrapText="1"/>
    </xf>
    <xf xfId="170" quotePrefix="0" pivotButton="0" numFmtId="1" applyNumberFormat="1" fontId="19" applyFont="1" applyAlignment="1">
      <alignment vertical="center"/>
    </xf>
    <xf xfId="65" quotePrefix="0" pivotButton="0" numFmtId="1" applyNumberFormat="1" fontId="4" applyFont="1" applyAlignment="1">
      <alignment vertical="center"/>
    </xf>
    <xf xfId="190" quotePrefix="0" pivotButton="0" numFmtId="1" applyNumberFormat="1" fontId="4" applyFont="1" applyAlignment="1">
      <alignment vertical="center" horizontal="left"/>
    </xf>
    <xf xfId="49" quotePrefix="0" pivotButton="0" numFmtId="1" applyNumberFormat="1" fontId="4" applyFont="1" applyAlignment="1">
      <alignment vertical="center" horizontal="center"/>
    </xf>
    <xf xfId="129" quotePrefix="0" pivotButton="0" numFmtId="3" applyNumberFormat="1" fontId="4" applyFont="1" applyAlignment="1">
      <alignment vertical="center" horizontal="left"/>
    </xf>
    <xf xfId="98" quotePrefix="0" pivotButton="0" numFmtId="1" applyNumberFormat="1" fontId="2" applyFont="1" fillId="3" applyFill="1" applyAlignment="1">
      <alignment vertical="center"/>
    </xf>
    <xf xfId="321" quotePrefix="0" pivotButton="0" numFmtId="1" applyNumberFormat="1" fontId="2" applyFont="1" fillId="3" applyFill="1" applyAlignment="1">
      <alignment vertical="center" horizontal="center"/>
    </xf>
    <xf xfId="138" quotePrefix="0" pivotButton="0" numFmtId="1" applyNumberFormat="1" fontId="2" applyFont="1" fillId="3" applyFill="1" applyAlignment="1">
      <alignment vertical="center" horizontal="left"/>
    </xf>
    <xf xfId="338" quotePrefix="0" pivotButton="0" numFmtId="1" applyNumberFormat="1" fontId="2" applyFont="1" fillId="3" applyFill="1" applyAlignment="1">
      <alignment vertical="center" horizontal="right"/>
    </xf>
    <xf xfId="207" quotePrefix="0" pivotButton="0" numFmtId="1" applyNumberFormat="1" fontId="2" applyFont="1" fillId="3" applyFill="1" applyAlignment="1">
      <alignment vertical="center" horizontal="left"/>
    </xf>
    <xf xfId="105" quotePrefix="0" pivotButton="0" numFmtId="1" applyNumberFormat="1" fontId="4" applyFont="1" borderId="38" applyBorder="1" applyAlignment="1">
      <alignment vertical="center" wrapText="1"/>
    </xf>
    <xf xfId="317" quotePrefix="0" pivotButton="0" numFmtId="1" applyNumberFormat="1" fontId="4" applyFont="1" borderId="51" applyBorder="1" applyAlignment="1">
      <alignment vertical="center"/>
    </xf>
    <xf xfId="301" quotePrefix="0" pivotButton="0" numFmtId="1" applyNumberFormat="1" fontId="2" applyFont="1" fillId="3" applyFill="1" applyAlignment="1">
      <alignment vertical="center" horizontal="left"/>
    </xf>
    <xf xfId="339" quotePrefix="0" pivotButton="0" numFmtId="1" applyNumberFormat="1" fontId="4" applyFont="1" borderId="75" applyBorder="1" applyAlignment="1">
      <alignment vertical="center" wrapText="1"/>
    </xf>
    <xf xfId="180" quotePrefix="0" pivotButton="0" numFmtId="1" applyNumberFormat="1" fontId="4" applyFont="1" borderId="54" applyBorder="1" applyAlignment="1">
      <alignment vertical="center"/>
    </xf>
    <xf xfId="110" quotePrefix="0" pivotButton="0" numFmtId="1" applyNumberFormat="1" fontId="4" applyFont="1" borderId="39" applyBorder="1" applyAlignment="1">
      <alignment vertical="center" wrapText="1"/>
    </xf>
    <xf xfId="283" quotePrefix="0" pivotButton="0" numFmtId="1" applyNumberFormat="1" fontId="4" applyFont="1" borderId="75" applyBorder="1" applyAlignment="1">
      <alignment vertical="center" wrapText="1"/>
    </xf>
    <xf xfId="217" quotePrefix="0" pivotButton="0" numFmtId="1" applyNumberFormat="1" fontId="4" applyFont="1" borderId="54" applyBorder="1" applyAlignment="1">
      <alignment vertical="center"/>
    </xf>
    <xf xfId="152" quotePrefix="0" pivotButton="0" numFmtId="1" applyNumberFormat="1" fontId="4" applyFont="1" borderId="49" applyBorder="1" applyAlignment="1">
      <alignment vertical="center" horizontal="left" wrapText="1"/>
    </xf>
    <xf xfId="216" quotePrefix="0" pivotButton="0" numFmtId="1" applyNumberFormat="1" fontId="4" applyFont="1" borderId="5" applyBorder="1" applyAlignment="1">
      <alignment vertical="center" horizontal="center" wrapText="1"/>
    </xf>
    <xf xfId="8" quotePrefix="0" pivotButton="0" numFmtId="3" applyNumberFormat="1" fontId="4" applyFont="1" borderId="5" applyBorder="1" applyAlignment="1">
      <alignment vertical="center" horizontal="center" wrapText="1"/>
    </xf>
    <xf xfId="55" quotePrefix="0" pivotButton="0" numFmtId="1" applyNumberFormat="1" fontId="4" applyFont="1" borderId="25" applyBorder="1" applyAlignment="1">
      <alignment vertical="center" horizontal="left" wrapText="1"/>
    </xf>
    <xf xfId="83" quotePrefix="0" pivotButton="0" numFmtId="1" applyNumberFormat="1" fontId="2" applyFont="1" borderId="18" applyBorder="1" applyAlignment="1">
      <alignment vertical="center" horizontal="center" wrapText="1"/>
    </xf>
    <xf xfId="292" quotePrefix="0" pivotButton="0" numFmtId="1" applyNumberFormat="1" fontId="2" applyFont="1" fillId="2" applyFill="1" borderId="50" applyBorder="1" applyAlignment="1">
      <alignment vertical="center" horizontal="center" wrapText="1"/>
    </xf>
    <xf xfId="327" quotePrefix="0" pivotButton="0" numFmtId="1" applyNumberFormat="1" fontId="22" applyFont="1" borderId="82" applyBorder="1" applyAlignment="1">
      <alignment vertical="center" horizontal="center" wrapText="1"/>
    </xf>
    <xf xfId="361" quotePrefix="0" pivotButton="0" numFmtId="1" applyNumberFormat="1" fontId="22" applyFont="1" borderId="86" applyBorder="1" applyAlignment="1">
      <alignment vertical="center" horizontal="center" wrapText="1"/>
    </xf>
    <xf xfId="270" quotePrefix="0" pivotButton="0" numFmtId="6" applyNumberFormat="1" fontId="2" applyFont="1" fillId="2" applyFill="1" borderId="10" applyBorder="1" applyAlignment="1">
      <alignment vertical="center" horizontal="left" wrapText="1"/>
    </xf>
    <xf xfId="205" quotePrefix="0" pivotButton="0" numFmtId="1" applyNumberFormat="1" fontId="22" applyFont="1" borderId="18" applyBorder="1" applyAlignment="1">
      <alignment vertical="center" horizontal="center" wrapText="1"/>
    </xf>
    <xf xfId="159" quotePrefix="0" pivotButton="0" numFmtId="1" applyNumberFormat="1" fontId="22" applyFont="1" borderId="50" applyBorder="1" applyAlignment="1">
      <alignment vertical="center" horizontal="center" wrapText="1"/>
    </xf>
    <xf xfId="174" quotePrefix="0" pivotButton="0" numFmtId="1" applyNumberFormat="1" fontId="25" applyFont="1" fillId="2" applyFill="1" borderId="14" applyBorder="1" applyAlignment="1">
      <alignment horizontal="left" wrapText="1"/>
    </xf>
    <xf xfId="308" quotePrefix="0" pivotButton="0" numFmtId="1" applyNumberFormat="1" fontId="25" applyFont="1" fillId="2" applyFill="1" borderId="13" applyBorder="1" applyAlignment="1">
      <alignment horizontal="center"/>
    </xf>
    <xf xfId="268" quotePrefix="0" pivotButton="0" numFmtId="3" applyNumberFormat="1" fontId="3" applyFont="1" fillId="2" applyFill="1" borderId="13" applyBorder="1" applyAlignment="1">
      <alignment vertical="center" horizontal="left"/>
    </xf>
    <xf xfId="366" quotePrefix="0" pivotButton="0" numFmtId="18" applyNumberFormat="1" fontId="2" applyFont="1" fillId="2" applyFill="1" borderId="34" applyBorder="1" applyAlignment="1">
      <alignment vertical="center" horizontal="left" wrapText="1"/>
    </xf>
    <xf xfId="35" quotePrefix="0" pivotButton="0" numFmtId="6" applyNumberFormat="1" fontId="2" applyFont="1" fillId="5" applyFill="1" borderId="18" applyBorder="1" applyAlignment="1">
      <alignment vertical="center" horizontal="center" wrapText="1"/>
    </xf>
    <xf xfId="154" quotePrefix="0" pivotButton="0" numFmtId="1" applyNumberFormat="1" fontId="20" applyFont="1" fillId="5" applyFill="1" borderId="50" applyBorder="1" applyAlignment="1">
      <alignment vertical="center" horizontal="center"/>
    </xf>
    <xf xfId="115" quotePrefix="0" pivotButton="0" numFmtId="6" applyNumberFormat="1" fontId="2" applyFont="1" fillId="5" applyFill="1" borderId="40" applyBorder="1" applyAlignment="1">
      <alignment vertical="center" horizontal="right" wrapText="1"/>
    </xf>
    <xf xfId="160" quotePrefix="0" pivotButton="0" numFmtId="1" applyNumberFormat="1" fontId="2" applyFont="1" fillId="11" applyFill="1" borderId="9" applyBorder="1" applyAlignment="1">
      <alignment vertical="center" horizontal="center"/>
    </xf>
    <xf xfId="187" quotePrefix="0" pivotButton="0" numFmtId="6" applyNumberFormat="1" fontId="2" applyFont="1" fillId="5" applyFill="1" borderId="10" applyBorder="1" applyAlignment="1">
      <alignment vertical="center" horizontal="left" wrapText="1"/>
    </xf>
    <xf xfId="24" quotePrefix="0" pivotButton="0" numFmtId="6" applyNumberFormat="1" fontId="2" applyFont="1" fillId="2" applyFill="1" borderId="11" applyBorder="1" applyAlignment="1">
      <alignment vertical="center" horizontal="center"/>
    </xf>
    <xf xfId="99" quotePrefix="0" pivotButton="0" numFmtId="2" applyNumberFormat="1" fontId="2" applyFont="1" fillId="2" applyFill="1" borderId="35" applyBorder="1" applyAlignment="1">
      <alignment vertical="center" horizontal="center"/>
    </xf>
    <xf xfId="302" quotePrefix="0" pivotButton="0" numFmtId="1" applyNumberFormat="1" fontId="25" applyFont="1" fillId="2" applyFill="1" borderId="13" applyBorder="1" applyAlignment="1">
      <alignment/>
    </xf>
    <xf xfId="269" quotePrefix="0" pivotButton="0" numFmtId="1" applyNumberFormat="1" fontId="2" applyFont="1" fillId="2" applyFill="1" borderId="18" applyBorder="1" applyAlignment="1">
      <alignment vertical="center" horizontal="center" wrapText="1"/>
    </xf>
    <xf xfId="329" quotePrefix="0" pivotButton="0" numFmtId="1" applyNumberFormat="1" fontId="20" applyFont="1" fillId="2" applyFill="1" borderId="50" applyBorder="1" applyAlignment="1">
      <alignment vertical="center" horizontal="center"/>
    </xf>
    <xf xfId="117" quotePrefix="0" pivotButton="0" numFmtId="1" applyNumberFormat="1" fontId="2" applyFont="1" fillId="5" applyFill="1" borderId="40" applyBorder="1" applyAlignment="1">
      <alignment vertical="center" horizontal="right" wrapText="1"/>
    </xf>
    <xf xfId="135" quotePrefix="0" pivotButton="0" numFmtId="1" applyNumberFormat="1" fontId="2" applyFont="1" fillId="15" applyFill="1" borderId="9" applyBorder="1" applyAlignment="1">
      <alignment vertical="center" horizontal="center"/>
    </xf>
    <xf xfId="219" quotePrefix="0" pivotButton="0" numFmtId="1" applyNumberFormat="1" fontId="2" applyFont="1" fillId="2" applyFill="1" borderId="10" applyBorder="1" applyAlignment="1">
      <alignment vertical="center" horizontal="left" wrapText="1"/>
    </xf>
    <xf xfId="70" quotePrefix="0" pivotButton="0" numFmtId="6" applyNumberFormat="1" fontId="2" applyFont="1" fillId="2" applyFill="1" borderId="29" applyBorder="1" applyAlignment="1">
      <alignment vertical="center" horizontal="center"/>
    </xf>
    <xf xfId="211" quotePrefix="0" pivotButton="0" numFmtId="2" applyNumberFormat="1" fontId="2" applyFont="1" fillId="2" applyFill="1" borderId="59" applyBorder="1" applyAlignment="1">
      <alignment vertical="center" horizontal="center"/>
    </xf>
    <xf xfId="93" quotePrefix="0" pivotButton="0" numFmtId="1" applyNumberFormat="1" fontId="2" applyFont="1" fillId="2" applyFill="1" borderId="34" applyBorder="1" applyAlignment="1">
      <alignment vertical="center" horizontal="left" wrapText="1"/>
    </xf>
    <xf xfId="149" quotePrefix="0" pivotButton="0" numFmtId="1" applyNumberFormat="1" fontId="2" applyFont="1" fillId="5" applyFill="1" borderId="18" applyBorder="1" applyAlignment="1">
      <alignment vertical="center" horizontal="center" wrapText="1"/>
    </xf>
    <xf xfId="204" quotePrefix="0" pivotButton="0" numFmtId="1" applyNumberFormat="1" fontId="2" applyFont="1" fillId="19" applyFill="1" borderId="9" applyBorder="1" applyAlignment="1">
      <alignment vertical="center" horizontal="center"/>
    </xf>
    <xf xfId="20" quotePrefix="0" pivotButton="0" numFmtId="1" applyNumberFormat="1" fontId="2" applyFont="1" fillId="5" applyFill="1" borderId="10" applyBorder="1" applyAlignment="1">
      <alignment vertical="center" horizontal="left"/>
    </xf>
    <xf xfId="96" quotePrefix="0" pivotButton="0" numFmtId="1" applyNumberFormat="1" fontId="2" applyFont="1" fillId="13" applyFill="1" borderId="9" applyBorder="1" applyAlignment="1">
      <alignment vertical="center" horizontal="center"/>
    </xf>
    <xf xfId="219" quotePrefix="0" pivotButton="0" numFmtId="1" applyNumberFormat="1" fontId="2" applyFont="1" fillId="2" applyFill="1" borderId="10" applyBorder="1" applyAlignment="1">
      <alignment vertical="center" horizontal="left" wrapText="1"/>
    </xf>
    <xf xfId="6" quotePrefix="0" pivotButton="0" numFmtId="1" applyNumberFormat="1" fontId="4" applyFont="1" fillId="3" applyFill="1" applyAlignment="1">
      <alignment vertical="center"/>
    </xf>
    <xf xfId="19" quotePrefix="0" pivotButton="0" numFmtId="1" applyNumberFormat="1" fontId="2" applyFont="1" fillId="4" applyFill="1" borderId="9" applyBorder="1" applyAlignment="1">
      <alignment vertical="center" horizontal="center"/>
    </xf>
    <xf xfId="288" quotePrefix="0" pivotButton="0" numFmtId="1" applyNumberFormat="1" fontId="2" applyFont="1" fillId="21" applyFill="1" borderId="9" applyBorder="1" applyAlignment="1">
      <alignment vertical="center" horizontal="center"/>
    </xf>
    <xf xfId="28" quotePrefix="0" pivotButton="0" numFmtId="1" applyNumberFormat="1" fontId="2" applyFont="1" fillId="5" applyFill="1" borderId="12" applyBorder="1" applyAlignment="1">
      <alignment vertical="center" horizontal="center" wrapText="1"/>
    </xf>
    <xf xfId="332" quotePrefix="0" pivotButton="0" numFmtId="1" applyNumberFormat="1" fontId="20" applyFont="1" fillId="5" applyFill="1" borderId="83" applyBorder="1" applyAlignment="1">
      <alignment vertical="center" horizontal="center"/>
    </xf>
    <xf xfId="305" quotePrefix="0" pivotButton="0" numFmtId="1" applyNumberFormat="1" fontId="2" applyFont="1" fillId="5" applyFill="1" borderId="81" applyBorder="1" applyAlignment="1">
      <alignment vertical="center" horizontal="right"/>
    </xf>
    <xf xfId="100" quotePrefix="0" pivotButton="0" numFmtId="1" applyNumberFormat="1" fontId="2" applyFont="1" fillId="2" applyFill="1" borderId="36" applyBorder="1" applyAlignment="1">
      <alignment vertical="center" horizontal="center"/>
    </xf>
    <xf xfId="127" quotePrefix="0" pivotButton="0" numFmtId="1" applyNumberFormat="1" fontId="2" applyFont="1" fillId="5" applyFill="1" borderId="43" applyBorder="1" applyAlignment="1">
      <alignment vertical="center" horizontal="left"/>
    </xf>
    <xf xfId="126" quotePrefix="0" pivotButton="0" numFmtId="1" applyNumberFormat="1" fontId="4" applyFont="1" borderId="38" applyBorder="1" applyAlignment="1">
      <alignment vertical="center" horizontal="center" wrapText="1"/>
    </xf>
    <xf xfId="9" quotePrefix="0" pivotButton="0" numFmtId="1" applyNumberFormat="1" fontId="4" applyFont="1" borderId="6" applyBorder="1" applyAlignment="1">
      <alignment vertical="center" horizontal="center"/>
    </xf>
    <xf xfId="166" quotePrefix="0" pivotButton="0" numFmtId="1" applyNumberFormat="1" fontId="4" applyFont="1" borderId="51" applyBorder="1" applyAlignment="1">
      <alignment vertical="center" horizontal="center"/>
    </xf>
    <xf xfId="73" quotePrefix="0" pivotButton="0" numFmtId="1" applyNumberFormat="1" fontId="2" applyFont="1" fillId="2" applyFill="1" borderId="30" applyBorder="1" applyAlignment="1">
      <alignment vertical="center" horizontal="left" wrapText="1"/>
    </xf>
    <xf xfId="218" quotePrefix="0" pivotButton="0" numFmtId="1" applyNumberFormat="1" fontId="2" applyFont="1" fillId="2" applyFill="1" borderId="62" applyBorder="1" applyAlignment="1">
      <alignment vertical="center"/>
    </xf>
    <xf xfId="296" quotePrefix="0" pivotButton="0" numFmtId="1" applyNumberFormat="1" fontId="2" applyFont="1" fillId="2" applyFill="1" borderId="77" applyBorder="1" applyAlignment="1">
      <alignment vertical="center"/>
    </xf>
    <xf xfId="284" quotePrefix="0" pivotButton="0" numFmtId="1" applyNumberFormat="1" fontId="2" applyFont="1" fillId="2" applyFill="1" borderId="76" applyBorder="1" applyAlignment="1">
      <alignment vertical="center" horizontal="left" wrapText="1"/>
    </xf>
    <xf xfId="69" quotePrefix="0" pivotButton="0" numFmtId="1" applyNumberFormat="1" fontId="2" applyFont="1" fillId="2" applyFill="1" borderId="28" applyBorder="1" applyAlignment="1">
      <alignment vertical="center"/>
    </xf>
    <xf xfId="191" quotePrefix="0" pivotButton="0" numFmtId="1" applyNumberFormat="1" fontId="2" applyFont="1" fillId="2" applyFill="1" borderId="56" applyBorder="1" applyAlignment="1">
      <alignment vertical="center"/>
    </xf>
    <xf xfId="131" quotePrefix="0" pivotButton="0" numFmtId="1" applyNumberFormat="1" fontId="2" applyFont="1" fillId="2" applyFill="1" borderId="14" applyBorder="1" applyAlignment="1">
      <alignment vertical="center" horizontal="left" wrapText="1"/>
    </xf>
    <xf xfId="30" quotePrefix="0" pivotButton="0" numFmtId="1" applyNumberFormat="1" fontId="2" applyFont="1" fillId="2" applyFill="1" borderId="13" applyBorder="1" applyAlignment="1">
      <alignment vertical="center" horizontal="center" wrapText="1"/>
    </xf>
    <xf xfId="201" quotePrefix="0" pivotButton="0" numFmtId="15" applyNumberFormat="1" fontId="2" applyFont="1" fillId="2" applyFill="1" borderId="34" applyBorder="1" applyAlignment="1">
      <alignment vertical="center" horizontal="left" wrapText="1"/>
    </xf>
    <xf xfId="318" quotePrefix="0" pivotButton="0" numFmtId="9" applyNumberFormat="1" fontId="2" applyFont="1" fillId="2" applyFill="1" borderId="76" applyBorder="1" applyAlignment="1">
      <alignment vertical="center" horizontal="left" wrapText="1"/>
    </xf>
    <xf xfId="57" quotePrefix="0" pivotButton="0" numFmtId="1" applyNumberFormat="1" fontId="2" applyFont="1" fillId="2" applyFill="1" borderId="26" applyBorder="1" applyAlignment="1">
      <alignment vertical="center" horizontal="left" wrapText="1"/>
    </xf>
    <xf xfId="101" quotePrefix="0" pivotButton="0" numFmtId="1" applyNumberFormat="1" fontId="2" applyFont="1" fillId="2" applyFill="1" borderId="37" applyBorder="1" applyAlignment="1">
      <alignment vertical="center"/>
    </xf>
    <xf xfId="279" quotePrefix="0" pivotButton="0" numFmtId="1" applyNumberFormat="1" fontId="2" applyFont="1" fillId="2" applyFill="1" borderId="73" applyBorder="1" applyAlignment="1">
      <alignment vertical="center"/>
    </xf>
    <xf xfId="93" quotePrefix="0" pivotButton="0" numFmtId="1" applyNumberFormat="1" fontId="2" applyFont="1" fillId="2" applyFill="1" borderId="34" applyBorder="1" applyAlignment="1">
      <alignment vertical="center" horizontal="left" wrapText="1"/>
    </xf>
    <xf xfId="31" quotePrefix="0" pivotButton="0" numFmtId="1" applyNumberFormat="1" fontId="1" applyFont="1" fillId="2" applyFill="1" borderId="14" applyBorder="1" applyAlignment="1">
      <alignment horizontal="left" wrapText="1"/>
    </xf>
    <xf xfId="174" quotePrefix="0" pivotButton="0" numFmtId="1" applyNumberFormat="1" fontId="25" applyFont="1" fillId="2" applyFill="1" borderId="14" applyBorder="1" applyAlignment="1">
      <alignment horizontal="left" wrapText="1"/>
    </xf>
    <xf xfId="2" quotePrefix="0" pivotButton="0" numFmtId="2" applyNumberFormat="1" fontId="2" applyFont="1" fillId="2" applyFill="1" borderId="1" applyBorder="1" applyAlignment="1">
      <alignment vertical="center" horizontal="center"/>
    </xf>
    <xf xfId="80" quotePrefix="0" pivotButton="0" numFmtId="1" applyNumberFormat="1" fontId="2" applyFont="1" fillId="3" applyFill="1" borderId="9" applyBorder="1" applyAlignment="1">
      <alignment vertical="center" horizontal="center"/>
    </xf>
    <xf xfId="285" quotePrefix="0" pivotButton="0" numFmtId="1" applyNumberFormat="1" fontId="25" applyFont="1" fillId="2" applyFill="1" borderId="2" applyBorder="1" applyAlignment="1">
      <alignment horizontal="center"/>
    </xf>
    <xf xfId="228" quotePrefix="0" pivotButton="0" numFmtId="1" applyNumberFormat="1" fontId="25" applyFont="1" fillId="2" applyFill="1" borderId="2" applyBorder="1" applyAlignment="1">
      <alignment horizontal="center"/>
    </xf>
    <xf xfId="3" quotePrefix="0" pivotButton="0" numFmtId="3" applyNumberFormat="1" fontId="3" applyFont="1" fillId="2" applyFill="1" borderId="2" applyBorder="1" applyAlignment="1">
      <alignment vertical="center" horizontal="left"/>
    </xf>
    <xf xfId="17" quotePrefix="0" pivotButton="0" numFmtId="1" applyNumberFormat="1" fontId="2" applyFont="1" fillId="2" applyFill="1" borderId="7" applyBorder="1" applyAlignment="1">
      <alignment vertical="center" horizontal="left"/>
    </xf>
    <xf xfId="290" quotePrefix="0" pivotButton="0" numFmtId="3" applyNumberFormat="1" fontId="2" applyFont="1" fillId="3" applyFill="1" applyAlignment="1">
      <alignment vertical="center" horizontal="left"/>
    </xf>
    <xf xfId="239" quotePrefix="0" pivotButton="0" numFmtId="1" applyNumberFormat="1" fontId="2" applyFont="1" fillId="3" applyFill="1" applyAlignment="1">
      <alignment vertical="center"/>
    </xf>
    <xf xfId="12" quotePrefix="0" pivotButton="0" numFmtId="1" applyNumberFormat="1" fontId="2" applyFont="1" fillId="3" applyFill="1" applyAlignment="1">
      <alignment vertical="center"/>
    </xf>
    <xf xfId="291" quotePrefix="0" pivotButton="0" numFmtId="1" applyNumberFormat="1" fontId="2" applyFont="1" fillId="3" applyFill="1" applyAlignment="1">
      <alignment vertical="center"/>
    </xf>
    <xf xfId="297" quotePrefix="0" pivotButton="0" numFmtId="6" applyNumberFormat="1" fontId="2" applyFont="1" fillId="2" applyFill="1" borderId="78" applyBorder="1" applyAlignment="1">
      <alignment vertical="center" horizontal="center"/>
    </xf>
    <xf xfId="225" quotePrefix="0" pivotButton="0" numFmtId="1" applyNumberFormat="1" fontId="2" applyFont="1" fillId="3" applyFill="1" borderId="36" applyBorder="1" applyAlignment="1">
      <alignment vertical="center" horizontal="center"/>
    </xf>
    <xf xfId="367" quotePrefix="0" pivotButton="0" numFmtId="1" applyNumberFormat="1" fontId="2" applyFont="1" borderId="17" applyBorder="1" applyAlignment="1">
      <alignment vertical="center" horizontal="left" wrapText="1"/>
    </xf>
    <xf xfId="367" quotePrefix="0" pivotButton="0" numFmtId="1" applyNumberFormat="1" fontId="2" applyFont="1" borderId="17" applyBorder="1" applyAlignment="1">
      <alignment vertical="center" horizontal="left" wrapText="1"/>
    </xf>
    <xf xfId="167" quotePrefix="0" pivotButton="0" numFmtId="1" applyNumberFormat="1" fontId="2" applyFont="1" borderId="52" applyBorder="1" applyAlignment="1">
      <alignment vertical="center" horizontal="left" wrapText="1"/>
    </xf>
    <xf xfId="167" quotePrefix="0" pivotButton="0" numFmtId="1" applyNumberFormat="1" fontId="2" applyFont="1" borderId="52" applyBorder="1" applyAlignment="1">
      <alignment vertical="center" horizontal="left" wrapText="1"/>
    </xf>
    <xf xfId="122" quotePrefix="0" pivotButton="0" numFmtId="1" applyNumberFormat="1" fontId="2" applyFont="1" borderId="17" applyBorder="1" applyAlignment="1">
      <alignment vertical="center" horizontal="left" wrapText="1"/>
    </xf>
    <xf xfId="142" quotePrefix="0" pivotButton="0" numFmtId="1" applyNumberFormat="1" fontId="2" applyFont="1" fillId="16" applyFill="1" borderId="17" applyBorder="1" applyAlignment="1">
      <alignment vertical="center" horizontal="left"/>
    </xf>
    <xf xfId="325" quotePrefix="0" pivotButton="0" numFmtId="1" applyNumberFormat="1" fontId="2" applyFont="1" applyAlignment="1">
      <alignment vertical="center" horizontal="left" wrapText="1"/>
    </xf>
    <xf xfId="325" quotePrefix="0" pivotButton="0" numFmtId="1" applyNumberFormat="1" fontId="2" applyFont="1" applyAlignment="1">
      <alignment vertical="center" horizontal="left" wrapText="1"/>
    </xf>
    <xf xfId="39" quotePrefix="0" pivotButton="0" numFmtId="4" applyNumberFormat="1" fontId="2" applyFont="1" applyAlignment="1">
      <alignment vertical="center" horizontal="left" wrapText="1"/>
    </xf>
    <xf xfId="330" quotePrefix="0" pivotButton="0" numFmtId="13" applyNumberFormat="1" fontId="2" applyFont="1" applyAlignment="1">
      <alignment vertical="center" horizontal="left"/>
    </xf>
    <xf xfId="287" quotePrefix="0" pivotButton="0" numFmtId="16" applyNumberFormat="1" fontId="2" applyFont="1" applyAlignment="1">
      <alignment vertical="center" horizontal="left"/>
    </xf>
    <xf xfId="354" quotePrefix="0" pivotButton="0" numFmtId="1" applyNumberFormat="1" fontId="2" applyFont="1" applyAlignment="1">
      <alignment vertical="center" horizontal="left" wrapText="1"/>
    </xf>
    <xf xfId="354" quotePrefix="0" pivotButton="0" numFmtId="1" applyNumberFormat="1" fontId="2" applyFont="1" applyAlignment="1">
      <alignment vertical="center" horizontal="left" wrapText="1"/>
    </xf>
    <xf xfId="185" quotePrefix="0" pivotButton="0" numFmtId="1" applyNumberFormat="1" fontId="2" applyFont="1" applyAlignment="1">
      <alignment vertical="center" horizontal="left"/>
    </xf>
    <xf xfId="175" quotePrefix="0" pivotButton="0" numFmtId="1" applyNumberFormat="1" fontId="2" applyFont="1" applyAlignment="1">
      <alignment vertical="center" horizontal="left"/>
    </xf>
    <xf xfId="293" quotePrefix="0" pivotButton="0" numFmtId="1" applyNumberFormat="1" fontId="2" applyFont="1" borderId="16" applyBorder="1" applyAlignment="1">
      <alignment vertical="center" horizontal="left"/>
    </xf>
    <xf xfId="254" quotePrefix="0" pivotButton="0" numFmtId="1" applyNumberFormat="1" fontId="2" applyFont="1" borderId="16" applyBorder="1" applyAlignment="1">
      <alignment vertical="center" horizontal="left"/>
    </xf>
    <xf xfId="33" quotePrefix="0" pivotButton="0" numFmtId="1" applyNumberFormat="1" fontId="2" applyFont="1" borderId="16" applyBorder="1" applyAlignment="1">
      <alignment vertical="center" horizontal="left"/>
    </xf>
    <xf xfId="72" quotePrefix="0" pivotButton="0" numFmtId="1" applyNumberFormat="1" fontId="2" applyFont="1" borderId="21" applyBorder="1" applyAlignment="1">
      <alignment vertical="center" horizontal="left" wrapText="1"/>
    </xf>
    <xf xfId="40" quotePrefix="0" pivotButton="0" numFmtId="9" applyNumberFormat="1" fontId="2" applyFont="1" borderId="21" applyBorder="1" applyAlignment="1">
      <alignment vertical="center" horizontal="center" wrapText="1"/>
    </xf>
    <xf xfId="314" quotePrefix="0" pivotButton="0" numFmtId="1" applyNumberFormat="1" fontId="2" applyFont="1" borderId="21" applyBorder="1" applyAlignment="1">
      <alignment vertical="center" horizontal="center" wrapText="1"/>
    </xf>
    <xf xfId="26" quotePrefix="0" pivotButton="0" numFmtId="1" applyNumberFormat="1" fontId="2" applyFont="1" applyAlignment="1">
      <alignment vertical="center" horizontal="left" wrapText="1"/>
    </xf>
    <xf xfId="26" quotePrefix="0" pivotButton="0" numFmtId="1" applyNumberFormat="1" fontId="2" applyFont="1" applyAlignment="1">
      <alignment vertical="center" horizontal="left" wrapText="1"/>
    </xf>
    <xf xfId="227" quotePrefix="0" pivotButton="0" numFmtId="9" applyNumberFormat="1" fontId="2" applyFont="1" applyAlignment="1">
      <alignment vertical="center" horizontal="center"/>
    </xf>
    <xf xfId="282" quotePrefix="0" pivotButton="0" numFmtId="12" applyNumberFormat="1" fontId="2" applyFont="1" applyAlignment="1">
      <alignment vertical="center" horizontal="center" wrapText="1"/>
    </xf>
    <xf xfId="177" quotePrefix="0" pivotButton="0" numFmtId="1" applyNumberFormat="1" fontId="2" applyFont="1" applyAlignment="1">
      <alignment vertical="center" horizontal="center"/>
    </xf>
    <xf xfId="300" quotePrefix="0" pivotButton="0" numFmtId="1" applyNumberFormat="1" fontId="2" applyFont="1" applyAlignment="1">
      <alignment vertical="center" horizontal="left" wrapText="1"/>
    </xf>
    <xf xfId="235" quotePrefix="0" pivotButton="0" numFmtId="9" applyNumberFormat="1" fontId="2" applyFont="1" applyAlignment="1">
      <alignment vertical="center" horizontal="center"/>
    </xf>
    <xf xfId="158" quotePrefix="0" pivotButton="0" numFmtId="1" applyNumberFormat="1" fontId="2" applyFont="1" applyAlignment="1">
      <alignment vertical="center" horizontal="center" wrapText="1"/>
    </xf>
    <xf xfId="158" quotePrefix="0" pivotButton="0" numFmtId="1" applyNumberFormat="1" fontId="2" applyFont="1" applyAlignment="1">
      <alignment vertical="center" horizontal="center" wrapText="1"/>
    </xf>
    <xf xfId="251" quotePrefix="0" pivotButton="0" numFmtId="1" applyNumberFormat="1" fontId="1" applyFont="1" fillId="14" applyFill="1" applyAlignment="1">
      <alignment vertical="center" horizontal="right"/>
    </xf>
    <xf xfId="104" quotePrefix="0" pivotButton="0" numFmtId="1" applyNumberFormat="1" fontId="1" applyFont="1" fillId="14" applyFill="1" applyAlignment="1">
      <alignment vertical="center" horizontal="left"/>
    </xf>
    <xf xfId="1" quotePrefix="0" pivotButton="0" numFmtId="1" applyNumberFormat="1" fontId="1" applyFont="1" applyAlignment="1">
      <alignment vertical="center"/>
    </xf>
    <xf xfId="188" quotePrefix="0" pivotButton="0" numFmtId="1" applyNumberFormat="1" fontId="1" applyFont="1" applyAlignment="1">
      <alignment vertical="center" horizontal="right"/>
    </xf>
    <xf xfId="123" quotePrefix="0" pivotButton="0" numFmtId="1" applyNumberFormat="1" fontId="1" applyFont="1" applyAlignment="1">
      <alignment vertical="center" horizontal="left"/>
    </xf>
    <xf xfId="169" quotePrefix="0" pivotButton="0" numFmtId="1" applyNumberFormat="1" fontId="1" applyFont="1" applyAlignment="1">
      <alignment vertical="center" horizontal="center"/>
    </xf>
    <xf xfId="197" quotePrefix="0" pivotButton="0" numFmtId="1" applyNumberFormat="1" fontId="2" applyFont="1" fillId="7" applyFill="1" borderId="17" applyBorder="1" applyAlignment="1">
      <alignment vertical="center" horizontal="right" wrapText="1"/>
    </xf>
    <xf xfId="41" quotePrefix="0" pivotButton="0" numFmtId="1" applyNumberFormat="1" fontId="2" applyFont="1" fillId="7" applyFill="1" borderId="17" applyBorder="1" applyAlignment="1">
      <alignment vertical="center" horizontal="left"/>
    </xf>
    <xf xfId="79" quotePrefix="0" pivotButton="0" numFmtId="1" applyNumberFormat="1" fontId="1" applyFont="1" applyAlignment="1">
      <alignment vertical="center"/>
    </xf>
    <xf xfId="27" quotePrefix="0" pivotButton="0" numFmtId="1" applyNumberFormat="1" fontId="1" applyFont="1" applyAlignment="1">
      <alignment vertical="center" horizontal="right"/>
    </xf>
    <xf xfId="236" quotePrefix="0" pivotButton="0" numFmtId="1" applyNumberFormat="1" fontId="1" applyFont="1" applyAlignment="1">
      <alignment vertical="center" horizontal="left"/>
    </xf>
    <xf xfId="249" quotePrefix="0" pivotButton="0" numFmtId="1" applyNumberFormat="1" fontId="1" applyFont="1" applyAlignment="1">
      <alignment vertical="center" horizontal="center"/>
    </xf>
    <xf xfId="29" quotePrefix="0" pivotButton="0" numFmtId="1" applyNumberFormat="1" fontId="2" applyFont="1" applyAlignment="1">
      <alignment vertical="center" horizontal="center"/>
    </xf>
    <xf xfId="56" quotePrefix="0" pivotButton="0" numFmtId="1" applyNumberFormat="1" fontId="2" applyFont="1" applyAlignment="1">
      <alignment vertical="center"/>
    </xf>
    <xf xfId="264" quotePrefix="0" pivotButton="0" numFmtId="1" applyNumberFormat="1" fontId="2" applyFont="1" fillId="3" applyFill="1" borderId="70" applyBorder="1" applyAlignment="1">
      <alignment vertical="center" horizontal="right" wrapText="1"/>
    </xf>
    <xf xfId="46" quotePrefix="0" pivotButton="0" numFmtId="1" applyNumberFormat="1" fontId="2" applyFont="1" fillId="5" applyFill="1" borderId="22" applyBorder="1" applyAlignment="1">
      <alignment vertical="center" horizontal="left" wrapText="1"/>
    </xf>
    <xf xfId="313" quotePrefix="0" pivotButton="0" numFmtId="1" applyNumberFormat="1" fontId="34" applyFont="1" fillId="20" applyFill="1" borderId="62" applyBorder="1" applyAlignment="1">
      <alignment vertical="center" horizontal="center"/>
    </xf>
    <xf xfId="294" quotePrefix="0" pivotButton="0" numFmtId="1" applyNumberFormat="1" fontId="34" applyFont="1" fillId="20" applyFill="1" borderId="62" applyBorder="1" applyAlignment="1">
      <alignment vertical="center" horizontal="center"/>
    </xf>
    <xf xfId="260" quotePrefix="0" pivotButton="0" numFmtId="4" applyNumberFormat="1" fontId="2" applyFont="1" fillId="7" applyFill="1" borderId="17" applyBorder="1" applyAlignment="1">
      <alignment vertical="center" horizontal="left"/>
    </xf>
    <xf xfId="42" quotePrefix="0" pivotButton="0" numFmtId="1" applyNumberFormat="1" fontId="2" applyFont="1" fillId="3" applyFill="1" applyAlignment="1">
      <alignment vertical="center" horizontal="right"/>
    </xf>
    <xf xfId="189" quotePrefix="0" pivotButton="0" numFmtId="8" applyNumberFormat="1" fontId="7" applyFont="1" borderId="13" applyBorder="1" applyAlignment="1">
      <alignment vertical="center" horizontal="center"/>
    </xf>
    <xf xfId="210" quotePrefix="0" pivotButton="0" numFmtId="8" applyNumberFormat="1" fontId="29" applyFont="1" borderId="19" applyBorder="1" applyAlignment="1">
      <alignment vertical="center" horizontal="left"/>
    </xf>
    <xf xfId="192" quotePrefix="0" pivotButton="0" numFmtId="1" applyNumberFormat="1" fontId="2" applyFont="1" fillId="3" applyFill="1" borderId="49" applyBorder="1" applyAlignment="1">
      <alignment vertical="center" horizontal="right" wrapText="1"/>
    </xf>
    <xf xfId="61" quotePrefix="0" pivotButton="0" numFmtId="11" applyNumberFormat="1" fontId="2" applyFont="1" fillId="5" applyFill="1" borderId="25" applyBorder="1" applyAlignment="1">
      <alignment vertical="center" horizontal="left"/>
    </xf>
    <xf xfId="144" quotePrefix="0" pivotButton="0" numFmtId="1" applyNumberFormat="1" fontId="6" applyFont="1" borderId="47" applyBorder="1" applyAlignment="1">
      <alignment vertical="center" horizontal="center"/>
    </xf>
    <xf xfId="256" quotePrefix="0" pivotButton="0" numFmtId="1" applyNumberFormat="1" fontId="6" applyFont="1" borderId="68" applyBorder="1" applyAlignment="1">
      <alignment vertical="center"/>
    </xf>
    <xf xfId="106" quotePrefix="0" pivotButton="0" numFmtId="1" applyNumberFormat="1" fontId="2" applyFont="1" fillId="3" applyFill="1" borderId="14" applyBorder="1" applyAlignment="1">
      <alignment vertical="center" horizontal="right" wrapText="1"/>
    </xf>
    <xf xfId="184" quotePrefix="0" pivotButton="0" numFmtId="13" applyNumberFormat="1" fontId="2" applyFont="1" fillId="5" applyFill="1" borderId="34" applyBorder="1" applyAlignment="1">
      <alignment vertical="center" horizontal="left"/>
    </xf>
    <xf xfId="232" quotePrefix="0" pivotButton="0" numFmtId="1" applyNumberFormat="1" fontId="2" applyFont="1" fillId="18" applyFill="1" borderId="17" applyBorder="1" applyAlignment="1">
      <alignment vertical="center" horizontal="right" wrapText="1"/>
    </xf>
    <xf xfId="198" quotePrefix="0" pivotButton="0" numFmtId="1" applyNumberFormat="1" fontId="2" applyFont="1" fillId="18" applyFill="1" borderId="17" applyBorder="1" applyAlignment="1">
      <alignment vertical="center" horizontal="left"/>
    </xf>
    <xf xfId="203" quotePrefix="0" pivotButton="0" numFmtId="16" applyNumberFormat="1" fontId="2" applyFont="1" borderId="34" applyBorder="1" applyAlignment="1">
      <alignment vertical="center" horizontal="left"/>
    </xf>
    <xf xfId="360" quotePrefix="0" pivotButton="0" numFmtId="1" applyNumberFormat="1" fontId="2" applyFont="1" fillId="5" applyFill="1" borderId="34" applyBorder="1" applyAlignment="1">
      <alignment vertical="center" horizontal="left" wrapText="1"/>
    </xf>
    <xf xfId="266" quotePrefix="0" pivotButton="0" numFmtId="1" applyNumberFormat="1" fontId="6" applyFont="1" borderId="71" applyBorder="1" applyAlignment="1">
      <alignment vertical="center" horizontal="center"/>
    </xf>
    <xf xfId="7" quotePrefix="0" pivotButton="0" numFmtId="1" applyNumberFormat="1" fontId="6" applyFont="1" borderId="4" applyBorder="1" applyAlignment="1">
      <alignment vertical="center"/>
    </xf>
    <xf xfId="140" quotePrefix="0" pivotButton="0" numFmtId="1" applyNumberFormat="1" fontId="2" applyFont="1" fillId="3" applyFill="1" borderId="45" applyBorder="1" applyAlignment="1">
      <alignment vertical="center" horizontal="right" wrapText="1"/>
    </xf>
    <xf xfId="368" quotePrefix="0" pivotButton="0" numFmtId="1" applyNumberFormat="1" fontId="2" applyFont="1" fillId="5" applyFill="1" borderId="7" applyBorder="1" applyAlignment="1">
      <alignment vertical="center" horizontal="left"/>
    </xf>
    <xf xfId="133" quotePrefix="0" pivotButton="0" numFmtId="1" applyNumberFormat="1" fontId="2" applyFont="1" fillId="6" applyFill="1" borderId="17" applyBorder="1" applyAlignment="1">
      <alignment vertical="center" horizontal="right" wrapText="1"/>
    </xf>
    <xf xfId="34" quotePrefix="0" pivotButton="0" numFmtId="1" applyNumberFormat="1" fontId="2" applyFont="1" fillId="6" applyFill="1" borderId="17" applyBorder="1" applyAlignment="1">
      <alignment vertical="center" horizontal="left"/>
    </xf>
    <xf xfId="53" quotePrefix="0" pivotButton="0" numFmtId="1" applyNumberFormat="1" fontId="2" applyFont="1" fillId="5" applyFill="1" borderId="25" applyBorder="1" applyAlignment="1">
      <alignment vertical="center" horizontal="left" wrapText="1"/>
    </xf>
    <xf xfId="195" quotePrefix="0" pivotButton="0" numFmtId="9" applyNumberFormat="1" fontId="2" applyFont="1" fillId="5" applyFill="1" borderId="34" applyBorder="1" applyAlignment="1">
      <alignment vertical="center" horizontal="left"/>
    </xf>
    <xf xfId="347" quotePrefix="0" pivotButton="0" numFmtId="1" applyNumberFormat="1" fontId="2" applyFont="1" fillId="14" applyFill="1" applyAlignment="1">
      <alignment vertical="center" horizontal="right"/>
    </xf>
    <xf xfId="238" quotePrefix="0" pivotButton="0" numFmtId="1" applyNumberFormat="1" fontId="2" applyFont="1" fillId="14" applyFill="1" applyAlignment="1">
      <alignment vertical="center" horizontal="left"/>
    </xf>
    <xf xfId="153" quotePrefix="0" pivotButton="0" numFmtId="1" applyNumberFormat="1" fontId="2" applyFont="1" fillId="17" applyFill="1" borderId="17" applyBorder="1" applyAlignment="1">
      <alignment vertical="center" horizontal="left" wrapText="1"/>
    </xf>
    <xf xfId="336" quotePrefix="0" pivotButton="0" numFmtId="1" applyNumberFormat="1" fontId="2" applyFont="1" fillId="3" applyFill="1" borderId="17" applyBorder="1" applyAlignment="1">
      <alignment vertical="center" horizontal="left"/>
    </xf>
    <xf xfId="360" quotePrefix="0" pivotButton="0" numFmtId="1" applyNumberFormat="1" fontId="2" applyFont="1" fillId="5" applyFill="1" borderId="34" applyBorder="1" applyAlignment="1">
      <alignment vertical="center" horizontal="left" wrapText="1"/>
    </xf>
    <xf xfId="257" quotePrefix="0" pivotButton="0" numFmtId="1" applyNumberFormat="1" fontId="2" applyFont="1" fillId="3" applyFill="1" borderId="69" applyBorder="1" applyAlignment="1">
      <alignment vertical="center" wrapText="1"/>
    </xf>
    <xf xfId="247" quotePrefix="0" pivotButton="0" numFmtId="1" applyNumberFormat="1" fontId="2" applyFont="1" fillId="5" applyFill="1" borderId="66" applyBorder="1" applyAlignment="1">
      <alignment vertical="top" horizontal="left" wrapText="1"/>
    </xf>
    <xf xfId="209" quotePrefix="0" pivotButton="0" numFmtId="1" applyNumberFormat="1" fontId="2" applyFont="1" fillId="3" applyFill="1" borderId="58" applyBorder="1" applyAlignment="1">
      <alignment vertical="center" wrapText="1"/>
    </xf>
    <xf xfId="186" quotePrefix="0" pivotButton="0" numFmtId="1" applyNumberFormat="1" fontId="2" applyFont="1" fillId="5" applyFill="1" borderId="55" applyBorder="1" applyAlignment="1">
      <alignment vertical="top" horizontal="left" wrapText="1"/>
    </xf>
    <xf xfId="299" quotePrefix="0" pivotButton="0" numFmtId="1" applyNumberFormat="1" fontId="2" applyFont="1" fillId="3" applyFill="1" borderId="79" applyBorder="1" applyAlignment="1">
      <alignment vertical="top"/>
    </xf>
    <xf xfId="91" quotePrefix="0" pivotButton="0" numFmtId="1" applyNumberFormat="1" fontId="2" applyFont="1" fillId="5" applyFill="1" borderId="33" applyBorder="1" applyAlignment="1">
      <alignment vertical="top" horizontal="left" wrapText="1"/>
    </xf>
    <xf xfId="59" quotePrefix="0" pivotButton="0" numFmtId="1" applyNumberFormat="1" fontId="2" applyFont="1" fillId="3" applyFill="1" applyAlignment="1">
      <alignment vertical="center" horizontal="left"/>
    </xf>
    <xf xfId="224" quotePrefix="0" pivotButton="0" numFmtId="1" applyNumberFormat="1" fontId="4" applyFont="1" borderId="39" applyBorder="1" applyAlignment="1">
      <alignment vertical="center" horizontal="center" wrapText="1"/>
    </xf>
    <xf xfId="162" quotePrefix="0" pivotButton="0" numFmtId="1" applyNumberFormat="1" fontId="23" applyFont="1" fillId="3" applyFill="1" applyAlignment="1">
      <alignment vertical="center" horizontal="left"/>
    </xf>
    <xf xfId="77" quotePrefix="0" pivotButton="0" numFmtId="1" applyNumberFormat="1" fontId="13" applyFont="1" fillId="11" applyFill="1" borderId="10" applyBorder="1" applyAlignment="1">
      <alignment vertical="center" horizontal="left"/>
    </xf>
    <xf xfId="320" quotePrefix="0" pivotButton="0" numFmtId="1" applyNumberFormat="1" fontId="13" applyFont="1" fillId="15" applyFill="1" borderId="10" applyBorder="1" applyAlignment="1">
      <alignment vertical="center" horizontal="left"/>
    </xf>
    <xf xfId="64" quotePrefix="0" pivotButton="0" numFmtId="1" applyNumberFormat="1" fontId="13" applyFont="1" fillId="10" applyFill="1" borderId="10" applyBorder="1" applyAlignment="1">
      <alignment vertical="center" horizontal="left"/>
    </xf>
    <xf xfId="78" quotePrefix="0" pivotButton="0" numFmtId="1" applyNumberFormat="1" fontId="13" applyFont="1" fillId="12" applyFill="1" borderId="10" applyBorder="1" applyAlignment="1">
      <alignment vertical="center" horizontal="left"/>
    </xf>
    <xf xfId="262" quotePrefix="0" pivotButton="0" numFmtId="1" applyNumberFormat="1" fontId="13" applyFont="1" fillId="4" applyFill="1" borderId="10" applyBorder="1" applyAlignment="1">
      <alignment vertical="center" horizontal="left"/>
    </xf>
    <xf xfId="326" quotePrefix="0" pivotButton="0" numFmtId="1" applyNumberFormat="1" fontId="13" applyFont="1" fillId="21" applyFill="1" borderId="10" applyBorder="1" applyAlignment="1">
      <alignment vertical="center" horizontal="left"/>
    </xf>
    <xf xfId="233" quotePrefix="0" pivotButton="0" numFmtId="1" applyNumberFormat="1" fontId="13" applyFont="1" fillId="2" applyFill="1" borderId="43" applyBorder="1" applyAlignment="1">
      <alignment vertical="center" horizontal="left"/>
    </xf>
    <xf xfId="36" quotePrefix="0" pivotButton="0" numFmtId="8" applyNumberFormat="1" fontId="7" applyFont="1" borderId="19" applyBorder="1" applyAlignment="1">
      <alignment vertical="center" horizontal="left"/>
    </xf>
    <xf xfId="244" quotePrefix="0" pivotButton="0" numFmtId="1" applyNumberFormat="1" fontId="2" applyFont="1" fillId="3" applyFill="1" applyAlignment="1">
      <alignment vertical="center"/>
    </xf>
    <xf xfId="278" quotePrefix="0" pivotButton="0" numFmtId="1" applyNumberFormat="1" fontId="17" applyFont="1" applyAlignment="1">
      <alignment horizontal="center"/>
    </xf>
    <xf xfId="151" quotePrefix="0" pivotButton="0" numFmtId="1" applyNumberFormat="1" fontId="17" applyFont="1" applyAlignment="1">
      <alignment horizontal="center"/>
    </xf>
    <xf xfId="163" quotePrefix="0" pivotButton="0" numFmtId="1" applyNumberFormat="1" fontId="17" applyFont="1" applyAlignment="1">
      <alignment horizontal="center"/>
    </xf>
    <xf xfId="86" quotePrefix="0" pivotButton="0" numFmtId="1" applyNumberFormat="1" fontId="17" applyFont="1" applyAlignment="1">
      <alignment horizontal="center"/>
    </xf>
    <xf xfId="307" quotePrefix="0" pivotButton="0" numFmtId="1" applyNumberFormat="1" fontId="2" applyFont="1" applyAlignment="1">
      <alignment vertical="center"/>
    </xf>
    <xf xfId="102" quotePrefix="0" pivotButton="0" numFmtId="1" applyNumberFormat="1" fontId="18" applyFont="1" applyAlignment="1">
      <alignment vertical="center"/>
    </xf>
    <xf xfId="277" quotePrefix="0" pivotButton="0" numFmtId="1" applyNumberFormat="1" fontId="2" applyFont="1" applyAlignment="1">
      <alignment vertical="center"/>
    </xf>
    <xf xfId="248" quotePrefix="0" pivotButton="0" numFmtId="1" applyNumberFormat="1" fontId="2" applyFont="1" applyAlignment="1">
      <alignment vertical="center"/>
    </xf>
    <xf xfId="10" quotePrefix="0" pivotButton="0" numFmtId="1" applyNumberFormat="1" fontId="4" applyFont="1" applyAlignment="1">
      <alignment vertical="center"/>
    </xf>
    <xf xfId="4" quotePrefix="0" pivotButton="0" numFmtId="1" applyNumberFormat="1" fontId="4" applyFont="1" applyAlignment="1">
      <alignment vertical="center"/>
    </xf>
    <xf xfId="358" quotePrefix="0" pivotButton="0" numFmtId="1" applyNumberFormat="1" fontId="11" applyFont="1" applyAlignment="1">
      <alignment vertical="center" horizontal="left" wrapText="1"/>
    </xf>
    <xf xfId="181" quotePrefix="0" pivotButton="0" numFmtId="1" applyNumberFormat="1" fontId="4" applyFont="1" applyAlignment="1">
      <alignment vertical="center"/>
    </xf>
    <xf xfId="156" quotePrefix="0" pivotButton="0" numFmtId="1" applyNumberFormat="1" fontId="4" applyFont="1" applyAlignment="1">
      <alignment vertical="center"/>
    </xf>
    <xf xfId="340" quotePrefix="0" pivotButton="0" numFmtId="1" applyNumberFormat="1" fontId="12" applyFont="1" applyAlignment="1">
      <alignment vertical="center" horizontal="right" wrapText="1"/>
    </xf>
    <xf xfId="229" quotePrefix="0" pivotButton="0" numFmtId="1" applyNumberFormat="1" fontId="12" applyFont="1" applyAlignment="1">
      <alignment vertical="center" horizontal="left"/>
    </xf>
    <xf xfId="66" quotePrefix="0" pivotButton="0" numFmtId="1" applyNumberFormat="1" fontId="4" applyFont="1" applyAlignment="1">
      <alignment vertical="center"/>
    </xf>
    <xf xfId="103" quotePrefix="0" pivotButton="0" numFmtId="1" applyNumberFormat="1" fontId="11" applyFont="1" applyAlignment="1">
      <alignment vertical="center" wrapText="1"/>
    </xf>
    <xf xfId="50" quotePrefix="0" pivotButton="0" numFmtId="1" applyNumberFormat="1" fontId="11" applyFont="1" borderId="23" applyBorder="1" applyAlignment="1">
      <alignment vertical="center" horizontal="left"/>
    </xf>
    <xf xfId="182" quotePrefix="0" pivotButton="0" numFmtId="1" applyNumberFormat="1" fontId="4" applyFont="1" borderId="23" applyBorder="1" applyAlignment="1">
      <alignment vertical="center"/>
    </xf>
    <xf xfId="272" quotePrefix="0" pivotButton="0" numFmtId="1" applyNumberFormat="1" fontId="4" applyFont="1" borderId="23" applyBorder="1" applyAlignment="1">
      <alignment vertical="center"/>
    </xf>
    <xf xfId="119" quotePrefix="0" pivotButton="0" numFmtId="1" applyNumberFormat="1" fontId="1" applyFont="1" borderId="23" applyBorder="1" applyAlignment="1">
      <alignment vertical="center"/>
    </xf>
    <xf xfId="94" quotePrefix="0" pivotButton="0" numFmtId="1" applyNumberFormat="1" fontId="12" applyFont="1" borderId="23" applyBorder="1" applyAlignment="1">
      <alignment vertical="center" horizontal="right"/>
    </xf>
    <xf xfId="51" quotePrefix="0" pivotButton="0" numFmtId="1" applyNumberFormat="1" fontId="12" applyFont="1" borderId="23" applyBorder="1" applyAlignment="1">
      <alignment vertical="center" horizontal="left"/>
    </xf>
    <xf xfId="103" quotePrefix="0" pivotButton="0" numFmtId="1" applyNumberFormat="1" fontId="11" applyFont="1" applyAlignment="1">
      <alignment vertical="center" wrapText="1"/>
    </xf>
    <xf xfId="352" quotePrefix="0" pivotButton="0" numFmtId="1" applyNumberFormat="1" fontId="2" applyFont="1" fillId="3" applyFill="1" applyAlignment="1">
      <alignment vertical="center"/>
    </xf>
    <xf xfId="328" quotePrefix="0" pivotButton="0" numFmtId="1" applyNumberFormat="1" fontId="2" applyFont="1" applyAlignment="1">
      <alignment vertical="center"/>
    </xf>
    <xf xfId="241" quotePrefix="0" pivotButton="0" numFmtId="1" applyNumberFormat="1" fontId="16" applyFont="1" applyAlignment="1">
      <alignment vertical="center" horizontal="left"/>
    </xf>
    <xf xfId="212" quotePrefix="0" pivotButton="0" numFmtId="1" applyNumberFormat="1" fontId="5" applyFont="1" applyAlignment="1">
      <alignment vertical="center"/>
    </xf>
    <xf xfId="60" quotePrefix="0" pivotButton="0" numFmtId="1" applyNumberFormat="1" fontId="5" applyFont="1" applyAlignment="1">
      <alignment vertical="center"/>
    </xf>
    <xf xfId="258" quotePrefix="0" pivotButton="0" numFmtId="1" applyNumberFormat="1" fontId="2" applyFont="1" applyAlignment="1">
      <alignment vertical="center"/>
    </xf>
    <xf xfId="183" quotePrefix="0" pivotButton="0" numFmtId="1" applyNumberFormat="1" fontId="8" applyFont="1" applyAlignment="1">
      <alignment vertical="center" horizontal="right" wrapText="1"/>
    </xf>
    <xf xfId="62" quotePrefix="0" pivotButton="0" numFmtId="1" applyNumberFormat="1" fontId="8" applyFont="1" applyAlignment="1">
      <alignment vertical="center" horizontal="left"/>
    </xf>
    <xf xfId="137" quotePrefix="0" pivotButton="0" numFmtId="1" applyNumberFormat="1" fontId="2" applyFont="1" fillId="3" applyFill="1" applyAlignment="1">
      <alignment vertical="center"/>
    </xf>
    <xf xfId="230" quotePrefix="0" pivotButton="0" numFmtId="1" applyNumberFormat="1" fontId="26" applyFont="1" borderId="17" applyBorder="1" applyAlignment="1">
      <alignment vertical="center" horizontal="left" wrapText="1"/>
    </xf>
    <xf xfId="194" quotePrefix="0" pivotButton="0" numFmtId="1" applyNumberFormat="1" fontId="1" applyFont="1" fillId="7" applyFill="1" borderId="17" applyBorder="1" applyAlignment="1">
      <alignment vertical="center" horizontal="center"/>
    </xf>
    <xf xfId="54" quotePrefix="0" pivotButton="0" numFmtId="1" applyNumberFormat="1" fontId="9" applyFont="1" applyAlignment="1">
      <alignment vertical="center" horizontal="left"/>
    </xf>
    <xf xfId="220" quotePrefix="0" pivotButton="0" numFmtId="1" applyNumberFormat="1" fontId="9" applyFont="1" applyAlignment="1">
      <alignment vertical="center"/>
    </xf>
    <xf xfId="252" quotePrefix="0" pivotButton="0" numFmtId="1" applyNumberFormat="1" fontId="9" applyFont="1" applyAlignment="1">
      <alignment vertical="center"/>
    </xf>
    <xf xfId="13" quotePrefix="0" pivotButton="0" numFmtId="4" applyNumberFormat="1" fontId="5" applyFont="1" applyAlignment="1">
      <alignment vertical="center" horizontal="left"/>
    </xf>
    <xf xfId="58" quotePrefix="0" pivotButton="0" numFmtId="10" applyNumberFormat="1" fontId="1" applyFont="1" borderId="17" applyBorder="1" applyAlignment="1">
      <alignment vertical="center" horizontal="center"/>
    </xf>
    <xf xfId="25" quotePrefix="0" pivotButton="0" numFmtId="1" applyNumberFormat="1" fontId="5" applyFont="1" applyAlignment="1">
      <alignment vertical="center"/>
    </xf>
    <xf xfId="43" quotePrefix="0" pivotButton="0" numFmtId="1" applyNumberFormat="1" fontId="9" applyFont="1" applyAlignment="1">
      <alignment vertical="center" horizontal="center"/>
    </xf>
    <xf xfId="71" quotePrefix="0" pivotButton="0" numFmtId="1" applyNumberFormat="1" fontId="5" applyFont="1" applyAlignment="1">
      <alignment vertical="center" horizontal="left" wrapText="1"/>
    </xf>
    <xf xfId="324" quotePrefix="0" pivotButton="0" numFmtId="5" applyNumberFormat="1" fontId="1" applyFont="1" borderId="17" applyBorder="1" applyAlignment="1">
      <alignment vertical="center" horizontal="center"/>
    </xf>
    <xf xfId="81" quotePrefix="0" pivotButton="0" numFmtId="9" applyNumberFormat="1" fontId="9" applyFont="1" applyAlignment="1">
      <alignment vertical="center" horizontal="left"/>
    </xf>
    <xf xfId="145" quotePrefix="0" pivotButton="0" numFmtId="1" applyNumberFormat="1" fontId="1" applyFont="1" borderId="17" applyBorder="1" applyAlignment="1">
      <alignment vertical="center" horizontal="center"/>
    </xf>
    <xf xfId="273" quotePrefix="0" pivotButton="0" numFmtId="1" applyNumberFormat="1" fontId="2" applyFont="1" fillId="3" applyFill="1" applyAlignment="1">
      <alignment vertical="center"/>
    </xf>
    <xf xfId="265" quotePrefix="0" pivotButton="0" numFmtId="1" applyNumberFormat="1" fontId="2" applyFont="1" fillId="3" applyFill="1" applyAlignment="1">
      <alignment vertical="center"/>
    </xf>
    <xf xfId="359" quotePrefix="0" pivotButton="0" numFmtId="4" applyNumberFormat="1" fontId="1" applyFont="1" borderId="17" applyBorder="1" applyAlignment="1">
      <alignment vertical="center" horizontal="center"/>
    </xf>
    <xf xfId="298" quotePrefix="0" pivotButton="0" numFmtId="1" applyNumberFormat="1" fontId="35" applyFont="1" fillId="3" applyFill="1" applyAlignment="1">
      <alignment vertical="center" horizontal="right"/>
    </xf>
    <xf xfId="132" quotePrefix="0" pivotButton="0" numFmtId="1" applyNumberFormat="1" fontId="5" applyFont="1" applyAlignment="1">
      <alignment vertical="center" horizontal="right"/>
    </xf>
    <xf xfId="113" quotePrefix="0" pivotButton="0" numFmtId="1" applyNumberFormat="1" fontId="1" applyFont="1" fillId="3" applyFill="1" applyAlignment="1">
      <alignment vertical="center"/>
    </xf>
    <xf xfId="107" quotePrefix="0" pivotButton="0" numFmtId="1" applyNumberFormat="1" fontId="1" applyFont="1" fillId="3" applyFill="1" applyAlignment="1">
      <alignment vertical="center"/>
    </xf>
    <xf xfId="223" quotePrefix="0" pivotButton="0" numFmtId="1" applyNumberFormat="1" fontId="26" applyFont="1" fillId="3" applyFill="1" applyAlignment="1">
      <alignment vertical="center" horizontal="left"/>
    </xf>
    <xf xfId="165" quotePrefix="0" pivotButton="0" numFmtId="1" applyNumberFormat="1" fontId="1" applyFont="1" fillId="3" applyFill="1" applyAlignment="1">
      <alignment vertical="center" horizontal="center"/>
    </xf>
    <xf xfId="88" quotePrefix="0" pivotButton="0" numFmtId="1" applyNumberFormat="1" fontId="8" applyFont="1" applyAlignment="1">
      <alignment vertical="center" horizontal="left" wrapText="1"/>
    </xf>
    <xf xfId="120" quotePrefix="0" pivotButton="0" numFmtId="1" applyNumberFormat="1" fontId="5" applyFont="1" applyAlignment="1">
      <alignment vertical="center" horizontal="center"/>
    </xf>
    <xf xfId="253" quotePrefix="0" pivotButton="0" numFmtId="1" applyNumberFormat="1" fontId="5" applyFont="1" applyAlignment="1">
      <alignment vertical="center" horizontal="left"/>
    </xf>
    <xf xfId="193" quotePrefix="0" pivotButton="0" numFmtId="1" applyNumberFormat="1" fontId="26" applyFont="1" borderId="57" applyBorder="1" applyAlignment="1">
      <alignment vertical="center" horizontal="left" wrapText="1"/>
    </xf>
    <xf xfId="242" quotePrefix="0" pivotButton="0" numFmtId="1" applyNumberFormat="1" fontId="1" applyFont="1" borderId="65" applyBorder="1" applyAlignment="1">
      <alignment vertical="center" horizontal="left" wrapText="1"/>
    </xf>
    <xf xfId="139" quotePrefix="0" pivotButton="0" numFmtId="1" applyNumberFormat="1" fontId="1" applyFont="1" borderId="44" applyBorder="1" applyAlignment="1">
      <alignment vertical="center"/>
    </xf>
    <xf xfId="261" quotePrefix="0" pivotButton="0" numFmtId="9" applyNumberFormat="1" fontId="5" applyFont="1" applyAlignment="1">
      <alignment vertical="center" horizontal="left"/>
    </xf>
    <xf xfId="75" quotePrefix="0" pivotButton="0" numFmtId="1" applyNumberFormat="1" fontId="15" applyFont="1" applyAlignment="1">
      <alignment vertical="center"/>
    </xf>
    <xf xfId="245" quotePrefix="0" pivotButton="0" numFmtId="1" applyNumberFormat="1" fontId="1" applyFont="1" fillId="3" applyFill="1" applyAlignment="1">
      <alignment/>
    </xf>
    <xf xfId="221" quotePrefix="0" pivotButton="0" numFmtId="9" applyNumberFormat="1" fontId="5" applyFont="1" applyAlignment="1">
      <alignment vertical="center" horizontal="center"/>
    </xf>
    <xf xfId="213" quotePrefix="0" pivotButton="0" numFmtId="1" applyNumberFormat="1" fontId="8" applyFont="1" borderId="17" applyBorder="1" applyAlignment="1">
      <alignment vertical="center" horizontal="center" wrapText="1"/>
    </xf>
    <xf xfId="286" quotePrefix="0" pivotButton="0" numFmtId="1" applyNumberFormat="1" fontId="8" applyFont="1" borderId="17" applyBorder="1" applyAlignment="1">
      <alignment vertical="center" horizontal="center"/>
    </xf>
    <xf xfId="213" quotePrefix="0" pivotButton="0" numFmtId="1" applyNumberFormat="1" fontId="8" applyFont="1" borderId="17" applyBorder="1" applyAlignment="1">
      <alignment vertical="center" horizontal="center" wrapText="1"/>
    </xf>
    <xf xfId="312" quotePrefix="0" pivotButton="0" numFmtId="1" applyNumberFormat="1" fontId="8" applyFont="1" borderId="17" applyBorder="1" applyAlignment="1">
      <alignment vertical="center" horizontal="center" wrapText="1"/>
    </xf>
    <xf xfId="157" quotePrefix="0" pivotButton="0" numFmtId="1" applyNumberFormat="1" fontId="21" applyFont="1" fillId="3" applyFill="1" applyAlignment="1">
      <alignment vertical="center" horizontal="right"/>
    </xf>
    <xf xfId="202" quotePrefix="0" pivotButton="0" numFmtId="1" applyNumberFormat="1" fontId="28" applyFont="1" applyAlignment="1">
      <alignment vertical="center" horizontal="right"/>
    </xf>
    <xf xfId="234" quotePrefix="0" pivotButton="0" numFmtId="1" applyNumberFormat="1" fontId="5" applyFont="1" borderId="64" applyBorder="1" applyAlignment="1">
      <alignment vertical="center" horizontal="left" wrapText="1"/>
    </xf>
    <xf xfId="148" quotePrefix="0" pivotButton="0" numFmtId="1" applyNumberFormat="1" fontId="5" applyFont="1" borderId="48" applyBorder="1" applyAlignment="1">
      <alignment vertical="center" horizontal="left"/>
    </xf>
    <xf xfId="364" quotePrefix="0" pivotButton="0" numFmtId="1" applyNumberFormat="1" fontId="5" applyFont="1" borderId="48" applyBorder="1" applyAlignment="1">
      <alignment vertical="center" horizontal="left"/>
    </xf>
    <xf xfId="95" quotePrefix="0" pivotButton="0" numFmtId="1" applyNumberFormat="1" fontId="5" applyFont="1" borderId="24" applyBorder="1" applyAlignment="1">
      <alignment vertical="center" horizontal="center" wrapText="1"/>
    </xf>
    <xf xfId="95" quotePrefix="0" pivotButton="0" numFmtId="1" applyNumberFormat="1" fontId="5" applyFont="1" borderId="24" applyBorder="1" applyAlignment="1">
      <alignment vertical="center" horizontal="center" wrapText="1"/>
    </xf>
    <xf xfId="52" quotePrefix="0" pivotButton="0" numFmtId="7" applyNumberFormat="1" fontId="5" applyFont="1" borderId="24" applyBorder="1" applyAlignment="1">
      <alignment vertical="center" horizontal="right"/>
    </xf>
    <xf xfId="171" quotePrefix="0" pivotButton="0" numFmtId="7" applyNumberFormat="1" fontId="5" applyFont="1" borderId="53" applyBorder="1" applyAlignment="1">
      <alignment vertical="center" horizontal="right"/>
    </xf>
    <xf xfId="255" quotePrefix="0" pivotButton="0" numFmtId="1" applyNumberFormat="1" fontId="5" applyFont="1" borderId="67" applyBorder="1" applyAlignment="1">
      <alignment vertical="center" horizontal="left" wrapText="1"/>
    </xf>
    <xf xfId="5" quotePrefix="0" pivotButton="0" numFmtId="1" applyNumberFormat="1" fontId="5" applyFont="1" borderId="3" applyBorder="1" applyAlignment="1">
      <alignment vertical="center" horizontal="left"/>
    </xf>
    <xf xfId="76" quotePrefix="0" pivotButton="0" numFmtId="1" applyNumberFormat="1" fontId="5" applyFont="1" borderId="3" applyBorder="1" applyAlignment="1">
      <alignment vertical="center" horizontal="left"/>
    </xf>
    <xf xfId="87" quotePrefix="0" pivotButton="0" numFmtId="1" applyNumberFormat="1" fontId="5" applyFont="1" borderId="31" applyBorder="1" applyAlignment="1">
      <alignment vertical="center" horizontal="center" wrapText="1"/>
    </xf>
    <xf xfId="87" quotePrefix="0" pivotButton="0" numFmtId="1" applyNumberFormat="1" fontId="5" applyFont="1" borderId="31" applyBorder="1" applyAlignment="1">
      <alignment vertical="center" horizontal="center" wrapText="1"/>
    </xf>
    <xf xfId="362" quotePrefix="0" pivotButton="0" numFmtId="7" applyNumberFormat="1" fontId="5" applyFont="1" borderId="31" applyBorder="1" applyAlignment="1">
      <alignment vertical="center" horizontal="right"/>
    </xf>
    <xf xfId="89" quotePrefix="0" pivotButton="0" numFmtId="7" applyNumberFormat="1" fontId="5" applyFont="1" borderId="32" applyBorder="1" applyAlignment="1">
      <alignment vertical="center" horizontal="right"/>
    </xf>
    <xf xfId="255" quotePrefix="0" pivotButton="0" numFmtId="1" applyNumberFormat="1" fontId="5" applyFont="1" borderId="67" applyBorder="1" applyAlignment="1">
      <alignment vertical="center" horizontal="left" wrapText="1"/>
    </xf>
    <xf xfId="63" quotePrefix="0" pivotButton="0" numFmtId="1" applyNumberFormat="1" fontId="5" applyFont="1" borderId="27" applyBorder="1" applyAlignment="1">
      <alignment vertical="center" horizontal="left"/>
    </xf>
    <xf xfId="176" quotePrefix="0" pivotButton="0" numFmtId="1" applyNumberFormat="1" fontId="5" applyFont="1" borderId="8" applyBorder="1" applyAlignment="1">
      <alignment vertical="center" horizontal="left"/>
    </xf>
    <xf xfId="18" quotePrefix="0" pivotButton="0" numFmtId="1" applyNumberFormat="1" fontId="5" applyFont="1" borderId="8" applyBorder="1" applyAlignment="1">
      <alignment vertical="center" horizontal="left"/>
    </xf>
    <xf xfId="271" quotePrefix="0" pivotButton="0" numFmtId="1" applyNumberFormat="1" fontId="5" applyFont="1" borderId="15" applyBorder="1" applyAlignment="1">
      <alignment vertical="center" horizontal="center"/>
    </xf>
    <xf xfId="32" quotePrefix="0" pivotButton="0" numFmtId="7" applyNumberFormat="1" fontId="5" applyFont="1" borderId="15" applyBorder="1" applyAlignment="1">
      <alignment vertical="center" horizontal="right"/>
    </xf>
    <xf xfId="231" quotePrefix="0" pivotButton="0" numFmtId="7" applyNumberFormat="1" fontId="5" applyFont="1" borderId="63" applyBorder="1" applyAlignment="1">
      <alignment vertical="center" horizontal="right"/>
    </xf>
    <xf xfId="334" quotePrefix="0" pivotButton="0" numFmtId="1" applyNumberFormat="1" fontId="8" applyFont="1" applyAlignment="1">
      <alignment vertical="center" wrapText="1"/>
    </xf>
    <xf xfId="214" quotePrefix="0" pivotButton="0" numFmtId="1" applyNumberFormat="1" fontId="5" applyFont="1" borderId="60" applyBorder="1" applyAlignment="1">
      <alignment vertical="top" horizontal="left" wrapText="1"/>
    </xf>
    <xf xfId="309" quotePrefix="0" pivotButton="0" numFmtId="1" applyNumberFormat="1" fontId="5" applyFont="1" borderId="23" applyBorder="1" applyAlignment="1">
      <alignment vertical="top" horizontal="left"/>
    </xf>
    <xf xfId="243" quotePrefix="0" pivotButton="0" numFmtId="1" applyNumberFormat="1" fontId="5" applyFont="1" borderId="23" applyBorder="1" applyAlignment="1">
      <alignment vertical="top" horizontal="left"/>
    </xf>
    <xf xfId="38" quotePrefix="0" pivotButton="0" numFmtId="1" applyNumberFormat="1" fontId="5" applyFont="1" borderId="20" applyBorder="1" applyAlignment="1">
      <alignment vertical="top" horizontal="left"/>
    </xf>
    <xf xfId="37" quotePrefix="0" pivotButton="0" numFmtId="1" applyNumberFormat="1" fontId="8" applyFont="1" applyAlignment="1">
      <alignment vertical="center" horizontal="right" wrapText="1"/>
    </xf>
    <xf xfId="274" quotePrefix="0" pivotButton="0" numFmtId="7" applyNumberFormat="1" fontId="5" applyFont="1" borderId="72" applyBorder="1" applyAlignment="1">
      <alignment vertical="center" horizontal="right"/>
    </xf>
    <xf xfId="335" quotePrefix="0" pivotButton="0" numFmtId="1" applyNumberFormat="1" fontId="5" applyFont="1" borderId="61" applyBorder="1" applyAlignment="1">
      <alignment vertical="top" horizontal="left"/>
    </xf>
    <xf xfId="355" quotePrefix="0" pivotButton="0" numFmtId="1" applyNumberFormat="1" fontId="5" applyFont="1" applyAlignment="1">
      <alignment vertical="top" horizontal="left"/>
    </xf>
    <xf xfId="280" quotePrefix="0" pivotButton="0" numFmtId="1" applyNumberFormat="1" fontId="5" applyFont="1" applyAlignment="1">
      <alignment vertical="top" horizontal="left"/>
    </xf>
    <xf xfId="304" quotePrefix="0" pivotButton="0" numFmtId="1" applyNumberFormat="1" fontId="5" applyFont="1" borderId="80" applyBorder="1" applyAlignment="1">
      <alignment vertical="top" horizontal="left"/>
    </xf>
    <xf xfId="345" quotePrefix="0" pivotButton="0" numFmtId="7" applyNumberFormat="1" fontId="5" applyFont="1" borderId="84" applyBorder="1" applyAlignment="1">
      <alignment vertical="center" horizontal="right"/>
    </xf>
    <xf xfId="121" quotePrefix="0" pivotButton="0" numFmtId="7" applyNumberFormat="1" fontId="5" applyFont="1" borderId="42" applyBorder="1" applyAlignment="1">
      <alignment vertical="center" horizontal="right"/>
    </xf>
    <xf xfId="240" quotePrefix="0" pivotButton="0" numFmtId="7" applyNumberFormat="1" fontId="5" applyFont="1" borderId="42" applyBorder="1" applyAlignment="1">
      <alignment vertical="center" horizontal="right"/>
    </xf>
    <xf xfId="108" quotePrefix="0" pivotButton="0" numFmtId="1" applyNumberFormat="1" fontId="1" applyFont="1" applyAlignment="1">
      <alignment/>
    </xf>
    <xf xfId="303" quotePrefix="0" pivotButton="0" numFmtId="1" applyNumberFormat="1" fontId="1" applyFont="1" applyAlignment="1">
      <alignment/>
    </xf>
    <xf xfId="346" quotePrefix="0" pivotButton="0" numFmtId="1" applyNumberFormat="1" fontId="5" applyFont="1" borderId="85" applyBorder="1" applyAlignment="1">
      <alignment vertical="top" horizontal="left"/>
    </xf>
    <xf xfId="365" quotePrefix="0" pivotButton="0" numFmtId="1" applyNumberFormat="1" fontId="5" applyFont="1" borderId="52" applyBorder="1" applyAlignment="1">
      <alignment vertical="top" horizontal="left"/>
    </xf>
    <xf xfId="172" quotePrefix="0" pivotButton="0" numFmtId="1" applyNumberFormat="1" fontId="5" applyFont="1" borderId="52" applyBorder="1" applyAlignment="1">
      <alignment vertical="top" horizontal="left"/>
    </xf>
    <xf xfId="281" quotePrefix="0" pivotButton="0" numFmtId="1" applyNumberFormat="1" fontId="5" applyFont="1" borderId="74" applyBorder="1" applyAlignment="1">
      <alignment vertical="top" horizontal="left"/>
    </xf>
    <xf xfId="118" quotePrefix="0" pivotButton="0" numFmtId="12" applyNumberFormat="1" fontId="8" applyFont="1" borderId="41" applyBorder="1" applyAlignment="1">
      <alignment vertical="center" horizontal="right"/>
    </xf>
    <xf xfId="319" quotePrefix="0" pivotButton="0" numFmtId="1" applyNumberFormat="1" fontId="16" applyFont="1" applyAlignment="1">
      <alignment vertical="center" horizontal="center" wrapText="1"/>
    </xf>
    <xf xfId="84" quotePrefix="0" pivotButton="0" numFmtId="1" applyNumberFormat="1" fontId="16" applyFont="1" applyAlignment="1">
      <alignment vertical="center" horizontal="center"/>
    </xf>
    <xf xfId="319" quotePrefix="0" pivotButton="0" numFmtId="1" applyNumberFormat="1" fontId="16" applyFont="1" applyAlignment="1">
      <alignment vertical="center" horizontal="center" wrapText="1"/>
    </xf>
    <xf xfId="74" quotePrefix="0" pivotButton="0" numFmtId="1" applyNumberFormat="1" fontId="1" applyFont="1" fillId="3" applyFill="1" applyAlignment="1">
      <alignment vertical="center" horizontal="center"/>
    </xf>
    <xf xfId="48" quotePrefix="0" pivotButton="0" numFmtId="1" applyNumberFormat="1" fontId="2" applyFont="1" applyAlignment="1">
      <alignment vertical="center"/>
    </xf>
    <xf xfId="222" quotePrefix="0" pivotButton="0" numFmtId="1" applyNumberFormat="1" fontId="30" applyFont="1" applyAlignment="1">
      <alignment vertical="center" wrapText="1"/>
    </xf>
    <xf xfId="295" quotePrefix="0" pivotButton="0" numFmtId="1" applyNumberFormat="1" fontId="2" applyFont="1" applyAlignment="1">
      <alignment vertical="center"/>
    </xf>
    <xf xfId="178" quotePrefix="0" pivotButton="0" numFmtId="1" applyNumberFormat="1" fontId="10" applyFont="1" applyAlignment="1">
      <alignment vertical="center"/>
    </xf>
    <xf xfId="199" quotePrefix="0" pivotButton="0" numFmtId="14" applyNumberFormat="1" fontId="27" applyFont="1" fillId="9" applyFill="1" applyAlignment="1">
      <alignment vertical="center" horizontal="center"/>
    </xf>
    <xf xfId="315" quotePrefix="0" pivotButton="0" numFmtId="1" applyNumberFormat="1" fontId="14" applyFont="1" fillId="9" applyFill="1" applyAlignment="1">
      <alignment vertical="center" horizontal="left" wrapText="1"/>
    </xf>
    <xf xfId="150" quotePrefix="0" pivotButton="0" numFmtId="1" applyNumberFormat="1" fontId="10" applyFont="1" fillId="9" applyFill="1" applyAlignment="1">
      <alignment vertical="center" horizontal="left"/>
    </xf>
    <xf xfId="112" quotePrefix="0" pivotButton="0" numFmtId="1" applyNumberFormat="1" fontId="10" applyFont="1" applyAlignment="1">
      <alignment vertical="center"/>
    </xf>
    <xf xfId="351" quotePrefix="0" pivotButton="0" numFmtId="1" applyNumberFormat="1" fontId="2" applyFont="1" fillId="3" applyFill="1" applyAlignment="1">
      <alignment vertical="center"/>
    </xf>
    <xf xfId="306" quotePrefix="0" pivotButton="0" numFmtId="17" applyNumberFormat="1" fontId="27" applyFont="1" fillId="9" applyFill="1" applyAlignment="1">
      <alignment vertical="center" horizontal="left"/>
    </xf>
    <xf xfId="155" quotePrefix="0" pivotButton="0" numFmtId="1" applyNumberFormat="1" fontId="2" applyFont="1" fillId="9" applyFill="1" applyAlignment="1">
      <alignment vertical="center" horizontal="left"/>
    </xf>
    <xf xfId="206" quotePrefix="0" pivotButton="0" numFmtId="1" applyNumberFormat="1" fontId="27" applyFont="1" fillId="9" applyFill="1" applyAlignment="1">
      <alignment vertical="center" horizontal="left" wrapText="1"/>
    </xf>
    <xf xfId="311" quotePrefix="0" pivotButton="0" numFmtId="1" applyNumberFormat="1" fontId="2" applyFont="1" fillId="3" applyFill="1" applyAlignment="1">
      <alignment vertical="center"/>
    </xf>
    <xf xfId="315" quotePrefix="0" pivotButton="0" numFmtId="1" applyNumberFormat="1" fontId="14" applyFont="1" fillId="9" applyFill="1" applyAlignment="1">
      <alignment vertical="center" horizontal="left" wrapText="1"/>
    </xf>
    <xf xfId="310" quotePrefix="0" pivotButton="0" numFmtId="1" applyNumberFormat="1" fontId="27" applyFont="1" fillId="9" applyFill="1" applyAlignment="1">
      <alignment vertical="center" horizontal="center" wrapText="1"/>
    </xf>
    <xf xfId="348" quotePrefix="0" pivotButton="0" numFmtId="1" applyNumberFormat="1" fontId="2" applyFont="1" fillId="3" applyFill="1" applyAlignment="1">
      <alignment vertical="center"/>
    </xf>
    <xf xfId="316" quotePrefix="0" pivotButton="0" numFmtId="1" applyNumberFormat="1" fontId="10" applyFont="1" fillId="9" applyFill="1" applyAlignment="1">
      <alignment vertical="center" horizontal="left" wrapText="1"/>
    </xf>
    <xf xfId="97" quotePrefix="0" pivotButton="0" numFmtId="1" applyNumberFormat="1" fontId="14" applyFont="1" fillId="9" applyFill="1" applyAlignment="1">
      <alignment vertical="center" horizontal="left" wrapText="1"/>
    </xf>
    <xf xfId="67" quotePrefix="0" pivotButton="0" numFmtId="1" applyNumberFormat="1" fontId="14" applyFont="1" fillId="9" applyFill="1" applyAlignment="1">
      <alignment vertical="center" horizontal="left"/>
    </xf>
    <xf xfId="143" quotePrefix="0" pivotButton="0" numFmtId="5" applyNumberFormat="1" fontId="15" applyFont="1" fillId="2" applyFill="1" borderId="46" applyBorder="1" applyAlignment="1">
      <alignment vertical="center" horizontal="center"/>
    </xf>
    <xf xfId="246" quotePrefix="0" pivotButton="0" numFmtId="1" applyNumberFormat="1" fontId="27" applyFont="1" fillId="9" applyFill="1" applyAlignment="1">
      <alignment vertical="center" horizontal="center" wrapText="1"/>
    </xf>
    <xf xfId="45" quotePrefix="0" pivotButton="0" numFmtId="1" applyNumberFormat="1" fontId="10" applyFont="1" fillId="9" applyFill="1" applyAlignment="1">
      <alignment vertical="center" horizontal="left"/>
    </xf>
    <xf xfId="128" quotePrefix="0" pivotButton="0" numFmtId="1" applyNumberFormat="1" fontId="2" applyFont="1" fillId="3" applyFill="1" applyAlignment="1">
      <alignment vertical="center"/>
    </xf>
    <xf xfId="164" quotePrefix="0" pivotButton="0" numFmtId="5" applyNumberFormat="1" fontId="15" applyFont="1" borderId="46" applyBorder="1" applyAlignment="1">
      <alignment vertical="center" horizontal="center"/>
    </xf>
    <xf xfId="200" quotePrefix="0" pivotButton="0" numFmtId="1" applyNumberFormat="1" fontId="14" applyFont="1" fillId="9" applyFill="1" applyAlignment="1">
      <alignment vertical="center" horizontal="center" wrapText="1"/>
    </xf>
    <xf xfId="200" quotePrefix="0" pivotButton="0" numFmtId="1" applyNumberFormat="1" fontId="14" applyFont="1" fillId="9" applyFill="1" applyAlignment="1">
      <alignment vertical="center" horizontal="center" wrapText="1"/>
    </xf>
    <xf xfId="323" quotePrefix="0" pivotButton="0" numFmtId="5" applyNumberFormat="1" fontId="14" applyFont="1" fillId="9" applyFill="1" applyAlignment="1">
      <alignment vertical="center" horizontal="center"/>
    </xf>
    <xf xfId="206" quotePrefix="0" pivotButton="0" numFmtId="1" applyNumberFormat="1" fontId="27" applyFont="1" fillId="9" applyFill="1" applyAlignment="1">
      <alignment vertical="center" horizontal="left" wrapText="1"/>
    </xf>
    <xf xfId="275" quotePrefix="0" pivotButton="0" numFmtId="5" applyNumberFormat="1" fontId="15" applyFont="1" fillId="2" applyFill="1" borderId="46" applyBorder="1" applyAlignment="1">
      <alignment vertical="center" horizontal="center"/>
    </xf>
    <xf xfId="349" quotePrefix="0" pivotButton="0" numFmtId="1" applyNumberFormat="1" fontId="14" applyFont="1" fillId="9" applyFill="1" applyAlignment="1">
      <alignment vertical="center" horizontal="center" wrapText="1"/>
    </xf>
    <xf xfId="250" quotePrefix="0" pivotButton="0" numFmtId="1" applyNumberFormat="1" fontId="31" applyFont="1" fillId="9" applyFill="1" applyAlignment="1">
      <alignment vertical="center" horizontal="left" wrapText="1"/>
    </xf>
    <xf xfId="263" quotePrefix="0" pivotButton="0" numFmtId="1" applyNumberFormat="1" fontId="31" applyFont="1" fillId="9" applyFill="1" applyAlignment="1">
      <alignment vertical="center" horizontal="left" wrapText="1"/>
    </xf>
    <xf xfId="14" quotePrefix="0" pivotButton="0" numFmtId="1" applyNumberFormat="1" fontId="2" applyFont="1" fillId="3" applyFill="1" applyAlignment="1">
      <alignment vertical="center" horizontal="center"/>
    </xf>
    <xf quotePrefix="0" pivotButton="0"/>
    <xf xfId="11" quotePrefix="0" pivotButton="0" numFmtId="1" applyNumberFormat="1" fontId="2" applyFont="1" fillId="3" applyFill="1" applyAlignment="1">
      <alignment vertical="center" horizontal="center"/>
    </xf>
    <xf xfId="259" quotePrefix="0" pivotButton="0" numFmtId="1" applyNumberFormat="1" fontId="2" applyFont="1" fillId="2" applyFill="1" applyAlignment="1">
      <alignment vertical="center" horizontal="center"/>
    </xf>
    <xf xfId="22" quotePrefix="0" pivotButton="0" numFmtId="1" applyNumberFormat="1" fontId="2" applyFont="1" fillId="2" applyFill="1" applyAlignment="1">
      <alignment vertical="center" horizontal="left" wrapText="1"/>
    </xf>
    <xf xfId="116" quotePrefix="0" pivotButton="0" numFmtId="4" applyNumberFormat="1" fontId="2" applyFont="1" fillId="2" applyFill="1" applyAlignment="1">
      <alignment vertical="center" horizontal="center"/>
    </xf>
    <xf xfId="130" quotePrefix="0" pivotButton="0" numFmtId="5" applyNumberFormat="1" fontId="2" applyFont="1" fillId="2" applyFill="1" applyAlignment="1">
      <alignment vertical="center" horizontal="right"/>
    </xf>
    <xf xfId="16" quotePrefix="0" pivotButton="0" numFmtId="5" applyNumberFormat="1" fontId="2" applyFont="1" fillId="2" applyFill="1" applyAlignment="1">
      <alignment vertical="center" horizontal="right"/>
    </xf>
    <xf xfId="22" quotePrefix="0" pivotButton="0" numFmtId="1" applyNumberFormat="1" fontId="2" applyFont="1" fillId="2" applyFill="1" applyAlignment="1">
      <alignment vertical="center" horizontal="left" wrapText="1"/>
    </xf>
    <xf xfId="173" quotePrefix="0" pivotButton="0" numFmtId="1" applyNumberFormat="1" fontId="24" applyFont="1" fillId="2" applyFill="1" applyAlignment="1">
      <alignment vertical="center"/>
    </xf>
    <xf xfId="23" quotePrefix="0" pivotButton="0" numFmtId="1" applyNumberFormat="1" fontId="2" applyFont="1" fillId="2" applyFill="1" applyAlignment="1">
      <alignment vertical="center" horizontal="left"/>
    </xf>
    <xf xfId="337" quotePrefix="0" pivotButton="0" numFmtId="1" applyNumberFormat="1" fontId="36" applyFont="1" fillId="2" applyFill="1" applyAlignment="1">
      <alignment vertical="center" wrapText="1"/>
    </xf>
    <xf xfId="90" quotePrefix="0" pivotButton="0" numFmtId="1" applyNumberFormat="1" fontId="6" applyFont="1" applyAlignment="1">
      <alignment vertical="center" horizontal="left" wrapText="1"/>
    </xf>
    <xf xfId="90" quotePrefix="0" pivotButton="0" numFmtId="1" applyNumberFormat="1" fontId="6" applyFont="1" applyAlignment="1">
      <alignment vertical="center" horizontal="left" wrapText="1"/>
    </xf>
    <xf xfId="146" quotePrefix="0" pivotButton="0" numFmtId="1" applyNumberFormat="1" fontId="6" applyFont="1" applyAlignment="1">
      <alignment vertical="center" horizontal="left"/>
    </xf>
    <xf xfId="141" quotePrefix="0" pivotButton="0" numFmtId="1" applyNumberFormat="1" fontId="2" applyFont="1" applyAlignment="1">
      <alignment vertical="center" horizontal="left"/>
    </xf>
    <xf xfId="44" quotePrefix="0" pivotButton="0" numFmtId="1" applyNumberFormat="1" fontId="4" applyFont="1" fillId="8" applyFill="1" borderId="17" applyBorder="1" applyAlignment="1">
      <alignment vertical="center" horizontal="left" wrapText="1"/>
    </xf>
    <xf xfId="114" quotePrefix="0" pivotButton="0" numFmtId="4" applyNumberFormat="1" fontId="4" applyFont="1" fillId="8" applyFill="1" borderId="17" applyBorder="1" applyAlignment="1">
      <alignment vertical="center" horizontal="left" wrapText="1"/>
    </xf>
    <xf xfId="341" quotePrefix="0" pivotButton="0" numFmtId="1" applyNumberFormat="1" fontId="33" applyFont="1" applyAlignment="1">
      <alignment vertical="center" horizontal="left"/>
    </xf>
    <xf xfId="342" quotePrefix="0" pivotButton="0" numFmtId="4" applyNumberFormat="1" fontId="33" applyFont="1" applyAlignment="1">
      <alignment vertical="center" horizontal="left"/>
    </xf>
    <xf xfId="276" quotePrefix="0" pivotButton="0" numFmtId="4" applyNumberFormat="1" fontId="33" applyFont="1" applyAlignment="1">
      <alignment vertical="center" horizontal="left"/>
    </xf>
    <xf xfId="363" quotePrefix="0" pivotButton="0" numFmtId="4" applyNumberFormat="1" fontId="6" applyFont="1" applyAlignment="1">
      <alignment vertical="center" horizontal="left"/>
    </xf>
    <xf xfId="343" quotePrefix="0" pivotButton="0" numFmtId="5" applyNumberFormat="1" fontId="6" applyFont="1" applyAlignment="1">
      <alignment vertical="center" horizontal="left"/>
    </xf>
    <xf xfId="147" quotePrefix="0" pivotButton="0" numFmtId="5" applyNumberFormat="1" fontId="4" applyFont="1" fillId="8" applyFill="1" borderId="17" applyBorder="1" applyAlignment="1">
      <alignment vertical="center" horizontal="left" wrapText="1"/>
    </xf>
    <xf xfId="109" quotePrefix="0" pivotButton="0" numFmtId="4" applyNumberFormat="1" fontId="2" applyFont="1" applyAlignment="1">
      <alignment vertical="center" horizontal="left"/>
    </xf>
    <xf xfId="39" quotePrefix="0" pivotButton="0" numFmtId="4" applyNumberFormat="1" fontId="2" applyFont="1" applyAlignment="1">
      <alignment vertical="center" horizontal="left" wrapText="1"/>
    </xf>
    <xf xfId="125" quotePrefix="0" pivotButton="0" numFmtId="5" applyNumberFormat="1" fontId="2" applyFont="1" applyAlignment="1">
      <alignment vertical="center" horizontal="left"/>
    </xf>
    <xf xfId="353" quotePrefix="0" pivotButton="0" numFmtId="5" applyNumberFormat="1" fontId="2" applyFont="1" applyAlignment="1">
      <alignment vertical="center" horizontal="left"/>
    </xf>
    <xf xfId="134" quotePrefix="0" pivotButton="0" numFmtId="1" applyNumberFormat="1" fontId="2" applyFont="1" applyAlignment="1">
      <alignment vertical="center" horizontal="left"/>
    </xf>
  </cellXfs>
  <cellStyles count="1">
    <cellStyle name="normal" xfId="0" builtinId="0"/>
  </cellStyles>
  <dxfs count="16">
    <dxf>
      <font/>
      <alignment/>
    </dxf>
    <dxf>
      <font/>
      <alignment/>
    </dxf>
    <dxf>
      <font/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/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/>
      <fill>
        <patternFill>
          <bgColor rgb="FFFFFFFF"/>
        </patternFill>
      </fill>
      <alignment/>
    </dxf>
    <dxf>
      <font/>
      <alignment/>
    </dxf>
    <dxf>
      <font>
        <color rgb="FFFFFFFF"/>
        <family val="2"/>
        <rFont val="Arial"/>
      </font>
      <fill>
        <patternFill>
          <bgColor rgb="FFFF0000"/>
        </patternFill>
      </fill>
      <alignment/>
    </dxf>
    <dxf>
      <font/>
      <border>
        <left/>
        <right/>
        <top/>
        <bottom/>
        <diagonal/>
      </border>
      <alignment/>
    </dxf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D1B8B3B0-DA01-43B5-B21E-A47424B08EA0}" count="4">
      <tableStyleElement dxfId="11" type="headerRow"/>
      <tableStyleElement dxfId="14" type="totalRow"/>
      <tableStyleElement dxfId="12" type="firstRowStripe"/>
      <tableStyleElement dxfId="13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theme" Target="theme/theme1.xml"/>
<Relationship Id="rId10" Type="http://schemas.openxmlformats.org/officeDocument/2006/relationships/sharedStrings" Target="sharedStrings.xml"/>
<Relationship Id="rId11" Type="http://schemas.openxmlformats.org/officeDocument/2006/relationships/styles" Target="styles.xml"/>
<Relationship Id="rId12" Type="http://schemas.openxmlformats.org/officeDocument/2006/relationships/calcChain" Target="calcChain.xml"/>
</Relationships>
</file>

<file path=xl/drawings/_rels/drawing1.xml.rels><?xml version="1.0" encoding="UTF-8" standalone="yes"?><Relationships xmlns="http://schemas.openxmlformats.org/package/2006/relationships">
<Relationship Id="rId68" Type="http://schemas.openxmlformats.org/officeDocument/2006/relationships/image" Target="../media/image1.png"/>
</Relationships>
</file>

<file path=xl/drawings/_rels/drawing4.xml.rels><?xml version="1.0" encoding="UTF-8" standalone="yes"?><Relationships xmlns="http://schemas.openxmlformats.org/package/2006/relationships">
<Relationship Id="rId2" Type="http://schemas.openxmlformats.org/officeDocument/2006/relationships/image" Target="../media/image2.png"/>
<Relationship Id="rId2" Type="http://schemas.openxmlformats.org/officeDocument/2006/relationships/image" Target="../media/image3.png"/>
<Relationship Id="rId3" Type="http://schemas.openxmlformats.org/officeDocument/2006/relationships/image" Target="../media/image4.png"/>
<Relationship Id="rId4" Type="http://schemas.openxmlformats.org/officeDocument/2006/relationships/image" Target="../media/image5.png"/>
<Relationship Id="rId5" Type="http://schemas.openxmlformats.org/officeDocument/2006/relationships/image" Target="../media/image6.png"/>
<Relationship Id="rId6" Type="http://schemas.openxmlformats.org/officeDocument/2006/relationships/image" Target="../media/image7.png"/>
<Relationship Id="rId7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14</xdr:col>
      <xdr:colOff>0</xdr:colOff>
      <xdr:row>1</xdr:row>
      <xdr:rowOff>114300</xdr:rowOff>
    </xdr:from>
    <xdr:to>
      <xdr:col>15</xdr:col>
      <xdr:colOff>1562100</xdr:colOff>
      <xdr:row>2</xdr:row>
      <xdr:rowOff>7620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A3DA4A1-663F-408E-B5D4-5D1CFDAE31B5}"/>
            </a:ext>
          </a:extLst>
        </xdr:cNvPr>
        <xdr:cNvGrpSpPr/>
        <xdr:nvPr/>
      </xdr:nvGrpSpPr>
      <xdr:grpSpPr>
        <a:xfrm>
          <a:off x="7766956" y="620486"/>
          <a:ext cx="1638300" cy="274320"/>
          <a:chOff x="7766957" y="620486"/>
          <a:chExt cx="1638300" cy="274320"/>
        </a:xfrm>
      </xdr:grpSpPr>
      <xdr:sp macro="" textlink="">
        <xdr:nvSpPr>
          <xdr:cNvPr id="3" name="Shape 2">
            <a:extLst>
              <a:ext uri="{FF2B5EF4-FFF2-40B4-BE49-F238E27FC236}">
                <a16:creationId xmlns:a16="http://schemas.microsoft.com/office/drawing/2014/main" id="{DA611DAD-68BC-4B71-8C78-3162B42C77D4}"/>
              </a:ext>
            </a:extLst>
          </xdr:cNvPr>
          <xdr:cNvSpPr/>
        </xdr:nvSpPr>
        <xdr:spPr>
          <a:xfrm>
            <a:off x="8737471" y="620486"/>
            <a:ext cx="667785" cy="274320"/>
          </a:xfrm>
          <a:prstGeom prst="roundRect">
            <a:avLst>
              <a:gd name="adj" fmla="val 16667"/>
            </a:avLst>
          </a:prstGeom>
          <a:solidFill>
            <a:srgbClr val="1CADE4"/>
          </a:solidFill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" name="Shape 3">
            <a:extLst>
              <a:ext uri="{FF2B5EF4-FFF2-40B4-BE49-F238E27FC236}">
                <a16:creationId xmlns:a16="http://schemas.microsoft.com/office/drawing/2014/main" id="{388B0A0B-3A5D-4BBD-8E13-20E58789A63C}"/>
              </a:ext>
            </a:extLst>
          </xdr:cNvPr>
          <xdr:cNvSpPr/>
        </xdr:nvSpPr>
        <xdr:spPr>
          <a:xfrm>
            <a:off x="7766956" y="620486"/>
            <a:ext cx="854765" cy="274320"/>
          </a:xfrm>
          <a:prstGeom prst="roundRect">
            <a:avLst>
              <a:gd name="adj" fmla="val 16667"/>
            </a:avLst>
          </a:prstGeom>
          <a:noFill/>
          <a:ln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ctr"/>
          <a:lstStyle/>
          <a:p>
            <a:pPr algn="r"/>
            <a:r>
              <a:rPr lang="zh-CN" altLang="en-US" sz="1400" b="1">
                <a:latin typeface="Bookman Old Style"/>
                <a:ea typeface="Bookman Old Style"/>
              </a:rPr>
              <a:t>Year</a:t>
            </a:r>
          </a:p>
        </xdr:txBody>
      </xdr:sp>
    </xdr:grpSp>
    <xdr:clientData/>
  </xdr:twoCellAnchor>
  <xdr:twoCellAnchor editAs="twoCell">
    <xdr:from>
      <xdr:col>2</xdr:col>
      <xdr:colOff>704850</xdr:colOff>
      <xdr:row>14</xdr:row>
      <xdr:rowOff>123824</xdr:rowOff>
    </xdr:from>
    <xdr:to>
      <xdr:col>5</xdr:col>
      <xdr:colOff>638175</xdr:colOff>
      <xdr:row>19</xdr:row>
      <xdr:rowOff>66675</xdr:rowOff>
    </xdr:to>
    <xdr:sp macro="" textlink="">
      <xdr:nvSpPr>
        <xdr:cNvPr id="5" name="Shape 4" descr="" hidden="0" title="">
          <a:extLst>
            <a:ext uri="{FF2B5EF4-FFF2-40B4-BE49-F238E27FC236}">
              <a16:creationId xmlns:a16="http://schemas.microsoft.com/office/drawing/2014/main" id="{21CA0AB4-C266-4E49-89E1-10232A1BE9B5}"/>
            </a:ext>
          </a:extLst>
        </xdr:cNvPr>
        <xdr:cNvSpPr/>
      </xdr:nvSpPr>
      <xdr:spPr>
        <a:xfrm>
          <a:off x="0" y="0"/>
          <a:ext cx="0" cy="0"/>
        </a:xfrm>
        <a:prstGeom prst="wedgeEllipseCallout">
          <a:avLst>
            <a:gd name="adj1" fmla="val 68491"/>
            <a:gd name="adj2" fmla="val -33035"/>
          </a:avLst>
        </a:prstGeom>
        <a:solidFill>
          <a:srgbClr val="1CADE4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>
              <a:latin typeface="Bookman Old Style"/>
              <a:ea typeface="Bookman Old Style"/>
            </a:rPr>
            <a:t>Company details appear on the Invoice Template.</a:t>
          </a:r>
        </a:p>
      </xdr:txBody>
    </xdr:sp>
    <xdr:clientData/>
  </xdr:twoCellAnchor>
  <xdr:twoCellAnchor editAs="twoCell">
    <xdr:from>
      <xdr:col>6</xdr:col>
      <xdr:colOff>0</xdr:colOff>
      <xdr:row>6</xdr:row>
      <xdr:rowOff>0</xdr:rowOff>
    </xdr:from>
    <xdr:to>
      <xdr:col>6</xdr:col>
      <xdr:colOff>2890441</xdr:colOff>
      <xdr:row>6</xdr:row>
      <xdr:rowOff>2216541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EE6FA01E-A5AB-46DF-85A1-B65A20507AF7}"/>
            </a:ext>
          </a:extLst>
        </xdr:cNvPr>
        <xdr:cNvGrpSpPr/>
        <xdr:nvPr/>
      </xdr:nvGrpSpPr>
      <xdr:grpSpPr>
        <a:xfrm>
          <a:off x="3282043" y="1621971"/>
          <a:ext cx="2890441" cy="2216541"/>
          <a:chOff x="3282043" y="1621971"/>
          <a:chExt cx="2890441" cy="2216541"/>
        </a:xfrm>
      </xdr:grpSpPr>
      <xdr:sp macro="" textlink="">
        <xdr:nvSpPr>
          <xdr:cNvPr id="3" name="Shape 2">
            <a:extLst>
              <a:ext uri="{FF2B5EF4-FFF2-40B4-BE49-F238E27FC236}">
                <a16:creationId xmlns:a16="http://schemas.microsoft.com/office/drawing/2014/main" id="{8173179D-9286-4F99-90FB-C9A33D535B22}"/>
              </a:ext>
            </a:extLst>
          </xdr:cNvPr>
          <xdr:cNvSpPr/>
        </xdr:nvSpPr>
        <xdr:spPr>
          <a:xfrm>
            <a:off x="3282043" y="1621971"/>
            <a:ext cx="2890441" cy="2216541"/>
          </a:xfrm>
          <a:prstGeom prst="rect">
            <a:avLst/>
          </a:prstGeom>
          <a:solidFill>
            <a:srgbClr val="1CADE4"/>
          </a:solidFill>
          <a:ln>
            <a:solidFill>
              <a:srgbClr val="1582AB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" name="Shape 3">
            <a:extLst>
              <a:ext uri="{FF2B5EF4-FFF2-40B4-BE49-F238E27FC236}">
                <a16:creationId xmlns:a16="http://schemas.microsoft.com/office/drawing/2014/main" id="{EE23DE60-8631-4B5C-82A0-D22190BFF23A}"/>
              </a:ext>
            </a:extLst>
          </xdr:cNvPr>
          <xdr:cNvSpPr/>
        </xdr:nvSpPr>
        <xdr:spPr>
          <a:xfrm>
            <a:off x="3305735" y="1650686"/>
            <a:ext cx="284305" cy="344596"/>
          </a:xfrm>
          <a:prstGeom prst="rect">
            <a:avLst/>
          </a:prstGeom>
          <a:solidFill>
            <a:srgbClr val="FFFFFF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" name="Shape 4">
            <a:extLst>
              <a:ext uri="{FF2B5EF4-FFF2-40B4-BE49-F238E27FC236}">
                <a16:creationId xmlns:a16="http://schemas.microsoft.com/office/drawing/2014/main" id="{FE86B825-8CA6-449F-BC61-B7E5B5378A78}"/>
              </a:ext>
            </a:extLst>
          </xdr:cNvPr>
          <xdr:cNvSpPr/>
        </xdr:nvSpPr>
        <xdr:spPr>
          <a:xfrm>
            <a:off x="3305735" y="2022194"/>
            <a:ext cx="284305" cy="344596"/>
          </a:xfrm>
          <a:prstGeom prst="rect">
            <a:avLst/>
          </a:prstGeom>
          <a:solidFill>
            <a:srgbClr val="F2F2F2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" name="Shape 5">
            <a:extLst>
              <a:ext uri="{FF2B5EF4-FFF2-40B4-BE49-F238E27FC236}">
                <a16:creationId xmlns:a16="http://schemas.microsoft.com/office/drawing/2014/main" id="{C2137F4F-7D3C-434B-964D-F6F4BA420E56}"/>
              </a:ext>
            </a:extLst>
          </xdr:cNvPr>
          <xdr:cNvSpPr/>
        </xdr:nvSpPr>
        <xdr:spPr>
          <a:xfrm>
            <a:off x="3305735" y="2388324"/>
            <a:ext cx="284305" cy="344596"/>
          </a:xfrm>
          <a:prstGeom prst="rect">
            <a:avLst/>
          </a:prstGeom>
          <a:solidFill>
            <a:srgbClr val="D9D9D9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" name="Shape 6">
            <a:extLst>
              <a:ext uri="{FF2B5EF4-FFF2-40B4-BE49-F238E27FC236}">
                <a16:creationId xmlns:a16="http://schemas.microsoft.com/office/drawing/2014/main" id="{5E291D85-33A4-4AA6-A8C9-0A2A767108E1}"/>
              </a:ext>
            </a:extLst>
          </xdr:cNvPr>
          <xdr:cNvSpPr/>
        </xdr:nvSpPr>
        <xdr:spPr>
          <a:xfrm>
            <a:off x="3305735" y="2749070"/>
            <a:ext cx="284305" cy="344596"/>
          </a:xfrm>
          <a:prstGeom prst="rect">
            <a:avLst/>
          </a:prstGeom>
          <a:solidFill>
            <a:srgbClr val="BFBFBF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8" name="Shape 7">
            <a:extLst>
              <a:ext uri="{FF2B5EF4-FFF2-40B4-BE49-F238E27FC236}">
                <a16:creationId xmlns:a16="http://schemas.microsoft.com/office/drawing/2014/main" id="{7FC66DB2-97B1-4092-A0F4-BDAFAE90528E}"/>
              </a:ext>
            </a:extLst>
          </xdr:cNvPr>
          <xdr:cNvSpPr/>
        </xdr:nvSpPr>
        <xdr:spPr>
          <a:xfrm>
            <a:off x="3305735" y="3104434"/>
            <a:ext cx="284305" cy="344596"/>
          </a:xfrm>
          <a:prstGeom prst="rect">
            <a:avLst/>
          </a:prstGeom>
          <a:solidFill>
            <a:srgbClr val="A6A6A6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9" name="Shape 8">
            <a:extLst>
              <a:ext uri="{FF2B5EF4-FFF2-40B4-BE49-F238E27FC236}">
                <a16:creationId xmlns:a16="http://schemas.microsoft.com/office/drawing/2014/main" id="{0A7D64CC-1893-48FE-80CE-418F67074A83}"/>
              </a:ext>
            </a:extLst>
          </xdr:cNvPr>
          <xdr:cNvSpPr/>
        </xdr:nvSpPr>
        <xdr:spPr>
          <a:xfrm>
            <a:off x="3305735" y="3459801"/>
            <a:ext cx="284305" cy="344596"/>
          </a:xfrm>
          <a:prstGeom prst="rect">
            <a:avLst/>
          </a:prstGeom>
          <a:solidFill>
            <a:srgbClr val="808080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0" name="Shape 9">
            <a:extLst>
              <a:ext uri="{FF2B5EF4-FFF2-40B4-BE49-F238E27FC236}">
                <a16:creationId xmlns:a16="http://schemas.microsoft.com/office/drawing/2014/main" id="{3B27774E-BB27-4F52-AD54-B45E887DCF4C}"/>
              </a:ext>
            </a:extLst>
          </xdr:cNvPr>
          <xdr:cNvSpPr/>
        </xdr:nvSpPr>
        <xdr:spPr>
          <a:xfrm>
            <a:off x="3590040" y="1650686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7B42B3DE-C379-4293-A993-5EE533EBE004}"/>
              </a:ext>
            </a:extLst>
          </xdr:cNvPr>
          <xdr:cNvSpPr/>
        </xdr:nvSpPr>
        <xdr:spPr>
          <a:xfrm>
            <a:off x="3590040" y="2022194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86C1E651-ABAD-477E-98B9-6DD5BB351920}"/>
              </a:ext>
            </a:extLst>
          </xdr:cNvPr>
          <xdr:cNvSpPr/>
        </xdr:nvSpPr>
        <xdr:spPr>
          <a:xfrm>
            <a:off x="3590040" y="2388324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1668460E-B43B-4DB3-B6DB-CA3F584CB3C0}"/>
              </a:ext>
            </a:extLst>
          </xdr:cNvPr>
          <xdr:cNvSpPr/>
        </xdr:nvSpPr>
        <xdr:spPr>
          <a:xfrm>
            <a:off x="3590040" y="2749070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C8C436B3-D886-4F5F-B04B-C0802844C6C9}"/>
              </a:ext>
            </a:extLst>
          </xdr:cNvPr>
          <xdr:cNvSpPr/>
        </xdr:nvSpPr>
        <xdr:spPr>
          <a:xfrm>
            <a:off x="3590040" y="3104434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A8AEBA3A-27BC-41D8-88AA-842C758F2A64}"/>
              </a:ext>
            </a:extLst>
          </xdr:cNvPr>
          <xdr:cNvSpPr/>
        </xdr:nvSpPr>
        <xdr:spPr>
          <a:xfrm>
            <a:off x="3590040" y="3459801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79A39DD4-565E-4B92-A4D9-687892BDDD14}"/>
              </a:ext>
            </a:extLst>
          </xdr:cNvPr>
          <xdr:cNvSpPr/>
        </xdr:nvSpPr>
        <xdr:spPr>
          <a:xfrm>
            <a:off x="3874346" y="1650686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3553B964-0247-4C1E-958C-15F0C440AE8E}"/>
              </a:ext>
            </a:extLst>
          </xdr:cNvPr>
          <xdr:cNvSpPr/>
        </xdr:nvSpPr>
        <xdr:spPr>
          <a:xfrm>
            <a:off x="3874346" y="2022194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8" name="Shape 17">
            <a:extLst>
              <a:ext uri="{FF2B5EF4-FFF2-40B4-BE49-F238E27FC236}">
                <a16:creationId xmlns:a16="http://schemas.microsoft.com/office/drawing/2014/main" id="{40103314-42BD-46BD-8A7D-B0EDA0624853}"/>
              </a:ext>
            </a:extLst>
          </xdr:cNvPr>
          <xdr:cNvSpPr/>
        </xdr:nvSpPr>
        <xdr:spPr>
          <a:xfrm>
            <a:off x="3874346" y="2388324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9" name="Shape 18">
            <a:extLst>
              <a:ext uri="{FF2B5EF4-FFF2-40B4-BE49-F238E27FC236}">
                <a16:creationId xmlns:a16="http://schemas.microsoft.com/office/drawing/2014/main" id="{E8DFC717-B9D1-47B5-9D41-F46C7FA6AB3B}"/>
              </a:ext>
            </a:extLst>
          </xdr:cNvPr>
          <xdr:cNvSpPr/>
        </xdr:nvSpPr>
        <xdr:spPr>
          <a:xfrm>
            <a:off x="3874346" y="2749070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0" name="Shape 19">
            <a:extLst>
              <a:ext uri="{FF2B5EF4-FFF2-40B4-BE49-F238E27FC236}">
                <a16:creationId xmlns:a16="http://schemas.microsoft.com/office/drawing/2014/main" id="{D70DF172-1849-44BF-9511-75345790AFBB}"/>
              </a:ext>
            </a:extLst>
          </xdr:cNvPr>
          <xdr:cNvSpPr/>
        </xdr:nvSpPr>
        <xdr:spPr>
          <a:xfrm>
            <a:off x="3874346" y="3104434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1" name="Shape 20">
            <a:extLst>
              <a:ext uri="{FF2B5EF4-FFF2-40B4-BE49-F238E27FC236}">
                <a16:creationId xmlns:a16="http://schemas.microsoft.com/office/drawing/2014/main" id="{D179DAC5-0417-44BF-9CF9-BCB215EB666A}"/>
              </a:ext>
            </a:extLst>
          </xdr:cNvPr>
          <xdr:cNvSpPr/>
        </xdr:nvSpPr>
        <xdr:spPr>
          <a:xfrm>
            <a:off x="3874346" y="3459801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2" name="Shape 21">
            <a:extLst>
              <a:ext uri="{FF2B5EF4-FFF2-40B4-BE49-F238E27FC236}">
                <a16:creationId xmlns:a16="http://schemas.microsoft.com/office/drawing/2014/main" id="{7818D931-0211-40E9-815E-747B74D23333}"/>
              </a:ext>
            </a:extLst>
          </xdr:cNvPr>
          <xdr:cNvSpPr/>
        </xdr:nvSpPr>
        <xdr:spPr>
          <a:xfrm>
            <a:off x="4158652" y="1650686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3" name="Shape 22">
            <a:extLst>
              <a:ext uri="{FF2B5EF4-FFF2-40B4-BE49-F238E27FC236}">
                <a16:creationId xmlns:a16="http://schemas.microsoft.com/office/drawing/2014/main" id="{29E9B0DA-0B51-48A9-B721-B1FE4C17A68C}"/>
              </a:ext>
            </a:extLst>
          </xdr:cNvPr>
          <xdr:cNvSpPr/>
        </xdr:nvSpPr>
        <xdr:spPr>
          <a:xfrm>
            <a:off x="4158652" y="2022194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4" name="Shape 23">
            <a:extLst>
              <a:ext uri="{FF2B5EF4-FFF2-40B4-BE49-F238E27FC236}">
                <a16:creationId xmlns:a16="http://schemas.microsoft.com/office/drawing/2014/main" id="{74014C7C-D96A-4C87-A2AF-B3ABADAE0731}"/>
              </a:ext>
            </a:extLst>
          </xdr:cNvPr>
          <xdr:cNvSpPr/>
        </xdr:nvSpPr>
        <xdr:spPr>
          <a:xfrm>
            <a:off x="4158652" y="2388324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5" name="Shape 24">
            <a:extLst>
              <a:ext uri="{FF2B5EF4-FFF2-40B4-BE49-F238E27FC236}">
                <a16:creationId xmlns:a16="http://schemas.microsoft.com/office/drawing/2014/main" id="{B2796BEA-DB54-4C12-B6A2-D901295A80E8}"/>
              </a:ext>
            </a:extLst>
          </xdr:cNvPr>
          <xdr:cNvSpPr/>
        </xdr:nvSpPr>
        <xdr:spPr>
          <a:xfrm>
            <a:off x="4158652" y="2749070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6" name="Shape 25">
            <a:extLst>
              <a:ext uri="{FF2B5EF4-FFF2-40B4-BE49-F238E27FC236}">
                <a16:creationId xmlns:a16="http://schemas.microsoft.com/office/drawing/2014/main" id="{98EBAEE7-BFA0-4466-B173-7193ED1BF344}"/>
              </a:ext>
            </a:extLst>
          </xdr:cNvPr>
          <xdr:cNvSpPr/>
        </xdr:nvSpPr>
        <xdr:spPr>
          <a:xfrm>
            <a:off x="4158652" y="3104434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7" name="Shape 26">
            <a:extLst>
              <a:ext uri="{FF2B5EF4-FFF2-40B4-BE49-F238E27FC236}">
                <a16:creationId xmlns:a16="http://schemas.microsoft.com/office/drawing/2014/main" id="{88C3AFB4-91DC-4618-A065-B6E65DA643FD}"/>
              </a:ext>
            </a:extLst>
          </xdr:cNvPr>
          <xdr:cNvSpPr/>
        </xdr:nvSpPr>
        <xdr:spPr>
          <a:xfrm>
            <a:off x="4158652" y="3459801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8" name="Shape 27">
            <a:extLst>
              <a:ext uri="{FF2B5EF4-FFF2-40B4-BE49-F238E27FC236}">
                <a16:creationId xmlns:a16="http://schemas.microsoft.com/office/drawing/2014/main" id="{76B2CD53-95C0-440C-9E7C-53CC4E46838C}"/>
              </a:ext>
            </a:extLst>
          </xdr:cNvPr>
          <xdr:cNvSpPr/>
        </xdr:nvSpPr>
        <xdr:spPr>
          <a:xfrm>
            <a:off x="4442957" y="1650686"/>
            <a:ext cx="284305" cy="344596"/>
          </a:xfrm>
          <a:prstGeom prst="rect">
            <a:avLst/>
          </a:prstGeom>
          <a:solidFill>
            <a:srgbClr val="1CADE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9" name="Shape 28">
            <a:extLst>
              <a:ext uri="{FF2B5EF4-FFF2-40B4-BE49-F238E27FC236}">
                <a16:creationId xmlns:a16="http://schemas.microsoft.com/office/drawing/2014/main" id="{EA464F66-2A2E-4915-B89B-449DB474A9F9}"/>
              </a:ext>
            </a:extLst>
          </xdr:cNvPr>
          <xdr:cNvSpPr/>
        </xdr:nvSpPr>
        <xdr:spPr>
          <a:xfrm>
            <a:off x="4442957" y="2022194"/>
            <a:ext cx="284305" cy="344596"/>
          </a:xfrm>
          <a:prstGeom prst="rect">
            <a:avLst/>
          </a:prstGeom>
          <a:solidFill>
            <a:srgbClr val="D2EFFA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0" name="Shape 29">
            <a:extLst>
              <a:ext uri="{FF2B5EF4-FFF2-40B4-BE49-F238E27FC236}">
                <a16:creationId xmlns:a16="http://schemas.microsoft.com/office/drawing/2014/main" id="{4874A8B2-F21D-4ACB-B898-EBC840004813}"/>
              </a:ext>
            </a:extLst>
          </xdr:cNvPr>
          <xdr:cNvSpPr/>
        </xdr:nvSpPr>
        <xdr:spPr>
          <a:xfrm>
            <a:off x="4442957" y="2388324"/>
            <a:ext cx="284305" cy="344596"/>
          </a:xfrm>
          <a:prstGeom prst="rect">
            <a:avLst/>
          </a:prstGeom>
          <a:solidFill>
            <a:srgbClr val="A4DEF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1" name="Shape 30">
            <a:extLst>
              <a:ext uri="{FF2B5EF4-FFF2-40B4-BE49-F238E27FC236}">
                <a16:creationId xmlns:a16="http://schemas.microsoft.com/office/drawing/2014/main" id="{FE76B318-0CFE-470B-9D1A-1CD4B90CCC26}"/>
              </a:ext>
            </a:extLst>
          </xdr:cNvPr>
          <xdr:cNvSpPr/>
        </xdr:nvSpPr>
        <xdr:spPr>
          <a:xfrm>
            <a:off x="4442957" y="2749070"/>
            <a:ext cx="284305" cy="344596"/>
          </a:xfrm>
          <a:prstGeom prst="rect">
            <a:avLst/>
          </a:prstGeom>
          <a:solidFill>
            <a:srgbClr val="77CEEF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2" name="Shape 31">
            <a:extLst>
              <a:ext uri="{FF2B5EF4-FFF2-40B4-BE49-F238E27FC236}">
                <a16:creationId xmlns:a16="http://schemas.microsoft.com/office/drawing/2014/main" id="{E04C6710-5F00-43D1-A1C9-686E913881C0}"/>
              </a:ext>
            </a:extLst>
          </xdr:cNvPr>
          <xdr:cNvSpPr/>
        </xdr:nvSpPr>
        <xdr:spPr>
          <a:xfrm>
            <a:off x="4442957" y="3104434"/>
            <a:ext cx="284305" cy="344596"/>
          </a:xfrm>
          <a:prstGeom prst="rect">
            <a:avLst/>
          </a:prstGeom>
          <a:solidFill>
            <a:srgbClr val="1582AB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3" name="Shape 32">
            <a:extLst>
              <a:ext uri="{FF2B5EF4-FFF2-40B4-BE49-F238E27FC236}">
                <a16:creationId xmlns:a16="http://schemas.microsoft.com/office/drawing/2014/main" id="{670DB9BE-B29E-45BE-B420-6C95A8463743}"/>
              </a:ext>
            </a:extLst>
          </xdr:cNvPr>
          <xdr:cNvSpPr/>
        </xdr:nvSpPr>
        <xdr:spPr>
          <a:xfrm>
            <a:off x="4442957" y="3459801"/>
            <a:ext cx="284305" cy="344596"/>
          </a:xfrm>
          <a:prstGeom prst="rect">
            <a:avLst/>
          </a:prstGeom>
          <a:solidFill>
            <a:srgbClr val="0E5772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4" name="Shape 33">
            <a:extLst>
              <a:ext uri="{FF2B5EF4-FFF2-40B4-BE49-F238E27FC236}">
                <a16:creationId xmlns:a16="http://schemas.microsoft.com/office/drawing/2014/main" id="{9EAFEB50-54AC-40FB-ABA0-3204F5743F6B}"/>
              </a:ext>
            </a:extLst>
          </xdr:cNvPr>
          <xdr:cNvSpPr/>
        </xdr:nvSpPr>
        <xdr:spPr>
          <a:xfrm>
            <a:off x="4727263" y="1650686"/>
            <a:ext cx="284305" cy="344596"/>
          </a:xfrm>
          <a:prstGeom prst="rect">
            <a:avLst/>
          </a:prstGeom>
          <a:solidFill>
            <a:srgbClr val="FF0000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5" name="Shape 34">
            <a:extLst>
              <a:ext uri="{FF2B5EF4-FFF2-40B4-BE49-F238E27FC236}">
                <a16:creationId xmlns:a16="http://schemas.microsoft.com/office/drawing/2014/main" id="{7FF7EB79-2F5D-46B8-8DA7-34500C5B5822}"/>
              </a:ext>
            </a:extLst>
          </xdr:cNvPr>
          <xdr:cNvSpPr/>
        </xdr:nvSpPr>
        <xdr:spPr>
          <a:xfrm>
            <a:off x="4727263" y="2022194"/>
            <a:ext cx="284305" cy="344596"/>
          </a:xfrm>
          <a:prstGeom prst="rect">
            <a:avLst/>
          </a:prstGeom>
          <a:solidFill>
            <a:srgbClr val="D4E6F4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6" name="Shape 35">
            <a:extLst>
              <a:ext uri="{FF2B5EF4-FFF2-40B4-BE49-F238E27FC236}">
                <a16:creationId xmlns:a16="http://schemas.microsoft.com/office/drawing/2014/main" id="{DCC1C753-A223-4ECC-A63A-DDCEC0615345}"/>
              </a:ext>
            </a:extLst>
          </xdr:cNvPr>
          <xdr:cNvSpPr/>
        </xdr:nvSpPr>
        <xdr:spPr>
          <a:xfrm>
            <a:off x="4727263" y="2388324"/>
            <a:ext cx="284305" cy="344596"/>
          </a:xfrm>
          <a:prstGeom prst="rect">
            <a:avLst/>
          </a:prstGeom>
          <a:solidFill>
            <a:srgbClr val="A8CDE8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7" name="Shape 36">
            <a:extLst>
              <a:ext uri="{FF2B5EF4-FFF2-40B4-BE49-F238E27FC236}">
                <a16:creationId xmlns:a16="http://schemas.microsoft.com/office/drawing/2014/main" id="{2BAF064F-EBBA-46DF-88B8-D3883292A49B}"/>
              </a:ext>
            </a:extLst>
          </xdr:cNvPr>
          <xdr:cNvSpPr/>
        </xdr:nvSpPr>
        <xdr:spPr>
          <a:xfrm>
            <a:off x="4727263" y="2749070"/>
            <a:ext cx="284305" cy="344596"/>
          </a:xfrm>
          <a:prstGeom prst="rect">
            <a:avLst/>
          </a:prstGeom>
          <a:solidFill>
            <a:srgbClr val="7DB5DD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8" name="Shape 37">
            <a:extLst>
              <a:ext uri="{FF2B5EF4-FFF2-40B4-BE49-F238E27FC236}">
                <a16:creationId xmlns:a16="http://schemas.microsoft.com/office/drawing/2014/main" id="{0EC1E5E4-C27F-4B7C-9376-902BDED462DD}"/>
              </a:ext>
            </a:extLst>
          </xdr:cNvPr>
          <xdr:cNvSpPr/>
        </xdr:nvSpPr>
        <xdr:spPr>
          <a:xfrm>
            <a:off x="4727263" y="3104434"/>
            <a:ext cx="284305" cy="344596"/>
          </a:xfrm>
          <a:prstGeom prst="rect">
            <a:avLst/>
          </a:prstGeom>
          <a:solidFill>
            <a:srgbClr val="1D6295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9" name="Shape 38">
            <a:extLst>
              <a:ext uri="{FF2B5EF4-FFF2-40B4-BE49-F238E27FC236}">
                <a16:creationId xmlns:a16="http://schemas.microsoft.com/office/drawing/2014/main" id="{D756053C-11D1-4502-8D17-CC4097A33F27}"/>
              </a:ext>
            </a:extLst>
          </xdr:cNvPr>
          <xdr:cNvSpPr/>
        </xdr:nvSpPr>
        <xdr:spPr>
          <a:xfrm>
            <a:off x="4727263" y="3459801"/>
            <a:ext cx="284305" cy="344596"/>
          </a:xfrm>
          <a:prstGeom prst="rect">
            <a:avLst/>
          </a:prstGeom>
          <a:solidFill>
            <a:srgbClr val="0E5772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0" name="Shape 39">
            <a:extLst>
              <a:ext uri="{FF2B5EF4-FFF2-40B4-BE49-F238E27FC236}">
                <a16:creationId xmlns:a16="http://schemas.microsoft.com/office/drawing/2014/main" id="{76BA15CC-605C-4DAA-B59B-24B306EF3B54}"/>
              </a:ext>
            </a:extLst>
          </xdr:cNvPr>
          <xdr:cNvSpPr/>
        </xdr:nvSpPr>
        <xdr:spPr>
          <a:xfrm>
            <a:off x="5011569" y="1650686"/>
            <a:ext cx="284305" cy="344596"/>
          </a:xfrm>
          <a:prstGeom prst="rect">
            <a:avLst/>
          </a:prstGeom>
          <a:solidFill>
            <a:srgbClr val="00B050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1" name="Shape 40">
            <a:extLst>
              <a:ext uri="{FF2B5EF4-FFF2-40B4-BE49-F238E27FC236}">
                <a16:creationId xmlns:a16="http://schemas.microsoft.com/office/drawing/2014/main" id="{74B10820-4D04-48C3-AECA-2C9C08144483}"/>
              </a:ext>
            </a:extLst>
          </xdr:cNvPr>
          <xdr:cNvSpPr/>
        </xdr:nvSpPr>
        <xdr:spPr>
          <a:xfrm>
            <a:off x="5011569" y="2022194"/>
            <a:ext cx="284305" cy="344596"/>
          </a:xfrm>
          <a:prstGeom prst="rect">
            <a:avLst/>
          </a:prstGeom>
          <a:solidFill>
            <a:srgbClr val="D4F5F7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2" name="Shape 41">
            <a:extLst>
              <a:ext uri="{FF2B5EF4-FFF2-40B4-BE49-F238E27FC236}">
                <a16:creationId xmlns:a16="http://schemas.microsoft.com/office/drawing/2014/main" id="{CEDFA0B1-80F3-4C27-B56B-42F2324C6823}"/>
              </a:ext>
            </a:extLst>
          </xdr:cNvPr>
          <xdr:cNvSpPr/>
        </xdr:nvSpPr>
        <xdr:spPr>
          <a:xfrm>
            <a:off x="5011569" y="2388324"/>
            <a:ext cx="284305" cy="344596"/>
          </a:xfrm>
          <a:prstGeom prst="rect">
            <a:avLst/>
          </a:prstGeom>
          <a:solidFill>
            <a:srgbClr val="A9EBEF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3" name="Shape 42">
            <a:extLst>
              <a:ext uri="{FF2B5EF4-FFF2-40B4-BE49-F238E27FC236}">
                <a16:creationId xmlns:a16="http://schemas.microsoft.com/office/drawing/2014/main" id="{21DED16F-E3B3-4269-B9A6-456C906B6CD0}"/>
              </a:ext>
            </a:extLst>
          </xdr:cNvPr>
          <xdr:cNvSpPr/>
        </xdr:nvSpPr>
        <xdr:spPr>
          <a:xfrm>
            <a:off x="5011569" y="2749070"/>
            <a:ext cx="284305" cy="344596"/>
          </a:xfrm>
          <a:prstGeom prst="rect">
            <a:avLst/>
          </a:prstGeom>
          <a:solidFill>
            <a:srgbClr val="7DE2E7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4" name="Shape 43">
            <a:extLst>
              <a:ext uri="{FF2B5EF4-FFF2-40B4-BE49-F238E27FC236}">
                <a16:creationId xmlns:a16="http://schemas.microsoft.com/office/drawing/2014/main" id="{83234EE0-69D4-4FD6-ACF6-60D9BC187D32}"/>
              </a:ext>
            </a:extLst>
          </xdr:cNvPr>
          <xdr:cNvSpPr/>
        </xdr:nvSpPr>
        <xdr:spPr>
          <a:xfrm>
            <a:off x="5011569" y="3104434"/>
            <a:ext cx="284305" cy="344596"/>
          </a:xfrm>
          <a:prstGeom prst="rect">
            <a:avLst/>
          </a:prstGeom>
          <a:solidFill>
            <a:srgbClr val="1D9BA1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5" name="Shape 44">
            <a:extLst>
              <a:ext uri="{FF2B5EF4-FFF2-40B4-BE49-F238E27FC236}">
                <a16:creationId xmlns:a16="http://schemas.microsoft.com/office/drawing/2014/main" id="{4EB906C6-4C9A-42C8-8A79-E3BCABD624E1}"/>
              </a:ext>
            </a:extLst>
          </xdr:cNvPr>
          <xdr:cNvSpPr/>
        </xdr:nvSpPr>
        <xdr:spPr>
          <a:xfrm>
            <a:off x="5011569" y="3459801"/>
            <a:ext cx="284305" cy="344596"/>
          </a:xfrm>
          <a:prstGeom prst="rect">
            <a:avLst/>
          </a:prstGeom>
          <a:solidFill>
            <a:srgbClr val="134263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6" name="Shape 45">
            <a:extLst>
              <a:ext uri="{FF2B5EF4-FFF2-40B4-BE49-F238E27FC236}">
                <a16:creationId xmlns:a16="http://schemas.microsoft.com/office/drawing/2014/main" id="{1160E594-46C0-4419-88D6-6A6166C8D61D}"/>
              </a:ext>
            </a:extLst>
          </xdr:cNvPr>
          <xdr:cNvSpPr/>
        </xdr:nvSpPr>
        <xdr:spPr>
          <a:xfrm>
            <a:off x="5295874" y="1650686"/>
            <a:ext cx="284305" cy="344596"/>
          </a:xfrm>
          <a:prstGeom prst="rect">
            <a:avLst/>
          </a:prstGeom>
          <a:solidFill>
            <a:srgbClr val="42BA97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7" name="Shape 46">
            <a:extLst>
              <a:ext uri="{FF2B5EF4-FFF2-40B4-BE49-F238E27FC236}">
                <a16:creationId xmlns:a16="http://schemas.microsoft.com/office/drawing/2014/main" id="{A6E77576-AB99-441E-9276-874D3240EF95}"/>
              </a:ext>
            </a:extLst>
          </xdr:cNvPr>
          <xdr:cNvSpPr/>
        </xdr:nvSpPr>
        <xdr:spPr>
          <a:xfrm>
            <a:off x="5295874" y="2022194"/>
            <a:ext cx="284305" cy="344596"/>
          </a:xfrm>
          <a:prstGeom prst="rect">
            <a:avLst/>
          </a:prstGeom>
          <a:solidFill>
            <a:srgbClr val="D9F1EA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8" name="Shape 47">
            <a:extLst>
              <a:ext uri="{FF2B5EF4-FFF2-40B4-BE49-F238E27FC236}">
                <a16:creationId xmlns:a16="http://schemas.microsoft.com/office/drawing/2014/main" id="{28BE9452-1273-4029-A77E-2A0D75239BAE}"/>
              </a:ext>
            </a:extLst>
          </xdr:cNvPr>
          <xdr:cNvSpPr/>
        </xdr:nvSpPr>
        <xdr:spPr>
          <a:xfrm>
            <a:off x="5295874" y="2388324"/>
            <a:ext cx="284305" cy="344596"/>
          </a:xfrm>
          <a:prstGeom prst="rect">
            <a:avLst/>
          </a:prstGeom>
          <a:solidFill>
            <a:srgbClr val="B3E3D5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9" name="Shape 48">
            <a:extLst>
              <a:ext uri="{FF2B5EF4-FFF2-40B4-BE49-F238E27FC236}">
                <a16:creationId xmlns:a16="http://schemas.microsoft.com/office/drawing/2014/main" id="{219D908E-6CBD-4AB8-8864-F0A0E469E1D0}"/>
              </a:ext>
            </a:extLst>
          </xdr:cNvPr>
          <xdr:cNvSpPr/>
        </xdr:nvSpPr>
        <xdr:spPr>
          <a:xfrm>
            <a:off x="5295874" y="2749070"/>
            <a:ext cx="284305" cy="344596"/>
          </a:xfrm>
          <a:prstGeom prst="rect">
            <a:avLst/>
          </a:prstGeom>
          <a:solidFill>
            <a:srgbClr val="8ED6C1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0" name="Shape 49">
            <a:extLst>
              <a:ext uri="{FF2B5EF4-FFF2-40B4-BE49-F238E27FC236}">
                <a16:creationId xmlns:a16="http://schemas.microsoft.com/office/drawing/2014/main" id="{ED411FF5-6D3D-44D9-B147-E6A3CAE5E8DE}"/>
              </a:ext>
            </a:extLst>
          </xdr:cNvPr>
          <xdr:cNvSpPr/>
        </xdr:nvSpPr>
        <xdr:spPr>
          <a:xfrm>
            <a:off x="5295874" y="3104434"/>
            <a:ext cx="284305" cy="344596"/>
          </a:xfrm>
          <a:prstGeom prst="rect">
            <a:avLst/>
          </a:prstGeom>
          <a:solidFill>
            <a:srgbClr val="328C71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1" name="Shape 50">
            <a:extLst>
              <a:ext uri="{FF2B5EF4-FFF2-40B4-BE49-F238E27FC236}">
                <a16:creationId xmlns:a16="http://schemas.microsoft.com/office/drawing/2014/main" id="{EBBCF424-223E-4455-980B-33733830B153}"/>
              </a:ext>
            </a:extLst>
          </xdr:cNvPr>
          <xdr:cNvSpPr/>
        </xdr:nvSpPr>
        <xdr:spPr>
          <a:xfrm>
            <a:off x="5295874" y="3459801"/>
            <a:ext cx="284305" cy="344596"/>
          </a:xfrm>
          <a:prstGeom prst="rect">
            <a:avLst/>
          </a:prstGeom>
          <a:solidFill>
            <a:srgbClr val="14676C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2" name="Shape 51">
            <a:extLst>
              <a:ext uri="{FF2B5EF4-FFF2-40B4-BE49-F238E27FC236}">
                <a16:creationId xmlns:a16="http://schemas.microsoft.com/office/drawing/2014/main" id="{979D2FE2-3733-4777-83D1-F83E8EE4E8A3}"/>
              </a:ext>
            </a:extLst>
          </xdr:cNvPr>
          <xdr:cNvSpPr/>
        </xdr:nvSpPr>
        <xdr:spPr>
          <a:xfrm>
            <a:off x="5580180" y="1650686"/>
            <a:ext cx="284305" cy="344596"/>
          </a:xfrm>
          <a:prstGeom prst="rect">
            <a:avLst/>
          </a:prstGeom>
          <a:solidFill>
            <a:srgbClr val="3E8853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3" name="Shape 52">
            <a:extLst>
              <a:ext uri="{FF2B5EF4-FFF2-40B4-BE49-F238E27FC236}">
                <a16:creationId xmlns:a16="http://schemas.microsoft.com/office/drawing/2014/main" id="{FE85FACC-CC5F-46C6-94B0-876478198348}"/>
              </a:ext>
            </a:extLst>
          </xdr:cNvPr>
          <xdr:cNvSpPr/>
        </xdr:nvSpPr>
        <xdr:spPr>
          <a:xfrm>
            <a:off x="5580180" y="2022194"/>
            <a:ext cx="284305" cy="344596"/>
          </a:xfrm>
          <a:prstGeom prst="rect">
            <a:avLst/>
          </a:prstGeom>
          <a:solidFill>
            <a:srgbClr val="D8E7DD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4" name="Shape 53">
            <a:extLst>
              <a:ext uri="{FF2B5EF4-FFF2-40B4-BE49-F238E27FC236}">
                <a16:creationId xmlns:a16="http://schemas.microsoft.com/office/drawing/2014/main" id="{007DCA6B-26BB-4026-92A8-ED9523CA4644}"/>
              </a:ext>
            </a:extLst>
          </xdr:cNvPr>
          <xdr:cNvSpPr/>
        </xdr:nvSpPr>
        <xdr:spPr>
          <a:xfrm>
            <a:off x="5580180" y="2388324"/>
            <a:ext cx="284305" cy="344596"/>
          </a:xfrm>
          <a:prstGeom prst="rect">
            <a:avLst/>
          </a:prstGeom>
          <a:solidFill>
            <a:srgbClr val="B2CFBA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5" name="Shape 54">
            <a:extLst>
              <a:ext uri="{FF2B5EF4-FFF2-40B4-BE49-F238E27FC236}">
                <a16:creationId xmlns:a16="http://schemas.microsoft.com/office/drawing/2014/main" id="{8F6A53CC-E3E0-4C1D-9A29-C1D131BB7D61}"/>
              </a:ext>
            </a:extLst>
          </xdr:cNvPr>
          <xdr:cNvSpPr/>
        </xdr:nvSpPr>
        <xdr:spPr>
          <a:xfrm>
            <a:off x="5580180" y="2749070"/>
            <a:ext cx="284305" cy="344596"/>
          </a:xfrm>
          <a:prstGeom prst="rect">
            <a:avLst/>
          </a:prstGeom>
          <a:solidFill>
            <a:srgbClr val="8BB898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6" name="Shape 55">
            <a:extLst>
              <a:ext uri="{FF2B5EF4-FFF2-40B4-BE49-F238E27FC236}">
                <a16:creationId xmlns:a16="http://schemas.microsoft.com/office/drawing/2014/main" id="{FC71C7D4-B007-41A7-9782-4978F3F6BFF8}"/>
              </a:ext>
            </a:extLst>
          </xdr:cNvPr>
          <xdr:cNvSpPr/>
        </xdr:nvSpPr>
        <xdr:spPr>
          <a:xfrm>
            <a:off x="5580180" y="3104434"/>
            <a:ext cx="284305" cy="344596"/>
          </a:xfrm>
          <a:prstGeom prst="rect">
            <a:avLst/>
          </a:prstGeom>
          <a:solidFill>
            <a:srgbClr val="2F663E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7" name="Shape 56">
            <a:extLst>
              <a:ext uri="{FF2B5EF4-FFF2-40B4-BE49-F238E27FC236}">
                <a16:creationId xmlns:a16="http://schemas.microsoft.com/office/drawing/2014/main" id="{77B4FFBE-6B2F-4B21-B891-FE041209431B}"/>
              </a:ext>
            </a:extLst>
          </xdr:cNvPr>
          <xdr:cNvSpPr/>
        </xdr:nvSpPr>
        <xdr:spPr>
          <a:xfrm>
            <a:off x="5580180" y="3459801"/>
            <a:ext cx="284305" cy="344596"/>
          </a:xfrm>
          <a:prstGeom prst="rect">
            <a:avLst/>
          </a:prstGeom>
          <a:solidFill>
            <a:srgbClr val="1F442A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8" name="Shape 57">
            <a:extLst>
              <a:ext uri="{FF2B5EF4-FFF2-40B4-BE49-F238E27FC236}">
                <a16:creationId xmlns:a16="http://schemas.microsoft.com/office/drawing/2014/main" id="{49551FD4-5430-4A8E-A91A-27A6EED67DA1}"/>
              </a:ext>
            </a:extLst>
          </xdr:cNvPr>
          <xdr:cNvSpPr/>
        </xdr:nvSpPr>
        <xdr:spPr>
          <a:xfrm>
            <a:off x="5864486" y="1650686"/>
            <a:ext cx="284305" cy="344596"/>
          </a:xfrm>
          <a:prstGeom prst="rect">
            <a:avLst/>
          </a:prstGeom>
          <a:solidFill>
            <a:srgbClr val="FFC000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9" name="Shape 58">
            <a:extLst>
              <a:ext uri="{FF2B5EF4-FFF2-40B4-BE49-F238E27FC236}">
                <a16:creationId xmlns:a16="http://schemas.microsoft.com/office/drawing/2014/main" id="{0B99D1E0-DC43-4B56-BB70-8B650E69C7DB}"/>
              </a:ext>
            </a:extLst>
          </xdr:cNvPr>
          <xdr:cNvSpPr/>
        </xdr:nvSpPr>
        <xdr:spPr>
          <a:xfrm>
            <a:off x="5864486" y="2022194"/>
            <a:ext cx="284305" cy="344596"/>
          </a:xfrm>
          <a:prstGeom prst="rect">
            <a:avLst/>
          </a:prstGeom>
          <a:solidFill>
            <a:srgbClr val="E0EDEC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0" name="Shape 59">
            <a:extLst>
              <a:ext uri="{FF2B5EF4-FFF2-40B4-BE49-F238E27FC236}">
                <a16:creationId xmlns:a16="http://schemas.microsoft.com/office/drawing/2014/main" id="{5737424B-7661-4CDC-9ADC-9CAC2D1551BD}"/>
              </a:ext>
            </a:extLst>
          </xdr:cNvPr>
          <xdr:cNvSpPr/>
        </xdr:nvSpPr>
        <xdr:spPr>
          <a:xfrm>
            <a:off x="5864486" y="2388324"/>
            <a:ext cx="284305" cy="344596"/>
          </a:xfrm>
          <a:prstGeom prst="rect">
            <a:avLst/>
          </a:prstGeom>
          <a:solidFill>
            <a:srgbClr val="C0DAD9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1" name="Shape 60">
            <a:extLst>
              <a:ext uri="{FF2B5EF4-FFF2-40B4-BE49-F238E27FC236}">
                <a16:creationId xmlns:a16="http://schemas.microsoft.com/office/drawing/2014/main" id="{D2E0DF5F-F357-48C6-A8CB-5521E471A6F7}"/>
              </a:ext>
            </a:extLst>
          </xdr:cNvPr>
          <xdr:cNvSpPr/>
        </xdr:nvSpPr>
        <xdr:spPr>
          <a:xfrm>
            <a:off x="5864486" y="2749070"/>
            <a:ext cx="284305" cy="344596"/>
          </a:xfrm>
          <a:prstGeom prst="rect">
            <a:avLst/>
          </a:prstGeom>
          <a:solidFill>
            <a:srgbClr val="A1C8C5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2" name="Shape 61">
            <a:extLst>
              <a:ext uri="{FF2B5EF4-FFF2-40B4-BE49-F238E27FC236}">
                <a16:creationId xmlns:a16="http://schemas.microsoft.com/office/drawing/2014/main" id="{A8F1ED1A-BDD3-4AAB-BB5C-9C07B3A085F9}"/>
              </a:ext>
            </a:extLst>
          </xdr:cNvPr>
          <xdr:cNvSpPr/>
        </xdr:nvSpPr>
        <xdr:spPr>
          <a:xfrm>
            <a:off x="5864486" y="3104434"/>
            <a:ext cx="284305" cy="344596"/>
          </a:xfrm>
          <a:prstGeom prst="rect">
            <a:avLst/>
          </a:prstGeom>
          <a:solidFill>
            <a:srgbClr val="4A7A77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63" name="Shape 62">
            <a:extLst>
              <a:ext uri="{FF2B5EF4-FFF2-40B4-BE49-F238E27FC236}">
                <a16:creationId xmlns:a16="http://schemas.microsoft.com/office/drawing/2014/main" id="{852D4C42-4B50-4699-A1EC-E332B488F72F}"/>
              </a:ext>
            </a:extLst>
          </xdr:cNvPr>
          <xdr:cNvSpPr/>
        </xdr:nvSpPr>
        <xdr:spPr>
          <a:xfrm>
            <a:off x="5864486" y="3459801"/>
            <a:ext cx="284305" cy="344596"/>
          </a:xfrm>
          <a:prstGeom prst="rect">
            <a:avLst/>
          </a:prstGeom>
          <a:solidFill>
            <a:srgbClr val="315250"/>
          </a:solidFill>
          <a:ln>
            <a:solidFill>
              <a:srgbClr val="FFFFFF"/>
            </a:solidFill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 editAs="twoCell">
    <xdr:from>
      <xdr:col>2</xdr:col>
      <xdr:colOff>9524</xdr:colOff>
      <xdr:row>0</xdr:row>
      <xdr:rowOff>38100</xdr:rowOff>
    </xdr:from>
    <xdr:to>
      <xdr:col>2</xdr:col>
      <xdr:colOff>17144999</xdr:colOff>
      <xdr:row>0</xdr:row>
      <xdr:rowOff>476250</xdr:rowOff>
    </xdr:to>
    <xdr:sp macro="" textlink="">
      <xdr:nvSpPr>
        <xdr:cNvPr id="68" name="Shape 67" descr="" hidden="0" title="">
          <a:extLst>
            <a:ext uri="{FF2B5EF4-FFF2-40B4-BE49-F238E27FC236}">
              <a16:creationId xmlns:a16="http://schemas.microsoft.com/office/drawing/2014/main" id="{F51AD25C-1A4E-492B-B66A-D36B2C614D5E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  <a:noFill/>
        <a:ln w="9525"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3000" b="1">
              <a:solidFill>
                <a:srgbClr val="134263"/>
              </a:solidFill>
              <a:latin typeface="Bookman Old Style"/>
              <a:ea typeface="Bookman Old Style"/>
            </a:rPr>
            <a:t>APPOINTMENT SCHEDULER</a:t>
          </a:r>
        </a:p>
      </xdr:txBody>
    </xdr:sp>
    <xdr:clientData/>
  </xdr:twoCellAnchor>
  <xdr:twoCellAnchor editAs="twoCell">
    <xdr:from>
      <xdr:col>1</xdr:col>
      <xdr:colOff>187325</xdr:colOff>
      <xdr:row>0</xdr:row>
      <xdr:rowOff>25400</xdr:rowOff>
    </xdr:from>
    <xdr:to>
      <xdr:col>1</xdr:col>
      <xdr:colOff>809625</xdr:colOff>
      <xdr:row>0</xdr:row>
      <xdr:rowOff>517450</xdr:rowOff>
    </xdr:to>
    <xdr:pic>
      <xdr:nvPicPr>
        <xdr:cNvPr id="5" name="6y26Mz">
          <a:extLst>
            <a:ext uri="{FF2B5EF4-FFF2-40B4-BE49-F238E27FC236}">
              <a16:creationId xmlns:a16="http://schemas.microsoft.com/office/drawing/2014/main" id="{77EA386A-B517-406F-B673-EAF9E775B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103535</xdr:colOff>
      <xdr:row>0</xdr:row>
      <xdr:rowOff>690</xdr:rowOff>
    </xdr:from>
    <xdr:to>
      <xdr:col>10</xdr:col>
      <xdr:colOff>176008</xdr:colOff>
      <xdr:row>0</xdr:row>
      <xdr:rowOff>428755</xdr:rowOff>
    </xdr:to>
    <xdr:sp macro="" textlink="">
      <xdr:nvSpPr>
        <xdr:cNvPr id="2" name="Shape 1" descr="" hidden="0" title="">
          <a:extLst>
            <a:ext uri="{FF2B5EF4-FFF2-40B4-BE49-F238E27FC236}">
              <a16:creationId xmlns:a16="http://schemas.microsoft.com/office/drawing/2014/main" id="{B4E09534-5B40-4D87-AE3F-C944ED1D3FEE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  <a:noFill/>
        <a:ln w="9525"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400" b="1">
              <a:solidFill>
                <a:srgbClr val="002060"/>
              </a:solidFill>
              <a:latin typeface="Bookman Old Style"/>
              <a:ea typeface="Bookman Old Style"/>
            </a:rPr>
            <a:t>APPOINTMENT SCHEDULER</a:t>
          </a:r>
        </a:p>
      </xdr:txBody>
    </xdr:sp>
    <xdr:clientData/>
  </xdr:twoCellAnchor>
  <xdr:twoCellAnchor editAs="oneCell">
    <xdr:from>
      <xdr:col>4</xdr:col>
      <xdr:colOff>1775947</xdr:colOff>
      <xdr:row>0</xdr:row>
      <xdr:rowOff>48699</xdr:rowOff>
    </xdr:from>
    <xdr:to>
      <xdr:col>5</xdr:col>
      <xdr:colOff>34385</xdr:colOff>
      <xdr:row>1</xdr:row>
      <xdr:rowOff>29699</xdr:rowOff>
    </xdr:to>
    <xdr:pic>
      <xdr:nvPicPr>
        <xdr:cNvPr id="2" name="C1FMtc">
          <a:extLst>
            <a:ext uri="{FF2B5EF4-FFF2-40B4-BE49-F238E27FC236}">
              <a16:creationId xmlns:a16="http://schemas.microsoft.com/office/drawing/2014/main" id="{3A6AAB11-2875-4F8F-A3CA-DB2AB1E2D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twoCell">
    <xdr:from>
      <xdr:col>3</xdr:col>
      <xdr:colOff>484945</xdr:colOff>
      <xdr:row>0</xdr:row>
      <xdr:rowOff>100910</xdr:rowOff>
    </xdr:from>
    <xdr:to>
      <xdr:col>4</xdr:col>
      <xdr:colOff>372715</xdr:colOff>
      <xdr:row>0</xdr:row>
      <xdr:rowOff>375230</xdr:rowOff>
    </xdr:to>
    <xdr:sp macro="" textlink="">
      <xdr:nvSpPr>
        <xdr:cNvPr id="4" name="Shape 3" descr="" hidden="0" title="">
          <a:extLst>
            <a:ext uri="{FF2B5EF4-FFF2-40B4-BE49-F238E27FC236}">
              <a16:creationId xmlns:a16="http://schemas.microsoft.com/office/drawing/2014/main" id="{69CCF953-3754-4136-A840-26FC06C6C556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  <a:noFill/>
        <a:ln w="9525"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400" b="1"/>
            <a:t>Select</a:t>
          </a:r>
          <a:r>
            <a:rPr lang="zh-CN" altLang="en-US" sz="1100" b="1"/>
            <a:t> </a:t>
          </a:r>
          <a:r>
            <a:rPr lang="zh-CN" altLang="en-US" sz="1400" b="1"/>
            <a:t>Year</a:t>
          </a:r>
        </a:p>
      </xdr:txBody>
    </xdr:sp>
    <xdr:clientData/>
  </xdr:twoCellAnchor>
  <xdr:twoCellAnchor editAs="oneCell">
    <xdr:from>
      <xdr:col>11</xdr:col>
      <xdr:colOff>51764</xdr:colOff>
      <xdr:row>0</xdr:row>
      <xdr:rowOff>42239</xdr:rowOff>
    </xdr:from>
    <xdr:to>
      <xdr:col>13</xdr:col>
      <xdr:colOff>869669</xdr:colOff>
      <xdr:row>0</xdr:row>
      <xdr:rowOff>410484</xdr:rowOff>
    </xdr:to>
    <xdr:sp macro="" textlink="">
      <xdr:nvSpPr>
        <xdr:cNvPr id="5" name="Shape 4" descr="" hidden="0" title="">
          <a:extLst>
            <a:ext uri="{FF2B5EF4-FFF2-40B4-BE49-F238E27FC236}">
              <a16:creationId xmlns:a16="http://schemas.microsoft.com/office/drawing/2014/main" id="{2F15CE9C-5BD9-46AC-8BEF-BBB7E0F1DD1E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  <a:noFill/>
        <a:ln w="9525"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twoCell">
    <xdr:from>
      <xdr:col>0</xdr:col>
      <xdr:colOff>0</xdr:colOff>
      <xdr:row>5</xdr:row>
      <xdr:rowOff>104774</xdr:rowOff>
    </xdr:from>
    <xdr:to>
      <xdr:col>0</xdr:col>
      <xdr:colOff>0</xdr:colOff>
      <xdr:row>6</xdr:row>
      <xdr:rowOff>85216</xdr:rowOff>
    </xdr:to>
    <xdr:sp macro="" textlink="">
      <xdr:nvSpPr>
        <xdr:cNvPr id="6" name="Shape 5" descr="" hidden="0" title="">
          <a:extLst>
            <a:ext uri="{FF2B5EF4-FFF2-40B4-BE49-F238E27FC236}">
              <a16:creationId xmlns:a16="http://schemas.microsoft.com/office/drawing/2014/main" id="{FE61C139-EA02-48A1-B8FB-4F93D77C922D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14676C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r"/>
          <a:r>
            <a:rPr lang="zh-CN" altLang="en-US" sz="1100"/>
            <a:t>New</a:t>
          </a:r>
          <a:r>
            <a:rPr lang="zh-CN" altLang="en-US" sz="1100"/>
            <a:t> Appt.</a:t>
          </a:r>
        </a:p>
      </xdr:txBody>
    </xdr:sp>
    <xdr:clientData/>
  </xdr:twoCellAnchor>
  <xdr:twoCellAnchor editAs="twoCell">
    <xdr:from>
      <xdr:col>2</xdr:col>
      <xdr:colOff>195263</xdr:colOff>
      <xdr:row>1</xdr:row>
      <xdr:rowOff>142254</xdr:rowOff>
    </xdr:from>
    <xdr:to>
      <xdr:col>4</xdr:col>
      <xdr:colOff>2629853</xdr:colOff>
      <xdr:row>1</xdr:row>
      <xdr:rowOff>325135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E54D4B2B-C704-4502-815D-4F256E72C3CA}"/>
            </a:ext>
          </a:extLst>
        </xdr:cNvPr>
        <xdr:cNvGrpSpPr/>
        <xdr:nvPr/>
      </xdr:nvGrpSpPr>
      <xdr:grpSpPr>
        <a:xfrm>
          <a:off x="168049" y="651044"/>
          <a:ext cx="2954501" cy="182879"/>
          <a:chOff x="168049" y="651044"/>
          <a:chExt cx="2954501" cy="182880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8B6CF1EF-D54E-4152-AEE2-89D902A45793}"/>
              </a:ext>
            </a:extLst>
          </xdr:cNvPr>
          <xdr:cNvGrpSpPr/>
          <xdr:nvPr/>
        </xdr:nvGrpSpPr>
        <xdr:grpSpPr>
          <a:xfrm>
            <a:off x="168049" y="651044"/>
            <a:ext cx="837872" cy="182879"/>
            <a:chOff x="168049" y="651044"/>
            <a:chExt cx="837872" cy="182880"/>
          </a:xfrm>
        </xdr:grpSpPr>
        <xdr:pic>
          <xdr:nvPicPr>
            <xdr:cNvPr id="3" name="Picture 3">
              <a:extLst>
                <a:ext uri="{FF2B5EF4-FFF2-40B4-BE49-F238E27FC236}">
                  <a16:creationId xmlns:a16="http://schemas.microsoft.com/office/drawing/2014/main" id="{231EDFC4-8AB5-4D23-9CAE-A6B1F379F72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88899" y="661845"/>
              <a:ext cx="148299" cy="161277"/>
            </a:xfrm>
            <a:prstGeom prst="rect">
              <a:avLst/>
            </a:prstGeom>
          </xdr:spPr>
        </xdr:pic>
        <xdr:sp macro="" textlink="">
          <xdr:nvSpPr>
            <xdr:cNvPr id="4" name="Shape 3">
              <a:extLst>
                <a:ext uri="{FF2B5EF4-FFF2-40B4-BE49-F238E27FC236}">
                  <a16:creationId xmlns:a16="http://schemas.microsoft.com/office/drawing/2014/main" id="{711FEE54-DBAE-4474-AC9E-7B8DFFE7062F}"/>
                </a:ext>
              </a:extLst>
            </xdr:cNvPr>
            <xdr:cNvSpPr/>
          </xdr:nvSpPr>
          <xdr:spPr>
            <a:xfrm>
              <a:off x="168049" y="651044"/>
              <a:ext cx="837872" cy="182879"/>
            </a:xfrm>
            <a:prstGeom prst="rect">
              <a:avLst/>
            </a:prstGeom>
            <a:solidFill>
              <a:srgbClr val="FF6600"/>
            </a:solidFill>
            <a:ln>
              <a:round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zh-CN" altLang="en-US" sz="1100"/>
                <a:t>New</a:t>
              </a:r>
              <a:r>
                <a:rPr lang="zh-CN" altLang="en-US" sz="1100"/>
                <a:t> Appt.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1296D818-29BB-4EBE-B40E-E95A404C99E0}"/>
              </a:ext>
            </a:extLst>
          </xdr:cNvPr>
          <xdr:cNvGrpSpPr/>
          <xdr:nvPr/>
        </xdr:nvGrpSpPr>
        <xdr:grpSpPr>
          <a:xfrm>
            <a:off x="1153790" y="651044"/>
            <a:ext cx="837872" cy="182879"/>
            <a:chOff x="1153790" y="651044"/>
            <a:chExt cx="837872" cy="182880"/>
          </a:xfrm>
        </xdr:grpSpPr>
        <xdr:pic>
          <xdr:nvPicPr>
            <xdr:cNvPr id="4" name="Picture 4">
              <a:extLst>
                <a:ext uri="{FF2B5EF4-FFF2-40B4-BE49-F238E27FC236}">
                  <a16:creationId xmlns:a16="http://schemas.microsoft.com/office/drawing/2014/main" id="{3E5C7743-CAE3-45B9-8D89-D43206B48A4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172196" y="663769"/>
              <a:ext cx="148289" cy="157428"/>
            </a:xfrm>
            <a:prstGeom prst="rect">
              <a:avLst/>
            </a:prstGeom>
          </xdr:spPr>
        </xdr:pic>
        <xdr:sp macro="" textlink="">
          <xdr:nvSpPr>
            <xdr:cNvPr id="4" name="Shape 3">
              <a:extLst>
                <a:ext uri="{FF2B5EF4-FFF2-40B4-BE49-F238E27FC236}">
                  <a16:creationId xmlns:a16="http://schemas.microsoft.com/office/drawing/2014/main" id="{B641F6DB-8193-4BC1-A87F-02EFE36FC2C2}"/>
                </a:ext>
              </a:extLst>
            </xdr:cNvPr>
            <xdr:cNvSpPr/>
          </xdr:nvSpPr>
          <xdr:spPr>
            <a:xfrm>
              <a:off x="1153790" y="651044"/>
              <a:ext cx="837872" cy="182879"/>
            </a:xfrm>
            <a:prstGeom prst="rect">
              <a:avLst/>
            </a:prstGeom>
            <a:solidFill>
              <a:srgbClr val="008200"/>
            </a:solidFill>
            <a:ln>
              <a:round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zh-CN" altLang="en-US" sz="1100"/>
                <a:t>Save</a:t>
              </a:r>
              <a:r>
                <a:rPr lang="zh-CN" altLang="en-US" sz="1100"/>
                <a:t> Appt.</a:t>
              </a:r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B1316447-7C2D-465F-AB2B-7FF372E1E77A}"/>
              </a:ext>
            </a:extLst>
          </xdr:cNvPr>
          <xdr:cNvGrpSpPr/>
          <xdr:nvPr/>
        </xdr:nvGrpSpPr>
        <xdr:grpSpPr>
          <a:xfrm>
            <a:off x="2139535" y="651044"/>
            <a:ext cx="983014" cy="182879"/>
            <a:chOff x="2139535" y="651044"/>
            <a:chExt cx="983014" cy="182880"/>
          </a:xfrm>
        </xdr:grpSpPr>
        <xdr:pic>
          <xdr:nvPicPr>
            <xdr:cNvPr id="5" name="Picture 5">
              <a:extLst>
                <a:ext uri="{FF2B5EF4-FFF2-40B4-BE49-F238E27FC236}">
                  <a16:creationId xmlns:a16="http://schemas.microsoft.com/office/drawing/2014/main" id="{72830DA5-8B04-4B28-BB9F-9D8CEA5A1D2A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176684" y="664410"/>
              <a:ext cx="167163" cy="156146"/>
            </a:xfrm>
            <a:prstGeom prst="rect">
              <a:avLst/>
            </a:prstGeom>
          </xdr:spPr>
        </xdr:pic>
        <xdr:sp macro="" textlink="">
          <xdr:nvSpPr>
            <xdr:cNvPr id="4" name="Shape 3">
              <a:extLst>
                <a:ext uri="{FF2B5EF4-FFF2-40B4-BE49-F238E27FC236}">
                  <a16:creationId xmlns:a16="http://schemas.microsoft.com/office/drawing/2014/main" id="{0D736FF4-07BB-4F00-B622-6E77E5F52AB8}"/>
                </a:ext>
              </a:extLst>
            </xdr:cNvPr>
            <xdr:cNvSpPr/>
          </xdr:nvSpPr>
          <xdr:spPr>
            <a:xfrm>
              <a:off x="2139535" y="651044"/>
              <a:ext cx="983014" cy="182879"/>
            </a:xfrm>
            <a:prstGeom prst="rect">
              <a:avLst/>
            </a:prstGeom>
            <a:solidFill>
              <a:srgbClr val="FF0000"/>
            </a:solidFill>
            <a:ln>
              <a:round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zh-CN" altLang="en-US" sz="1100"/>
                <a:t>Delete Appt.</a:t>
              </a:r>
            </a:p>
          </xdr:txBody>
        </xdr:sp>
      </xdr:grpSp>
    </xdr:grpSp>
    <xdr:clientData/>
  </xdr:twoCellAnchor>
  <xdr:twoCellAnchor editAs="twoCell">
    <xdr:from>
      <xdr:col>2</xdr:col>
      <xdr:colOff>195263</xdr:colOff>
      <xdr:row>10</xdr:row>
      <xdr:rowOff>206752</xdr:rowOff>
    </xdr:from>
    <xdr:to>
      <xdr:col>4</xdr:col>
      <xdr:colOff>2629853</xdr:colOff>
      <xdr:row>11</xdr:row>
      <xdr:rowOff>161032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B99EDD48-B4FB-45C4-BF47-9247D31ABBE6}"/>
            </a:ext>
          </a:extLst>
        </xdr:cNvPr>
        <xdr:cNvGrpSpPr/>
        <xdr:nvPr/>
      </xdr:nvGrpSpPr>
      <xdr:grpSpPr>
        <a:xfrm>
          <a:off x="168049" y="3129328"/>
          <a:ext cx="2954501" cy="208675"/>
          <a:chOff x="168049" y="3129328"/>
          <a:chExt cx="2954501" cy="208675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F0032E7B-95D7-4846-8A5B-562C22EEC491}"/>
              </a:ext>
            </a:extLst>
          </xdr:cNvPr>
          <xdr:cNvGrpSpPr/>
          <xdr:nvPr/>
        </xdr:nvGrpSpPr>
        <xdr:grpSpPr>
          <a:xfrm>
            <a:off x="168049" y="3129328"/>
            <a:ext cx="837872" cy="208675"/>
            <a:chOff x="168049" y="3129328"/>
            <a:chExt cx="837872" cy="208675"/>
          </a:xfrm>
        </xdr:grpSpPr>
        <xdr:pic>
          <xdr:nvPicPr>
            <xdr:cNvPr id="6" name="Picture 6">
              <a:extLst>
                <a:ext uri="{FF2B5EF4-FFF2-40B4-BE49-F238E27FC236}">
                  <a16:creationId xmlns:a16="http://schemas.microsoft.com/office/drawing/2014/main" id="{F5C1D443-C92A-41D5-93A4-9399CFE2C358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91952" y="3141653"/>
              <a:ext cx="170006" cy="184025"/>
            </a:xfrm>
            <a:prstGeom prst="rect">
              <a:avLst/>
            </a:prstGeom>
          </xdr:spPr>
        </xdr:pic>
        <xdr:sp macro="" textlink="">
          <xdr:nvSpPr>
            <xdr:cNvPr id="4" name="Shape 3">
              <a:extLst>
                <a:ext uri="{FF2B5EF4-FFF2-40B4-BE49-F238E27FC236}">
                  <a16:creationId xmlns:a16="http://schemas.microsoft.com/office/drawing/2014/main" id="{23B82603-BEA2-4629-8386-6D16B5AE0F94}"/>
                </a:ext>
              </a:extLst>
            </xdr:cNvPr>
            <xdr:cNvSpPr/>
          </xdr:nvSpPr>
          <xdr:spPr>
            <a:xfrm>
              <a:off x="168049" y="3129328"/>
              <a:ext cx="837872" cy="208675"/>
            </a:xfrm>
            <a:prstGeom prst="rect">
              <a:avLst/>
            </a:prstGeom>
            <a:solidFill>
              <a:srgbClr val="FF6600"/>
            </a:solidFill>
            <a:ln>
              <a:round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zh-CN" altLang="en-US" sz="1100"/>
                <a:t>New</a:t>
              </a:r>
              <a:r>
                <a:rPr lang="zh-CN" altLang="en-US" sz="1100"/>
                <a:t> Cont.</a:t>
              </a:r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FD3AB782-61C6-4999-9704-4D4AE7055AC1}"/>
              </a:ext>
            </a:extLst>
          </xdr:cNvPr>
          <xdr:cNvGrpSpPr/>
          <xdr:nvPr/>
        </xdr:nvGrpSpPr>
        <xdr:grpSpPr>
          <a:xfrm>
            <a:off x="1153790" y="3129328"/>
            <a:ext cx="837872" cy="208675"/>
            <a:chOff x="1153790" y="3129328"/>
            <a:chExt cx="837872" cy="208675"/>
          </a:xfrm>
        </xdr:grpSpPr>
        <xdr:pic>
          <xdr:nvPicPr>
            <xdr:cNvPr id="7" name="Picture 7">
              <a:extLst>
                <a:ext uri="{FF2B5EF4-FFF2-40B4-BE49-F238E27FC236}">
                  <a16:creationId xmlns:a16="http://schemas.microsoft.com/office/drawing/2014/main" id="{07EA4699-B914-4C43-BCC3-0BD82B55494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172197" y="3143849"/>
              <a:ext cx="148289" cy="179634"/>
            </a:xfrm>
            <a:prstGeom prst="rect">
              <a:avLst/>
            </a:prstGeom>
          </xdr:spPr>
        </xdr:pic>
        <xdr:sp macro="" textlink="">
          <xdr:nvSpPr>
            <xdr:cNvPr id="4" name="Shape 3">
              <a:extLst>
                <a:ext uri="{FF2B5EF4-FFF2-40B4-BE49-F238E27FC236}">
                  <a16:creationId xmlns:a16="http://schemas.microsoft.com/office/drawing/2014/main" id="{6829ED7A-982C-40D4-A401-414EF8E51707}"/>
                </a:ext>
              </a:extLst>
            </xdr:cNvPr>
            <xdr:cNvSpPr/>
          </xdr:nvSpPr>
          <xdr:spPr>
            <a:xfrm>
              <a:off x="1153790" y="3129328"/>
              <a:ext cx="837872" cy="208675"/>
            </a:xfrm>
            <a:prstGeom prst="rect">
              <a:avLst/>
            </a:prstGeom>
            <a:solidFill>
              <a:srgbClr val="008200"/>
            </a:solidFill>
            <a:ln>
              <a:round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zh-CN" altLang="en-US" sz="1100"/>
                <a:t>Save</a:t>
              </a:r>
              <a:r>
                <a:rPr lang="zh-CN" altLang="en-US" sz="1100"/>
                <a:t> Cont.</a:t>
              </a:r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D9819388-10FC-4E9D-BA69-BFDC670A3F9D}"/>
              </a:ext>
            </a:extLst>
          </xdr:cNvPr>
          <xdr:cNvGrpSpPr/>
          <xdr:nvPr/>
        </xdr:nvGrpSpPr>
        <xdr:grpSpPr>
          <a:xfrm>
            <a:off x="2139535" y="3129328"/>
            <a:ext cx="983014" cy="208675"/>
            <a:chOff x="2139535" y="3129328"/>
            <a:chExt cx="983014" cy="208675"/>
          </a:xfrm>
        </xdr:grpSpPr>
        <xdr:pic>
          <xdr:nvPicPr>
            <xdr:cNvPr id="8" name="Picture 8">
              <a:extLst>
                <a:ext uri="{FF2B5EF4-FFF2-40B4-BE49-F238E27FC236}">
                  <a16:creationId xmlns:a16="http://schemas.microsoft.com/office/drawing/2014/main" id="{BC5EF663-36A6-4D40-B784-05C2112C30B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176685" y="3144581"/>
              <a:ext cx="167163" cy="178170"/>
            </a:xfrm>
            <a:prstGeom prst="rect">
              <a:avLst/>
            </a:prstGeom>
          </xdr:spPr>
        </xdr:pic>
        <xdr:sp macro="" textlink="">
          <xdr:nvSpPr>
            <xdr:cNvPr id="4" name="Shape 3">
              <a:extLst>
                <a:ext uri="{FF2B5EF4-FFF2-40B4-BE49-F238E27FC236}">
                  <a16:creationId xmlns:a16="http://schemas.microsoft.com/office/drawing/2014/main" id="{A8B3D0BB-1969-4F63-AA8E-8A56A18DEA74}"/>
                </a:ext>
              </a:extLst>
            </xdr:cNvPr>
            <xdr:cNvSpPr/>
          </xdr:nvSpPr>
          <xdr:spPr>
            <a:xfrm>
              <a:off x="2139535" y="3129328"/>
              <a:ext cx="983014" cy="208675"/>
            </a:xfrm>
            <a:prstGeom prst="rect">
              <a:avLst/>
            </a:prstGeom>
            <a:solidFill>
              <a:srgbClr val="FF0000"/>
            </a:solidFill>
            <a:ln>
              <a:round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zh-CN" altLang="en-US" sz="1100"/>
                <a:t>Delete Cont.</a:t>
              </a:r>
            </a:p>
          </xdr:txBody>
        </xdr:sp>
      </xdr:grpSp>
    </xdr:grpSp>
    <xdr:clientData/>
  </xdr:twoCellAnchor>
  <xdr:twoCellAnchor editAs="twoCell">
    <xdr:from>
      <xdr:col>0</xdr:col>
      <xdr:colOff>186861</xdr:colOff>
      <xdr:row>17</xdr:row>
      <xdr:rowOff>217848</xdr:rowOff>
    </xdr:from>
    <xdr:to>
      <xdr:col>0</xdr:col>
      <xdr:colOff>1101261</xdr:colOff>
      <xdr:row>18</xdr:row>
      <xdr:rowOff>149175</xdr:rowOff>
    </xdr:to>
    <xdr:sp macro="" textlink="">
      <xdr:nvSpPr>
        <xdr:cNvPr id="27" name="Shape 26" descr="" hidden="0" title="">
          <a:extLst>
            <a:ext uri="{FF2B5EF4-FFF2-40B4-BE49-F238E27FC236}">
              <a16:creationId xmlns:a16="http://schemas.microsoft.com/office/drawing/2014/main" id="{1D5F597D-E0CE-4B10-B20B-C2C73E6CECE0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9C86EE"/>
        </a:solidFill>
        <a:ln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twoCell">
    <xdr:from>
      <xdr:col>0</xdr:col>
      <xdr:colOff>125181</xdr:colOff>
      <xdr:row>20</xdr:row>
      <xdr:rowOff>136071</xdr:rowOff>
    </xdr:from>
    <xdr:to>
      <xdr:col>0</xdr:col>
      <xdr:colOff>1172931</xdr:colOff>
      <xdr:row>24</xdr:row>
      <xdr:rowOff>155510</xdr:rowOff>
    </xdr:to>
    <xdr:sp macro="" textlink="">
      <xdr:nvSpPr>
        <xdr:cNvPr id="28" name="Shape 27" descr="" hidden="0" title="">
          <a:extLst>
            <a:ext uri="{FF2B5EF4-FFF2-40B4-BE49-F238E27FC236}">
              <a16:creationId xmlns:a16="http://schemas.microsoft.com/office/drawing/2014/main" id="{6117D088-3137-48AE-8112-D7585B0674ED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FFFF00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These shapes determines size</a:t>
          </a:r>
          <a:r>
            <a:rPr lang="zh-CN" altLang="en-US" sz="1100"/>
            <a:t> and font for appointments and Holidays</a:t>
          </a:r>
        </a:p>
      </xdr:txBody>
    </xdr:sp>
    <xdr:clientData/>
  </xdr:twoCellAnchor>
  <xdr:twoCellAnchor editAs="twoCell">
    <xdr:from>
      <xdr:col>0</xdr:col>
      <xdr:colOff>551672</xdr:colOff>
      <xdr:row>19</xdr:row>
      <xdr:rowOff>86698</xdr:rowOff>
    </xdr:from>
    <xdr:to>
      <xdr:col>0</xdr:col>
      <xdr:colOff>751697</xdr:colOff>
      <xdr:row>19</xdr:row>
      <xdr:rowOff>229572</xdr:rowOff>
    </xdr:to>
    <xdr:sp macro="" textlink="">
      <xdr:nvSpPr>
        <xdr:cNvPr id="29" name="Shape 28" descr="" hidden="0" title="">
          <a:extLst>
            <a:ext uri="{FF2B5EF4-FFF2-40B4-BE49-F238E27FC236}">
              <a16:creationId xmlns:a16="http://schemas.microsoft.com/office/drawing/2014/main" id="{D003B4D6-B3A1-4A89-B833-22A2FC487BA9}"/>
            </a:ext>
          </a:extLst>
        </xdr:cNvPr>
        <xdr:cNvSpPr/>
      </xdr:nvSpPr>
      <xdr:spPr>
        <a:xfrm>
          <a:off x="0" y="0"/>
          <a:ext cx="0" cy="0"/>
        </a:xfrm>
        <a:prstGeom prst="upArrow">
          <a:avLst>
            <a:gd name="adj1" fmla="val 50000"/>
            <a:gd name="adj2" fmla="val 50000"/>
          </a:avLst>
        </a:prstGeom>
        <a:solidFill>
          <a:srgbClr val="FFFF00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twoCell">
    <xdr:from>
      <xdr:col>3</xdr:col>
      <xdr:colOff>12117</xdr:colOff>
      <xdr:row>0</xdr:row>
      <xdr:rowOff>63572</xdr:rowOff>
    </xdr:from>
    <xdr:to>
      <xdr:col>3</xdr:col>
      <xdr:colOff>194996</xdr:colOff>
      <xdr:row>0</xdr:row>
      <xdr:rowOff>246452</xdr:rowOff>
    </xdr:to>
    <xdr:sp macro="" textlink="">
      <xdr:nvSpPr>
        <xdr:cNvPr id="30" name="Shape 29" descr="" hidden="0" title="">
          <a:extLst>
            <a:ext uri="{FF2B5EF4-FFF2-40B4-BE49-F238E27FC236}">
              <a16:creationId xmlns:a16="http://schemas.microsoft.com/office/drawing/2014/main" id="{3C37E69B-98B3-45FD-A3CC-9656565A2E86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0033CC"/>
        </a:solidFill>
        <a:ln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twoCell">
    <xdr:from>
      <xdr:col>6</xdr:col>
      <xdr:colOff>17806</xdr:colOff>
      <xdr:row>0</xdr:row>
      <xdr:rowOff>503582</xdr:rowOff>
    </xdr:from>
    <xdr:to>
      <xdr:col>13</xdr:col>
      <xdr:colOff>775261</xdr:colOff>
      <xdr:row>1</xdr:row>
      <xdr:rowOff>265457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E448A864-2279-46C3-83E1-14C600B74761}"/>
            </a:ext>
          </a:extLst>
        </xdr:cNvPr>
        <xdr:cNvGrpSpPr/>
        <xdr:nvPr/>
      </xdr:nvGrpSpPr>
      <xdr:grpSpPr>
        <a:xfrm>
          <a:off x="3313101" y="503582"/>
          <a:ext cx="6774178" cy="270664"/>
          <a:chOff x="3313101" y="503582"/>
          <a:chExt cx="6774178" cy="270664"/>
        </a:xfrm>
      </xdr:grpSpPr>
      <xdr:sp macro="" textlink="">
        <xdr:nvSpPr>
          <xdr:cNvPr id="3" name="Shape 2">
            <a:extLst>
              <a:ext uri="{FF2B5EF4-FFF2-40B4-BE49-F238E27FC236}">
                <a16:creationId xmlns:a16="http://schemas.microsoft.com/office/drawing/2014/main" id="{62C3937D-9729-4E0A-8C52-AFCAF5282A31}"/>
              </a:ext>
            </a:extLst>
          </xdr:cNvPr>
          <xdr:cNvSpPr/>
        </xdr:nvSpPr>
        <xdr:spPr>
          <a:xfrm>
            <a:off x="7314813" y="503582"/>
            <a:ext cx="486131" cy="270664"/>
          </a:xfrm>
          <a:prstGeom prst="snip1Rect">
            <a:avLst>
              <a:gd name="adj" fmla="val 16667"/>
            </a:avLst>
          </a:prstGeom>
          <a:solidFill>
            <a:srgbClr val="1CADE4"/>
          </a:solidFill>
          <a:ln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 b="1">
                <a:solidFill>
                  <a:srgbClr val="FFFFFF"/>
                </a:solidFill>
                <a:latin typeface="Arial Black"/>
                <a:ea typeface="Arial Black"/>
              </a:rPr>
              <a:t>AUG</a:t>
            </a:r>
          </a:p>
        </xdr:txBody>
      </xdr:sp>
      <xdr:sp macro="" textlink="">
        <xdr:nvSpPr>
          <xdr:cNvPr id="4" name="Shape 3">
            <a:extLst>
              <a:ext uri="{FF2B5EF4-FFF2-40B4-BE49-F238E27FC236}">
                <a16:creationId xmlns:a16="http://schemas.microsoft.com/office/drawing/2014/main" id="{ECEEFC89-3390-47F1-BAC7-6E7FED3A042B}"/>
              </a:ext>
            </a:extLst>
          </xdr:cNvPr>
          <xdr:cNvSpPr/>
        </xdr:nvSpPr>
        <xdr:spPr>
          <a:xfrm>
            <a:off x="7886127" y="503582"/>
            <a:ext cx="485771" cy="270664"/>
          </a:xfrm>
          <a:prstGeom prst="snip1Rect">
            <a:avLst>
              <a:gd name="adj" fmla="val 16667"/>
            </a:avLst>
          </a:prstGeom>
          <a:solidFill>
            <a:srgbClr val="1CADE4"/>
          </a:solidFill>
          <a:ln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 b="1">
                <a:solidFill>
                  <a:srgbClr val="FFFFFF"/>
                </a:solidFill>
                <a:latin typeface="Arial Black"/>
                <a:ea typeface="Arial Black"/>
              </a:rPr>
              <a:t>SEP</a:t>
            </a:r>
          </a:p>
        </xdr:txBody>
      </xdr:sp>
      <xdr:sp macro="" textlink="">
        <xdr:nvSpPr>
          <xdr:cNvPr id="5" name="Shape 4">
            <a:extLst>
              <a:ext uri="{FF2B5EF4-FFF2-40B4-BE49-F238E27FC236}">
                <a16:creationId xmlns:a16="http://schemas.microsoft.com/office/drawing/2014/main" id="{24784142-661D-4E65-B7C9-CBEE17F3240E}"/>
              </a:ext>
            </a:extLst>
          </xdr:cNvPr>
          <xdr:cNvSpPr/>
        </xdr:nvSpPr>
        <xdr:spPr>
          <a:xfrm>
            <a:off x="8457081" y="503582"/>
            <a:ext cx="485771" cy="270664"/>
          </a:xfrm>
          <a:prstGeom prst="snip1Rect">
            <a:avLst>
              <a:gd name="adj" fmla="val 16667"/>
            </a:avLst>
          </a:prstGeom>
          <a:solidFill>
            <a:srgbClr val="1CADE4"/>
          </a:solidFill>
          <a:ln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 b="1">
                <a:solidFill>
                  <a:srgbClr val="FFFFFF"/>
                </a:solidFill>
                <a:latin typeface="Arial Black"/>
                <a:ea typeface="Arial Black"/>
              </a:rPr>
              <a:t>OCT</a:t>
            </a:r>
          </a:p>
        </xdr:txBody>
      </xdr:sp>
      <xdr:sp macro="" textlink="">
        <xdr:nvSpPr>
          <xdr:cNvPr id="6" name="Shape 5">
            <a:extLst>
              <a:ext uri="{FF2B5EF4-FFF2-40B4-BE49-F238E27FC236}">
                <a16:creationId xmlns:a16="http://schemas.microsoft.com/office/drawing/2014/main" id="{C265C92D-F4E0-4758-8F73-3ADD5FFC14CA}"/>
              </a:ext>
            </a:extLst>
          </xdr:cNvPr>
          <xdr:cNvSpPr/>
        </xdr:nvSpPr>
        <xdr:spPr>
          <a:xfrm>
            <a:off x="9028035" y="503582"/>
            <a:ext cx="488289" cy="270664"/>
          </a:xfrm>
          <a:prstGeom prst="snip1Rect">
            <a:avLst>
              <a:gd name="adj" fmla="val 16667"/>
            </a:avLst>
          </a:prstGeom>
          <a:solidFill>
            <a:srgbClr val="1CADE4"/>
          </a:solidFill>
          <a:ln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 b="1">
                <a:solidFill>
                  <a:srgbClr val="FFFFFF"/>
                </a:solidFill>
                <a:latin typeface="Arial Black"/>
                <a:ea typeface="Arial Black"/>
              </a:rPr>
              <a:t>NOV</a:t>
            </a:r>
          </a:p>
        </xdr:txBody>
      </xdr:sp>
      <xdr:sp macro="" textlink="">
        <xdr:nvSpPr>
          <xdr:cNvPr id="7" name="Shape 6">
            <a:extLst>
              <a:ext uri="{FF2B5EF4-FFF2-40B4-BE49-F238E27FC236}">
                <a16:creationId xmlns:a16="http://schemas.microsoft.com/office/drawing/2014/main" id="{E1FCC223-6428-4903-948E-E4C12596A0EB}"/>
              </a:ext>
            </a:extLst>
          </xdr:cNvPr>
          <xdr:cNvSpPr/>
        </xdr:nvSpPr>
        <xdr:spPr>
          <a:xfrm>
            <a:off x="9601507" y="503582"/>
            <a:ext cx="485771" cy="270664"/>
          </a:xfrm>
          <a:prstGeom prst="snip1Rect">
            <a:avLst>
              <a:gd name="adj" fmla="val 16667"/>
            </a:avLst>
          </a:prstGeom>
          <a:solidFill>
            <a:srgbClr val="1CADE4"/>
          </a:solidFill>
          <a:ln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 b="1">
                <a:solidFill>
                  <a:srgbClr val="FFFFFF"/>
                </a:solidFill>
                <a:latin typeface="Arial Black"/>
                <a:ea typeface="Arial Black"/>
              </a:rPr>
              <a:t>DEC</a:t>
            </a:r>
          </a:p>
        </xdr:txBody>
      </xdr:sp>
      <xdr:sp macro="" textlink="">
        <xdr:nvSpPr>
          <xdr:cNvPr id="8" name="Shape 7">
            <a:extLst>
              <a:ext uri="{FF2B5EF4-FFF2-40B4-BE49-F238E27FC236}">
                <a16:creationId xmlns:a16="http://schemas.microsoft.com/office/drawing/2014/main" id="{AC65C61D-BE31-4537-9145-30AC2E51A3CB}"/>
              </a:ext>
            </a:extLst>
          </xdr:cNvPr>
          <xdr:cNvSpPr/>
        </xdr:nvSpPr>
        <xdr:spPr>
          <a:xfrm>
            <a:off x="6170748" y="503582"/>
            <a:ext cx="485771" cy="270664"/>
          </a:xfrm>
          <a:prstGeom prst="snip1Rect">
            <a:avLst>
              <a:gd name="adj" fmla="val 16667"/>
            </a:avLst>
          </a:prstGeom>
          <a:solidFill>
            <a:srgbClr val="1CADE4"/>
          </a:solidFill>
          <a:ln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 b="1">
                <a:solidFill>
                  <a:srgbClr val="FFFFFF"/>
                </a:solidFill>
                <a:latin typeface="Arial Black"/>
                <a:ea typeface="Arial Black"/>
              </a:rPr>
              <a:t>JUN</a:t>
            </a:r>
          </a:p>
        </xdr:txBody>
      </xdr:sp>
      <xdr:sp macro="" textlink="">
        <xdr:nvSpPr>
          <xdr:cNvPr id="9" name="Shape 8">
            <a:extLst>
              <a:ext uri="{FF2B5EF4-FFF2-40B4-BE49-F238E27FC236}">
                <a16:creationId xmlns:a16="http://schemas.microsoft.com/office/drawing/2014/main" id="{09CA17CA-CA2F-4045-BF89-7BC527D0C9E9}"/>
              </a:ext>
            </a:extLst>
          </xdr:cNvPr>
          <xdr:cNvSpPr/>
        </xdr:nvSpPr>
        <xdr:spPr>
          <a:xfrm>
            <a:off x="6741701" y="503582"/>
            <a:ext cx="487929" cy="270664"/>
          </a:xfrm>
          <a:prstGeom prst="snip1Rect">
            <a:avLst>
              <a:gd name="adj" fmla="val 16667"/>
            </a:avLst>
          </a:prstGeom>
          <a:solidFill>
            <a:srgbClr val="1CADE4"/>
          </a:solidFill>
          <a:ln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 b="1">
                <a:solidFill>
                  <a:srgbClr val="FFFFFF"/>
                </a:solidFill>
                <a:latin typeface="Arial Black"/>
                <a:ea typeface="Arial Black"/>
              </a:rPr>
              <a:t>JUL</a:t>
            </a:r>
          </a:p>
        </xdr:txBody>
      </xdr:sp>
      <xdr:sp macro="" textlink="">
        <xdr:nvSpPr>
          <xdr:cNvPr id="10" name="Shape 9">
            <a:extLst>
              <a:ext uri="{FF2B5EF4-FFF2-40B4-BE49-F238E27FC236}">
                <a16:creationId xmlns:a16="http://schemas.microsoft.com/office/drawing/2014/main" id="{39684016-F20F-4F8A-93BE-48196667B2F9}"/>
              </a:ext>
            </a:extLst>
          </xdr:cNvPr>
          <xdr:cNvSpPr/>
        </xdr:nvSpPr>
        <xdr:spPr>
          <a:xfrm>
            <a:off x="3313101" y="503582"/>
            <a:ext cx="486130" cy="270664"/>
          </a:xfrm>
          <a:prstGeom prst="snip1Rect">
            <a:avLst>
              <a:gd name="adj" fmla="val 16667"/>
            </a:avLst>
          </a:prstGeom>
          <a:solidFill>
            <a:srgbClr val="1CADE4"/>
          </a:solidFill>
          <a:ln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 b="1">
                <a:solidFill>
                  <a:srgbClr val="FFFFFF"/>
                </a:solidFill>
                <a:latin typeface="Arial Black"/>
                <a:ea typeface="Arial Black"/>
              </a:rPr>
              <a:t>JAN</a:t>
            </a:r>
          </a:p>
        </xdr:txBody>
      </xdr:sp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12CD1F6F-A7A5-4BA9-A0BE-0926EB82FBBC}"/>
              </a:ext>
            </a:extLst>
          </xdr:cNvPr>
          <xdr:cNvSpPr/>
        </xdr:nvSpPr>
        <xdr:spPr>
          <a:xfrm>
            <a:off x="3884414" y="503582"/>
            <a:ext cx="485771" cy="270664"/>
          </a:xfrm>
          <a:prstGeom prst="snip1Rect">
            <a:avLst>
              <a:gd name="adj" fmla="val 16667"/>
            </a:avLst>
          </a:prstGeom>
          <a:solidFill>
            <a:srgbClr val="1CADE4"/>
          </a:solidFill>
          <a:ln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 b="1">
                <a:solidFill>
                  <a:srgbClr val="FFFFFF"/>
                </a:solidFill>
                <a:latin typeface="Arial Black"/>
                <a:ea typeface="Arial Black"/>
              </a:rPr>
              <a:t>FEB</a:t>
            </a:r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C3F1D0E4-138E-4BE2-9FC8-407C8530D470}"/>
              </a:ext>
            </a:extLst>
          </xdr:cNvPr>
          <xdr:cNvSpPr/>
        </xdr:nvSpPr>
        <xdr:spPr>
          <a:xfrm>
            <a:off x="4455368" y="503582"/>
            <a:ext cx="485771" cy="270664"/>
          </a:xfrm>
          <a:prstGeom prst="snip1Rect">
            <a:avLst>
              <a:gd name="adj" fmla="val 16667"/>
            </a:avLst>
          </a:prstGeom>
          <a:solidFill>
            <a:srgbClr val="1CADE4"/>
          </a:solidFill>
          <a:ln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 b="1">
                <a:solidFill>
                  <a:srgbClr val="FFFFFF"/>
                </a:solidFill>
                <a:latin typeface="Arial Black"/>
                <a:ea typeface="Arial Black"/>
              </a:rPr>
              <a:t>MAR</a:t>
            </a:r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4E623440-6657-487A-AD4C-CC6263357D34}"/>
              </a:ext>
            </a:extLst>
          </xdr:cNvPr>
          <xdr:cNvSpPr/>
        </xdr:nvSpPr>
        <xdr:spPr>
          <a:xfrm>
            <a:off x="5026321" y="503582"/>
            <a:ext cx="487930" cy="270664"/>
          </a:xfrm>
          <a:prstGeom prst="snip1Rect">
            <a:avLst>
              <a:gd name="adj" fmla="val 16667"/>
            </a:avLst>
          </a:prstGeom>
          <a:solidFill>
            <a:srgbClr val="1CADE4"/>
          </a:solidFill>
          <a:ln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 b="1">
                <a:solidFill>
                  <a:srgbClr val="FFFFFF"/>
                </a:solidFill>
                <a:latin typeface="Arial Black"/>
                <a:ea typeface="Arial Black"/>
              </a:rPr>
              <a:t>APR</a:t>
            </a:r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902F154A-7978-40DD-BB2D-353437D3F2BF}"/>
              </a:ext>
            </a:extLst>
          </xdr:cNvPr>
          <xdr:cNvSpPr/>
        </xdr:nvSpPr>
        <xdr:spPr>
          <a:xfrm>
            <a:off x="5599794" y="503582"/>
            <a:ext cx="485771" cy="270664"/>
          </a:xfrm>
          <a:prstGeom prst="snip1Rect">
            <a:avLst>
              <a:gd name="adj" fmla="val 16667"/>
            </a:avLst>
          </a:prstGeom>
          <a:solidFill>
            <a:srgbClr val="1CADE4"/>
          </a:solidFill>
          <a:ln>
            <a:round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 b="1">
                <a:solidFill>
                  <a:srgbClr val="FFFFFF"/>
                </a:solidFill>
                <a:latin typeface="Arial Black"/>
                <a:ea typeface="Arial Black"/>
              </a:rPr>
              <a:t>MAY</a:t>
            </a:r>
          </a:p>
        </xdr:txBody>
      </xdr:sp>
    </xdr:grpSp>
    <xdr:clientData/>
  </xdr:twoCellAnchor>
  <xdr:twoCellAnchor editAs="twoCell">
    <xdr:from>
      <xdr:col>8</xdr:col>
      <xdr:colOff>127000</xdr:colOff>
      <xdr:row>4</xdr:row>
      <xdr:rowOff>38100</xdr:rowOff>
    </xdr:from>
    <xdr:to>
      <xdr:col>9</xdr:col>
      <xdr:colOff>1714500</xdr:colOff>
      <xdr:row>4</xdr:row>
      <xdr:rowOff>215900</xdr:rowOff>
    </xdr:to>
    <xdr:sp macro="" textlink="">
      <xdr:nvSpPr>
        <xdr:cNvPr id="44" name="Shape 43" descr="" hidden="0" title="">
          <a:extLst>
            <a:ext uri="{FF2B5EF4-FFF2-40B4-BE49-F238E27FC236}">
              <a16:creationId xmlns:a16="http://schemas.microsoft.com/office/drawing/2014/main" id="{CD1FDB26-E518-4AD6-922B-728A21A053F5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FFFF99"/>
        </a:solidFill>
        <a:ln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 b="1">
              <a:latin typeface="Arial Narrow"/>
              <a:ea typeface="Arial Narrow"/>
            </a:rPr>
            <a:t>6:00a - 6:15a  Fred Fredders</a:t>
          </a:r>
        </a:p>
      </xdr:txBody>
    </xdr:sp>
    <xdr:clientData/>
  </xdr:twoCellAnchor>
  <xdr:twoCellAnchor editAs="twoCell">
    <xdr:from>
      <xdr:col>12</xdr:col>
      <xdr:colOff>127000</xdr:colOff>
      <xdr:row>4</xdr:row>
      <xdr:rowOff>38100</xdr:rowOff>
    </xdr:from>
    <xdr:to>
      <xdr:col>13</xdr:col>
      <xdr:colOff>1714500</xdr:colOff>
      <xdr:row>4</xdr:row>
      <xdr:rowOff>215900</xdr:rowOff>
    </xdr:to>
    <xdr:sp macro="" textlink="">
      <xdr:nvSpPr>
        <xdr:cNvPr id="45" name="Shape 44" descr="" hidden="0" title="">
          <a:extLst>
            <a:ext uri="{FF2B5EF4-FFF2-40B4-BE49-F238E27FC236}">
              <a16:creationId xmlns:a16="http://schemas.microsoft.com/office/drawing/2014/main" id="{EFE2F8AD-5F20-4C41-B2ED-7BE9FF48DF06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8CD7C0"/>
        </a:solidFill>
        <a:ln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 b="1">
              <a:latin typeface="Arial Narrow"/>
              <a:ea typeface="Arial Narrow"/>
            </a:rPr>
            <a:t>6:30a - 7:15a  Peter Parker</a:t>
          </a:r>
        </a:p>
      </xdr:txBody>
    </xdr:sp>
    <xdr:clientData/>
  </xdr:twoCellAnchor>
  <xdr:twoCellAnchor editAs="twoCell">
    <xdr:from>
      <xdr:col>12</xdr:col>
      <xdr:colOff>127000</xdr:colOff>
      <xdr:row>4</xdr:row>
      <xdr:rowOff>38100</xdr:rowOff>
    </xdr:from>
    <xdr:to>
      <xdr:col>13</xdr:col>
      <xdr:colOff>1714500</xdr:colOff>
      <xdr:row>4</xdr:row>
      <xdr:rowOff>215900</xdr:rowOff>
    </xdr:to>
    <xdr:sp macro="" textlink="">
      <xdr:nvSpPr>
        <xdr:cNvPr id="46" name="Shape 45" descr="" hidden="0" title="">
          <a:extLst>
            <a:ext uri="{FF2B5EF4-FFF2-40B4-BE49-F238E27FC236}">
              <a16:creationId xmlns:a16="http://schemas.microsoft.com/office/drawing/2014/main" id="{F851B2B8-27B0-4533-8188-BB6D9F7E17FE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FF9900"/>
        </a:solidFill>
        <a:ln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 b="1">
              <a:latin typeface="Arial Narrow"/>
              <a:ea typeface="Arial Narrow"/>
            </a:rPr>
            <a:t>6:45a - 10:30a  Mary Smith</a:t>
          </a:r>
        </a:p>
      </xdr:txBody>
    </xdr:sp>
    <xdr:clientData/>
  </xdr:twoCellAnchor>
  <xdr:twoCellAnchor editAs="twoCell">
    <xdr:from>
      <xdr:col>12</xdr:col>
      <xdr:colOff>127000</xdr:colOff>
      <xdr:row>4</xdr:row>
      <xdr:rowOff>38100</xdr:rowOff>
    </xdr:from>
    <xdr:to>
      <xdr:col>13</xdr:col>
      <xdr:colOff>1714500</xdr:colOff>
      <xdr:row>4</xdr:row>
      <xdr:rowOff>215900</xdr:rowOff>
    </xdr:to>
    <xdr:sp macro="" textlink="">
      <xdr:nvSpPr>
        <xdr:cNvPr id="47" name="Shape 46" descr="" hidden="0" title="">
          <a:extLst>
            <a:ext uri="{FF2B5EF4-FFF2-40B4-BE49-F238E27FC236}">
              <a16:creationId xmlns:a16="http://schemas.microsoft.com/office/drawing/2014/main" id="{F5BFE9DC-1B83-4C78-A6E3-D1D6C9D62E7A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8CD7C0"/>
        </a:solidFill>
        <a:ln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 b="1">
              <a:latin typeface="Arial Narrow"/>
              <a:ea typeface="Arial Narrow"/>
            </a:rPr>
            <a:t>7:00a - 8:30a  Mark Mason</a:t>
          </a:r>
        </a:p>
      </xdr:txBody>
    </xdr:sp>
    <xdr:clientData/>
  </xdr:twoCellAnchor>
  <xdr:twoCellAnchor editAs="twoCell">
    <xdr:from>
      <xdr:col>12</xdr:col>
      <xdr:colOff>127000</xdr:colOff>
      <xdr:row>4</xdr:row>
      <xdr:rowOff>38100</xdr:rowOff>
    </xdr:from>
    <xdr:to>
      <xdr:col>13</xdr:col>
      <xdr:colOff>1714500</xdr:colOff>
      <xdr:row>4</xdr:row>
      <xdr:rowOff>215900</xdr:rowOff>
    </xdr:to>
    <xdr:sp macro="" textlink="">
      <xdr:nvSpPr>
        <xdr:cNvPr id="48" name="Shape 47" descr="" hidden="0" title="">
          <a:extLst>
            <a:ext uri="{FF2B5EF4-FFF2-40B4-BE49-F238E27FC236}">
              <a16:creationId xmlns:a16="http://schemas.microsoft.com/office/drawing/2014/main" id="{78D95DDA-BA6D-4018-94C7-A6FC5052EA53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8CD7C0"/>
        </a:solidFill>
        <a:ln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 b="1">
              <a:latin typeface="Arial Narrow"/>
              <a:ea typeface="Arial Narrow"/>
            </a:rPr>
            <a:t>7:15a - 8:30p  Jack Johnson</a:t>
          </a:r>
        </a:p>
      </xdr:txBody>
    </xdr:sp>
    <xdr:clientData/>
  </xdr:twoCellAnchor>
  <xdr:twoCellAnchor editAs="twoCell">
    <xdr:from>
      <xdr:col>6</xdr:col>
      <xdr:colOff>127000</xdr:colOff>
      <xdr:row>10</xdr:row>
      <xdr:rowOff>38100</xdr:rowOff>
    </xdr:from>
    <xdr:to>
      <xdr:col>7</xdr:col>
      <xdr:colOff>1714500</xdr:colOff>
      <xdr:row>10</xdr:row>
      <xdr:rowOff>215900</xdr:rowOff>
    </xdr:to>
    <xdr:sp macro="" textlink="">
      <xdr:nvSpPr>
        <xdr:cNvPr id="49" name="Shape 48" descr="" hidden="0" title="">
          <a:extLst>
            <a:ext uri="{FF2B5EF4-FFF2-40B4-BE49-F238E27FC236}">
              <a16:creationId xmlns:a16="http://schemas.microsoft.com/office/drawing/2014/main" id="{59962DFF-1E0C-47EA-B3A3-2B7CA2F26533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FFFF99"/>
        </a:solidFill>
        <a:ln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 b="1">
              <a:latin typeface="Arial Narrow"/>
              <a:ea typeface="Arial Narrow"/>
            </a:rPr>
            <a:t>7:30a - 2:00p  Lisa Mathews</a:t>
          </a:r>
        </a:p>
      </xdr:txBody>
    </xdr:sp>
    <xdr:clientData/>
  </xdr:twoCellAnchor>
  <xdr:twoCellAnchor editAs="twoCell">
    <xdr:from>
      <xdr:col>8</xdr:col>
      <xdr:colOff>127000</xdr:colOff>
      <xdr:row>10</xdr:row>
      <xdr:rowOff>38100</xdr:rowOff>
    </xdr:from>
    <xdr:to>
      <xdr:col>9</xdr:col>
      <xdr:colOff>1714500</xdr:colOff>
      <xdr:row>10</xdr:row>
      <xdr:rowOff>215900</xdr:rowOff>
    </xdr:to>
    <xdr:sp macro="" textlink="">
      <xdr:nvSpPr>
        <xdr:cNvPr id="50" name="Shape 49" descr="" hidden="0" title="">
          <a:extLst>
            <a:ext uri="{FF2B5EF4-FFF2-40B4-BE49-F238E27FC236}">
              <a16:creationId xmlns:a16="http://schemas.microsoft.com/office/drawing/2014/main" id="{CCC7D4DC-ACD2-4144-B656-7EED0B7CECFD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FF9900"/>
        </a:solidFill>
        <a:ln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 b="1">
              <a:latin typeface="Arial Narrow"/>
              <a:ea typeface="Arial Narrow"/>
            </a:rPr>
            <a:t>7:45a - 10:00a  Greg Perkins</a:t>
          </a:r>
        </a:p>
      </xdr:txBody>
    </xdr:sp>
    <xdr:clientData/>
  </xdr:twoCellAnchor>
  <xdr:twoCellAnchor editAs="twoCell">
    <xdr:from>
      <xdr:col>10</xdr:col>
      <xdr:colOff>127000</xdr:colOff>
      <xdr:row>10</xdr:row>
      <xdr:rowOff>38100</xdr:rowOff>
    </xdr:from>
    <xdr:to>
      <xdr:col>11</xdr:col>
      <xdr:colOff>1714500</xdr:colOff>
      <xdr:row>10</xdr:row>
      <xdr:rowOff>215900</xdr:rowOff>
    </xdr:to>
    <xdr:sp macro="" textlink="">
      <xdr:nvSpPr>
        <xdr:cNvPr id="51" name="Shape 50" descr="" hidden="0" title="">
          <a:extLst>
            <a:ext uri="{FF2B5EF4-FFF2-40B4-BE49-F238E27FC236}">
              <a16:creationId xmlns:a16="http://schemas.microsoft.com/office/drawing/2014/main" id="{BB6BF4E8-A0AC-4DD5-962C-1BAB894E39F2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8CD7C0"/>
        </a:solidFill>
        <a:ln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 b="1">
              <a:latin typeface="Arial Narrow"/>
              <a:ea typeface="Arial Narrow"/>
            </a:rPr>
            <a:t>8:00a - 11:15a  Anita Withers</a:t>
          </a:r>
        </a:p>
      </xdr:txBody>
    </xdr:sp>
    <xdr:clientData/>
  </xdr:twoCellAnchor>
  <xdr:twoCellAnchor editAs="twoCell">
    <xdr:from>
      <xdr:col>12</xdr:col>
      <xdr:colOff>127000</xdr:colOff>
      <xdr:row>10</xdr:row>
      <xdr:rowOff>38100</xdr:rowOff>
    </xdr:from>
    <xdr:to>
      <xdr:col>13</xdr:col>
      <xdr:colOff>1714500</xdr:colOff>
      <xdr:row>10</xdr:row>
      <xdr:rowOff>215900</xdr:rowOff>
    </xdr:to>
    <xdr:sp macro="" textlink="">
      <xdr:nvSpPr>
        <xdr:cNvPr id="52" name="Shape 51" descr="" hidden="0" title="">
          <a:extLst>
            <a:ext uri="{FF2B5EF4-FFF2-40B4-BE49-F238E27FC236}">
              <a16:creationId xmlns:a16="http://schemas.microsoft.com/office/drawing/2014/main" id="{A4173630-2D77-4C70-AB7A-3D55B87A83F3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8CD7C0"/>
        </a:solidFill>
        <a:ln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 b="1">
              <a:latin typeface="Arial Narrow"/>
              <a:ea typeface="Arial Narrow"/>
            </a:rPr>
            <a:t>6:00a - 6:00p  Kay Hopkins</a:t>
          </a:r>
        </a:p>
      </xdr:txBody>
    </xdr:sp>
    <xdr:clientData/>
  </xdr:twoCellAnchor>
  <xdr:twoCellAnchor editAs="twoCell">
    <xdr:from>
      <xdr:col>10</xdr:col>
      <xdr:colOff>127000</xdr:colOff>
      <xdr:row>16</xdr:row>
      <xdr:rowOff>38100</xdr:rowOff>
    </xdr:from>
    <xdr:to>
      <xdr:col>11</xdr:col>
      <xdr:colOff>1714500</xdr:colOff>
      <xdr:row>16</xdr:row>
      <xdr:rowOff>215900</xdr:rowOff>
    </xdr:to>
    <xdr:sp macro="" textlink="">
      <xdr:nvSpPr>
        <xdr:cNvPr id="53" name="Shape 52" descr="" hidden="0" title="">
          <a:extLst>
            <a:ext uri="{FF2B5EF4-FFF2-40B4-BE49-F238E27FC236}">
              <a16:creationId xmlns:a16="http://schemas.microsoft.com/office/drawing/2014/main" id="{31DF6A26-074E-4565-8D93-270C82C1DED6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8CD7C0"/>
        </a:solidFill>
        <a:ln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 b="1">
              <a:latin typeface="Arial Narrow"/>
              <a:ea typeface="Arial Narrow"/>
            </a:rPr>
            <a:t>7:00a - 1:00p  Mark Mason</a:t>
          </a:r>
        </a:p>
      </xdr:txBody>
    </xdr:sp>
    <xdr:clientData/>
  </xdr:twoCellAnchor>
  <xdr:twoCellAnchor editAs="twoCell">
    <xdr:from>
      <xdr:col>10</xdr:col>
      <xdr:colOff>127000</xdr:colOff>
      <xdr:row>17</xdr:row>
      <xdr:rowOff>38100</xdr:rowOff>
    </xdr:from>
    <xdr:to>
      <xdr:col>11</xdr:col>
      <xdr:colOff>1714500</xdr:colOff>
      <xdr:row>17</xdr:row>
      <xdr:rowOff>215900</xdr:rowOff>
    </xdr:to>
    <xdr:sp macro="" textlink="">
      <xdr:nvSpPr>
        <xdr:cNvPr id="54" name="Shape 53" descr="" hidden="0" title="">
          <a:extLst>
            <a:ext uri="{FF2B5EF4-FFF2-40B4-BE49-F238E27FC236}">
              <a16:creationId xmlns:a16="http://schemas.microsoft.com/office/drawing/2014/main" id="{BBB7935C-5A7D-4259-93E3-B29FAD67518E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8CD7C0"/>
        </a:solidFill>
        <a:ln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 b="1">
              <a:latin typeface="Arial Narrow"/>
              <a:ea typeface="Arial Narrow"/>
            </a:rPr>
            <a:t>2:00p - 3:30p  Anita Withers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twoCell">
    <xdr:from>
      <xdr:col>11</xdr:col>
      <xdr:colOff>294027</xdr:colOff>
      <xdr:row>3</xdr:row>
      <xdr:rowOff>19877</xdr:rowOff>
    </xdr:from>
    <xdr:to>
      <xdr:col>11</xdr:col>
      <xdr:colOff>1208428</xdr:colOff>
      <xdr:row>4</xdr:row>
      <xdr:rowOff>137160</xdr:rowOff>
    </xdr:to>
    <xdr:sp macro="" textlink="">
      <xdr:nvSpPr>
        <xdr:cNvPr id="2" name="Shape 1" descr="" hidden="0" title="">
          <a:extLst>
            <a:ext uri="{FF2B5EF4-FFF2-40B4-BE49-F238E27FC236}">
              <a16:creationId xmlns:a16="http://schemas.microsoft.com/office/drawing/2014/main" id="{5D8270A0-EBD7-4629-BFC3-CDB76B30B659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C00000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>
              <a:latin typeface="Bookman Old Style"/>
              <a:ea typeface="Bookman Old Style"/>
            </a:rPr>
            <a:t>Save</a:t>
          </a:r>
        </a:p>
      </xdr:txBody>
    </xdr:sp>
    <xdr:clientData/>
  </xdr:twoCellAnchor>
  <xdr:twoCellAnchor editAs="twoCell">
    <xdr:from>
      <xdr:col>11</xdr:col>
      <xdr:colOff>294027</xdr:colOff>
      <xdr:row>5</xdr:row>
      <xdr:rowOff>1655</xdr:rowOff>
    </xdr:from>
    <xdr:to>
      <xdr:col>11</xdr:col>
      <xdr:colOff>1208428</xdr:colOff>
      <xdr:row>6</xdr:row>
      <xdr:rowOff>118936</xdr:rowOff>
    </xdr:to>
    <xdr:sp macro="" textlink="">
      <xdr:nvSpPr>
        <xdr:cNvPr id="3" name="Shape 2" descr="" hidden="0" title="">
          <a:extLst>
            <a:ext uri="{FF2B5EF4-FFF2-40B4-BE49-F238E27FC236}">
              <a16:creationId xmlns:a16="http://schemas.microsoft.com/office/drawing/2014/main" id="{AAC8749D-E014-404F-8090-B2F0D2DD9B12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00B050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>
              <a:latin typeface="Bookman Old Style"/>
              <a:ea typeface="Bookman Old Style"/>
            </a:rPr>
            <a:t>New</a:t>
          </a:r>
        </a:p>
      </xdr:txBody>
    </xdr:sp>
    <xdr:clientData/>
  </xdr:twoCellAnchor>
  <xdr:twoCellAnchor editAs="twoCell">
    <xdr:from>
      <xdr:col>15</xdr:col>
      <xdr:colOff>124237</xdr:colOff>
      <xdr:row>2</xdr:row>
      <xdr:rowOff>238125</xdr:rowOff>
    </xdr:from>
    <xdr:to>
      <xdr:col>15</xdr:col>
      <xdr:colOff>2135918</xdr:colOff>
      <xdr:row>4</xdr:row>
      <xdr:rowOff>15489</xdr:rowOff>
    </xdr:to>
    <xdr:sp macro="" textlink="">
      <xdr:nvSpPr>
        <xdr:cNvPr id="4" name="Shape 3" descr="" hidden="0" title="">
          <a:extLst>
            <a:ext uri="{FF2B5EF4-FFF2-40B4-BE49-F238E27FC236}">
              <a16:creationId xmlns:a16="http://schemas.microsoft.com/office/drawing/2014/main" id="{C7D2CB30-D5C5-4FF7-AE1B-F2D2029D5C15}"/>
            </a:ext>
          </a:extLst>
        </xdr:cNvPr>
        <xdr:cNvSpPr/>
      </xdr:nvSpPr>
      <xdr:spPr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FF0000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>
              <a:latin typeface="Bookman Old Style"/>
              <a:ea typeface="Bookman Old Style"/>
            </a:rPr>
            <a:t>Search Invoice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24C898-BB7C-4338-97DC-3C8ACAA73D43}" name="T_INV3" displayName="T_INV3" ref="C15:N23" totalsRowShown="0">
  <autoFilter ref="C15:N23" xr:uid="{6424C898-BB7C-4338-97DC-3C8ACAA73D43}"/>
  <tableColumns count="12">
    <tableColumn id="1" xr3:uid="{DB92B83D-BADB-4989-9C12-B943E3F838C3}" name="Invoice No."/>
    <tableColumn id="2" xr3:uid="{7B62F2A6-B451-4DCF-8144-833B9CAEFACC}" name="Customer"/>
    <tableColumn id="3" xr3:uid="{63B50034-A552-49A5-AEF6-ABFCBA982915}" name="Invoice Date"/>
    <tableColumn id="4" xr3:uid="{62DA90FC-760D-424B-A6EE-208FCA7F17F8}" name="Due Date"/>
    <tableColumn id="5" xr3:uid="{E5EC9E6F-A5B9-41E9-9123-26763BAA915D}" name="Invoice Amount"/>
    <tableColumn id="6" xr3:uid="{18035F7A-761E-438B-808A-46C071E9740A}" name="Paid Amount"/>
    <tableColumn id="7" xr3:uid="{5B12DE6C-568B-441F-8961-849D27E68412}" name="Outstanding Amount"/>
    <tableColumn id="8" xr3:uid="{E1DC1FE4-BCC8-4CEA-B01E-3A89BC1A6D68}" name="Status"/>
    <tableColumn id="9" xr3:uid="{ADC4E495-81B9-40C9-8427-4391903FC553}" name="Past Due Age"/>
    <tableColumn id="10" xr3:uid="{8C62C19B-55AC-4199-846B-B0808AF8F8E9}" name="Selected"/>
    <tableColumn id="11" xr3:uid="{B94442F8-E60B-4F27-B17C-48D339AE974C}" name="PDF"/>
    <tableColumn id="12" xr3:uid="{69BE939A-8F9F-4E71-AD84-054152924546}" name="Notes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1.xml"/>
<Relationship Id="rId2" Type="http://schemas.openxmlformats.org/officeDocument/2006/relationships/vmlDrawing" Target="../drawings/vmlDrawing1.vml"/>
<Relationship Id="rId3" Type="http://schemas.openxmlformats.org/officeDocument/2006/relationships/comments" Target="../comments1.xml"/>
</Relationships>
</file>

<file path=xl/worksheets/_rels/sheet4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4.xml"/>
</Relationships>
</file>

<file path=xl/worksheets/_rels/sheet5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5.xml"/>
</Relationships>
</file>

<file path=xl/worksheets/_rels/sheet6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Relationship Id="rId2" Type="http://schemas.openxmlformats.org/officeDocument/2006/relationships/hyperlink" Target="PDF%20Location1006%20-%20Mary%20Smith.pdf" TargetMode="External"/>
<Relationship Id="rId3" Type="http://schemas.openxmlformats.org/officeDocument/2006/relationships/hyperlink" Target="../../../Bill/OneDrive/Invoices/1008%20-%20Greg%20Perkins.pdf" TargetMode="External"/>
<Relationship Id="rId4" Type="http://schemas.openxmlformats.org/officeDocument/2006/relationships/hyperlink" Target="PDF%20Location1004%20-%20Mark%20Mason.pdf" TargetMode="External"/>
<Relationship Id="rId5" Type="http://schemas.openxmlformats.org/officeDocument/2006/relationships/hyperlink" Target="PDF%20Location1003%20-%20Mark%20Mason.pdf" TargetMode="External"/>
<Relationship Id="rId6" Type="http://schemas.openxmlformats.org/officeDocument/2006/relationships/hyperlink" Target="PDF%20Location1005%20-%20Anita%20Withers.pdf" TargetMode="External"/>
<Relationship Id="rId7" Type="http://schemas.openxmlformats.org/officeDocument/2006/relationships/hyperlink" Target="../../../Bill/OneDrive/Invoices/1008%20-%20Greg%20Perkins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00000"/>
  </sheetPr>
  <dimension ref="A1"/>
  <sheetViews>
    <sheetView showGridLines="0" tabSelected="0" workbookViewId="0">
      <pane xSplit="22" ySplit="4" topLeftCell="W5" activePane="bottomRight" state="frozen"/>
      <selection activeCell="A1" sqref="A1"/>
    </sheetView>
  </sheetViews>
  <sheetFormatPr defaultRowHeight="15.00" customHeight="1" defaultColWidth="7.36"/>
  <cols>
    <col min="1" max="2" width="2.11" customWidth="1" hidden="0"/>
    <col min="3" max="3" width="12.13" customWidth="1" hidden="0"/>
    <col min="4" max="4" width="9.27" customWidth="1" hidden="0"/>
    <col min="5" max="5" width="3.54" customWidth="1" hidden="0"/>
    <col min="6" max="6" width="11.92" customWidth="1" hidden="0"/>
    <col min="7" max="7" width="15.19" customWidth="1" hidden="0"/>
    <col min="8" max="8" width="4.56" customWidth="1" hidden="0"/>
    <col min="9" max="9" width="15.19" customWidth="1" hidden="0"/>
    <col min="10" max="12" width="1.29" customWidth="1" hidden="0"/>
    <col min="13" max="14" width="8.65" customWidth="1" hidden="0"/>
    <col min="15" max="15" width="2.04" customWidth="1" hidden="0"/>
    <col min="16" max="16" width="18.46" customWidth="1" hidden="0"/>
    <col min="17" max="19" width="5.38" customWidth="1" hidden="0"/>
    <col min="20" max="20" width="7.97" customWidth="1" hidden="0"/>
    <col min="21" max="21" width="12.74" customWidth="1" hidden="0"/>
    <col min="22" max="22" width="33.18" customWidth="1" hidden="0"/>
    <col min="23" max="27" width="22.35" customWidth="1" hidden="0"/>
  </cols>
  <sheetData>
    <row r="1" ht="40.00" customHeight="true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2"/>
      <c r="N1" s="2"/>
      <c r="O1" s="1"/>
      <c r="P1" s="3"/>
      <c r="Q1" s="2"/>
      <c r="R1" s="2"/>
      <c r="S1" s="2"/>
      <c r="T1" s="2"/>
      <c r="U1" s="4"/>
      <c r="V1" s="3"/>
      <c r="W1" s="1"/>
      <c r="X1" s="1"/>
    </row>
    <row r="2" ht="30.00" customHeight="true">
      <c r="A2" s="5"/>
      <c r="B2" s="5"/>
      <c r="C2" t="s" s="6">
        <v>0</v>
      </c>
      <c r="D2" s="7"/>
      <c r="E2" s="8"/>
      <c r="F2" s="8"/>
      <c r="G2" s="8"/>
      <c r="H2" s="8"/>
      <c r="I2" s="8"/>
      <c r="J2" s="8"/>
      <c r="K2" s="8"/>
      <c r="L2" s="8"/>
      <c r="M2" s="7"/>
      <c r="N2" s="7"/>
      <c r="O2" s="9"/>
      <c r="P2" s="10"/>
      <c r="Q2" s="11"/>
      <c r="R2" s="11"/>
      <c r="S2" s="11"/>
      <c r="T2" s="11"/>
      <c r="U2" s="12"/>
      <c r="V2" s="10"/>
      <c r="W2" s="9"/>
      <c r="X2" s="9"/>
    </row>
    <row r="3" ht="15.00" customHeight="true">
      <c r="A3" s="13"/>
      <c r="B3" s="13"/>
      <c r="C3" s="14"/>
      <c r="D3" s="14"/>
      <c r="E3" s="13"/>
      <c r="F3" s="13"/>
      <c r="G3" s="13"/>
      <c r="H3" s="13"/>
      <c r="I3" s="13"/>
      <c r="J3" s="13"/>
      <c r="K3" s="13"/>
      <c r="L3" s="13"/>
      <c r="M3" s="14"/>
      <c r="N3" s="14"/>
      <c r="O3" s="13"/>
      <c r="P3" s="15"/>
      <c r="Q3" s="14"/>
      <c r="R3" s="14"/>
      <c r="S3" s="14"/>
      <c r="T3" s="16"/>
      <c r="U3" s="17"/>
      <c r="V3" s="15"/>
      <c r="W3" s="13"/>
      <c r="X3" s="13"/>
    </row>
    <row r="4" ht="12.90" customHeight="true">
      <c r="A4" s="13"/>
      <c r="B4" s="13"/>
      <c r="C4" t="s" s="18">
        <v>1</v>
      </c>
      <c r="D4" s="19"/>
      <c r="E4" s="20"/>
      <c r="F4" t="s" s="21">
        <v>2</v>
      </c>
      <c r="G4" s="22"/>
      <c r="H4" s="20"/>
      <c r="I4" t="s" s="23">
        <v>3</v>
      </c>
      <c r="J4" s="20"/>
      <c r="K4" s="20"/>
      <c r="L4" s="13"/>
      <c r="M4" t="s" s="24">
        <v>4</v>
      </c>
      <c r="N4" s="25"/>
      <c r="O4" s="13"/>
      <c r="P4" t="s" s="26">
        <v>5</v>
      </c>
      <c r="Q4" t="s" s="27">
        <v>6</v>
      </c>
      <c r="R4" t="s" s="27">
        <v>7</v>
      </c>
      <c r="S4" t="s" s="27">
        <v>8</v>
      </c>
      <c r="T4" t="s" s="27">
        <v>9</v>
      </c>
      <c r="U4" t="s" s="28">
        <v>10</v>
      </c>
      <c r="V4" t="s" s="29">
        <v>11</v>
      </c>
      <c r="W4" s="13"/>
      <c r="X4" s="13"/>
    </row>
    <row r="5" ht="15.00" customHeight="true">
      <c r="A5" s="13"/>
      <c r="B5" s="13"/>
      <c r="C5" t="s" s="30">
        <v>12</v>
      </c>
      <c r="D5" t="s" s="31">
        <v>13</v>
      </c>
      <c r="E5" s="13"/>
      <c r="F5" t="s" s="32">
        <v>14</v>
      </c>
      <c r="G5" t="s" s="33">
        <v>15</v>
      </c>
      <c r="H5" s="13"/>
      <c r="I5" t="s" s="34">
        <v>16</v>
      </c>
      <c r="J5" s="13"/>
      <c r="K5" s="13"/>
      <c r="L5" s="13"/>
      <c r="M5" t="s" s="35">
        <v>17</v>
      </c>
      <c r="N5" t="s" s="36">
        <v>18</v>
      </c>
      <c r="O5" s="13"/>
      <c r="P5" t="s" s="37">
        <v>19</v>
      </c>
      <c r="Q5" s="38">
        <v>1</v>
      </c>
      <c r="R5" s="38"/>
      <c r="S5" s="38">
        <v>3</v>
      </c>
      <c r="T5" s="38">
        <v>2</v>
      </c>
      <c r="U5" s="39">
        <f>IF(OR(OR(Q5="",S5=""),T5=""),"",(DATE(Schedule!$B$6,Q5,1)+(S5-1)*7)+T5-WEEKDAY(DATE(Schedule!$B$6,Q5,1))+IF(T5&lt;WEEKDAY(DATE(Schedule!$B$6,Q5,1)),7,0))</f>
        <v>44942</v>
      </c>
      <c r="V5" t="s" s="40">
        <v>20</v>
      </c>
      <c r="W5" s="13"/>
      <c r="X5" s="13"/>
    </row>
    <row r="6" ht="15.00" customHeight="true">
      <c r="A6" s="13"/>
      <c r="B6" s="13"/>
      <c r="C6" t="s" s="41">
        <v>21</v>
      </c>
      <c r="D6" t="s" s="42">
        <v>22</v>
      </c>
      <c r="E6" s="13"/>
      <c r="F6" t="s" s="43">
        <v>23</v>
      </c>
      <c r="G6" s="44"/>
      <c r="H6" s="13"/>
      <c r="I6" t="s" s="45">
        <v>24</v>
      </c>
      <c r="J6" s="13"/>
      <c r="K6" s="13"/>
      <c r="L6" s="13"/>
      <c r="M6" s="46">
        <v>0.25</v>
      </c>
      <c r="N6" s="47">
        <v>0.010416666666666666</v>
      </c>
      <c r="O6" s="13"/>
      <c r="P6" t="s" s="37">
        <v>25</v>
      </c>
      <c r="Q6" s="38">
        <v>2</v>
      </c>
      <c r="R6" s="48"/>
      <c r="S6" s="38">
        <v>3</v>
      </c>
      <c r="T6" s="38">
        <v>2</v>
      </c>
      <c r="U6" s="39">
        <f>IF(OR(OR(Q6="",S6=""),T6=""),"",(DATE(Schedule!$B$6,Q6,1)+(S6-1)*7)+T6-WEEKDAY(DATE(Schedule!$B$6,Q6,1))+IF(T6&lt;WEEKDAY(DATE(Schedule!$B$6,Q6,1)),7,0))</f>
        <v>44977</v>
      </c>
      <c r="V6" t="s" s="40">
        <v>26</v>
      </c>
      <c r="W6" s="13"/>
      <c r="X6" s="13"/>
    </row>
    <row r="7" ht="15.00" customHeight="true">
      <c r="A7" s="13"/>
      <c r="B7" s="13"/>
      <c r="C7" t="s" s="49">
        <v>27</v>
      </c>
      <c r="D7" t="s" s="50">
        <v>22</v>
      </c>
      <c r="E7" s="13"/>
      <c r="F7" t="s" s="51">
        <v>28</v>
      </c>
      <c r="G7" s="52"/>
      <c r="H7" s="13"/>
      <c r="I7" t="s" s="53">
        <v>29</v>
      </c>
      <c r="J7" s="13"/>
      <c r="K7" s="13"/>
      <c r="L7" s="13"/>
      <c r="M7" s="54">
        <f ref="M7:M38" t="shared" si="1">M6+0.0104166666666667</f>
        <v>0.2604166666666667</v>
      </c>
      <c r="N7" s="55">
        <v>0.020833333333333332</v>
      </c>
      <c r="O7" s="13"/>
      <c r="P7" t="s" s="37">
        <v>30</v>
      </c>
      <c r="Q7" s="38">
        <v>5</v>
      </c>
      <c r="R7" s="48"/>
      <c r="S7" s="38">
        <v>2</v>
      </c>
      <c r="T7" s="38">
        <v>1</v>
      </c>
      <c r="U7" s="39">
        <f>IF(OR(OR(Q7="",S7=""),T7=""),"",(DATE(Schedule!$B$6,Q7,1)+(S7-1)*7)+T7-WEEKDAY(DATE(Schedule!$B$6,Q7,1))+IF(T7&lt;WEEKDAY(DATE(Schedule!$B$6,Q7,1)),7,0))</f>
        <v>45060</v>
      </c>
      <c r="V7" t="s" s="56">
        <v>31</v>
      </c>
      <c r="W7" s="13"/>
      <c r="X7" s="13"/>
    </row>
    <row r="8" ht="15.00" customHeight="true">
      <c r="A8" s="13"/>
      <c r="B8" s="13"/>
      <c r="C8" t="s" s="57">
        <v>32</v>
      </c>
      <c r="D8" t="s" s="42">
        <v>22</v>
      </c>
      <c r="E8" s="13"/>
      <c r="F8" t="s" s="51">
        <v>33</v>
      </c>
      <c r="G8" s="58"/>
      <c r="H8" s="13"/>
      <c r="I8" s="59"/>
      <c r="J8" s="13"/>
      <c r="K8" s="13"/>
      <c r="L8" s="13"/>
      <c r="M8" s="54">
        <f t="shared" si="1"/>
        <v>0.2708333333333334</v>
      </c>
      <c r="N8" s="55">
        <v>0.03125</v>
      </c>
      <c r="O8" s="13"/>
      <c r="P8" t="s" s="37">
        <v>34</v>
      </c>
      <c r="Q8" s="38">
        <v>5</v>
      </c>
      <c r="R8" s="48"/>
      <c r="S8" s="38">
        <v>3</v>
      </c>
      <c r="T8" s="38">
        <v>7</v>
      </c>
      <c r="U8" s="39">
        <f>IF(OR(OR(Q8="",S8=""),T8=""),"",(DATE(Schedule!$B$6,Q8,1)+(S8-1)*7)+T8-WEEKDAY(DATE(Schedule!$B$6,Q8,1))+IF(T8&lt;WEEKDAY(DATE(Schedule!$B$6,Q8,1)),7,0))</f>
        <v>45066</v>
      </c>
      <c r="V8" t="s" s="56">
        <v>35</v>
      </c>
      <c r="W8" s="13"/>
      <c r="X8" s="13"/>
    </row>
    <row r="9" ht="15.00" customHeight="true">
      <c r="A9" s="13"/>
      <c r="B9" s="13"/>
      <c r="C9" t="s" s="49">
        <v>36</v>
      </c>
      <c r="D9" t="s" s="50">
        <v>22</v>
      </c>
      <c r="E9" s="13"/>
      <c r="F9" t="s" s="51">
        <v>37</v>
      </c>
      <c r="G9" s="60"/>
      <c r="H9" s="13"/>
      <c r="I9" s="61"/>
      <c r="J9" s="13"/>
      <c r="K9" s="13"/>
      <c r="L9" s="62"/>
      <c r="M9" s="54">
        <f t="shared" si="1"/>
        <v>0.2812500000000001</v>
      </c>
      <c r="N9" s="55">
        <v>0.0416666666666667</v>
      </c>
      <c r="O9" s="13"/>
      <c r="P9" t="s" s="37">
        <v>38</v>
      </c>
      <c r="Q9" s="38">
        <v>6</v>
      </c>
      <c r="R9" s="48"/>
      <c r="S9" s="38">
        <v>3</v>
      </c>
      <c r="T9" s="38">
        <v>1</v>
      </c>
      <c r="U9" s="39">
        <f>IF(OR(OR(Q9="",S9=""),T9=""),"",(DATE(Schedule!$B$6,Q9,1)+(S9-1)*7)+T9-WEEKDAY(DATE(Schedule!$B$6,Q9,1))+IF(T9&lt;WEEKDAY(DATE(Schedule!$B$6,Q9,1)),7,0))</f>
        <v>45095</v>
      </c>
      <c r="V9" t="s" s="56">
        <v>39</v>
      </c>
      <c r="W9" s="13"/>
      <c r="X9" s="13"/>
    </row>
    <row r="10" ht="15.00" customHeight="true">
      <c r="A10" s="13"/>
      <c r="B10" s="13"/>
      <c r="C10" t="s" s="57">
        <v>40</v>
      </c>
      <c r="D10" t="s" s="42">
        <v>22</v>
      </c>
      <c r="E10" s="13"/>
      <c r="F10" t="s" s="51">
        <v>41</v>
      </c>
      <c r="G10" s="63"/>
      <c r="H10" s="13"/>
      <c r="I10" s="59"/>
      <c r="J10" s="13"/>
      <c r="K10" s="13"/>
      <c r="L10" s="13"/>
      <c r="M10" s="54">
        <f t="shared" si="1"/>
        <v>0.2916666666666668</v>
      </c>
      <c r="N10" s="55">
        <v>0.0520833333333334</v>
      </c>
      <c r="O10" s="13"/>
      <c r="P10" t="s" s="37">
        <v>42</v>
      </c>
      <c r="Q10" s="38">
        <v>6</v>
      </c>
      <c r="R10" s="48"/>
      <c r="S10" s="38">
        <v>0</v>
      </c>
      <c r="T10" s="38">
        <v>2</v>
      </c>
      <c r="U10" s="39">
        <f>IF(OR(OR(Q10="",S10=""),T10=""),"",(DATE(Schedule!$B$6,Q10,1)+(S10-1)*7)+T10-WEEKDAY(DATE(Schedule!$B$6,Q10,1))+IF(T10&lt;WEEKDAY(DATE(Schedule!$B$6,Q10,1)),7,0))</f>
        <v>45075</v>
      </c>
      <c r="V10" t="s" s="40">
        <v>43</v>
      </c>
      <c r="W10" s="13"/>
      <c r="X10" s="13"/>
    </row>
    <row r="11" ht="15.00" customHeight="true">
      <c r="A11" s="13"/>
      <c r="B11" s="13"/>
      <c r="C11" t="s" s="49">
        <v>44</v>
      </c>
      <c r="D11" t="s" s="50">
        <v>22</v>
      </c>
      <c r="E11" s="13"/>
      <c r="F11" t="s" s="51">
        <v>45</v>
      </c>
      <c r="G11" s="64"/>
      <c r="H11" s="13"/>
      <c r="I11" s="61"/>
      <c r="J11" s="13"/>
      <c r="K11" s="13"/>
      <c r="L11" s="13"/>
      <c r="M11" s="54">
        <f t="shared" si="1"/>
        <v>0.3020833333333335</v>
      </c>
      <c r="N11" s="55">
        <v>0.0625</v>
      </c>
      <c r="O11" s="13"/>
      <c r="P11" t="s" s="37">
        <v>46</v>
      </c>
      <c r="Q11" s="38">
        <v>9</v>
      </c>
      <c r="R11" s="48"/>
      <c r="S11" s="38">
        <v>1</v>
      </c>
      <c r="T11" s="38">
        <v>2</v>
      </c>
      <c r="U11" s="39">
        <f>IF(OR(OR(Q11="",S11=""),T11=""),"",(DATE(Schedule!$B$6,Q11,1)+(S11-1)*7)+T11-WEEKDAY(DATE(Schedule!$B$6,Q11,1))+IF(T11&lt;WEEKDAY(DATE(Schedule!$B$6,Q11,1)),7,0))</f>
        <v>45173</v>
      </c>
      <c r="V11" t="s" s="56">
        <v>47</v>
      </c>
      <c r="W11" s="13"/>
      <c r="X11" s="13"/>
    </row>
    <row r="12" ht="15.00" customHeight="true">
      <c r="A12" s="13"/>
      <c r="B12" s="13"/>
      <c r="C12" t="s" s="65">
        <v>48</v>
      </c>
      <c r="D12" t="s" s="66">
        <v>22</v>
      </c>
      <c r="E12" s="13"/>
      <c r="F12" s="67"/>
      <c r="G12" s="68"/>
      <c r="H12" s="13"/>
      <c r="I12" s="69"/>
      <c r="J12" s="13"/>
      <c r="K12" s="13"/>
      <c r="L12" s="13"/>
      <c r="M12" s="54">
        <f t="shared" si="1"/>
        <v>0.3125000000000002</v>
      </c>
      <c r="N12" s="55">
        <v>0.0729166666666667</v>
      </c>
      <c r="O12" s="13"/>
      <c r="P12" t="s" s="37">
        <v>49</v>
      </c>
      <c r="Q12" s="38">
        <v>10</v>
      </c>
      <c r="R12" s="38"/>
      <c r="S12" s="38">
        <v>2</v>
      </c>
      <c r="T12" s="38">
        <v>2</v>
      </c>
      <c r="U12" s="39">
        <f>IF(OR(OR(Q12="",S12=""),T12=""),"",(DATE(Schedule!$B$6,Q12,1)+(S12-1)*7)+T12-WEEKDAY(DATE(Schedule!$B$6,Q12,1))+IF(T12&lt;WEEKDAY(DATE(Schedule!$B$6,Q12,1)),7,0))</f>
        <v>45208</v>
      </c>
      <c r="V12" t="s" s="56">
        <v>50</v>
      </c>
      <c r="W12" s="13"/>
      <c r="X12" s="13"/>
    </row>
    <row r="13" ht="15.00" customHeight="true">
      <c r="A13" s="13"/>
      <c r="B13" s="13"/>
      <c r="C13" s="14"/>
      <c r="D13" s="14"/>
      <c r="E13" s="13"/>
      <c r="F13" s="13"/>
      <c r="G13" s="13"/>
      <c r="H13" s="13"/>
      <c r="I13" s="13"/>
      <c r="J13" s="13"/>
      <c r="K13" s="13"/>
      <c r="L13" s="13"/>
      <c r="M13" s="54">
        <f t="shared" si="1"/>
        <v>0.3229166666666669</v>
      </c>
      <c r="N13" s="55">
        <v>0.0833333333333334</v>
      </c>
      <c r="O13" s="13"/>
      <c r="P13" t="s" s="37">
        <v>51</v>
      </c>
      <c r="Q13" s="38">
        <v>11</v>
      </c>
      <c r="R13" s="48"/>
      <c r="S13" s="38">
        <v>4</v>
      </c>
      <c r="T13" s="38">
        <v>5</v>
      </c>
      <c r="U13" s="39">
        <f>IF(OR(OR(Q13="",S13=""),T13=""),"",(DATE(Schedule!$B$6,Q13,1)+(S13-1)*7)+T13-WEEKDAY(DATE(Schedule!$B$6,Q13,1))+IF(T13&lt;WEEKDAY(DATE(Schedule!$B$6,Q13,1)),7,0))</f>
        <v>45253</v>
      </c>
      <c r="V13" t="s" s="56">
        <v>52</v>
      </c>
      <c r="W13" s="13"/>
      <c r="X13" s="13"/>
    </row>
    <row r="14" ht="15.00" customHeight="true">
      <c r="A14" s="13"/>
      <c r="B14" s="13"/>
      <c r="C14" s="14"/>
      <c r="D14" s="14"/>
      <c r="E14" s="13"/>
      <c r="F14" s="13"/>
      <c r="G14" s="13"/>
      <c r="H14" s="13"/>
      <c r="I14" s="13"/>
      <c r="J14" s="13"/>
      <c r="K14" s="13"/>
      <c r="L14" s="13"/>
      <c r="M14" s="54">
        <f t="shared" si="1"/>
        <v>0.3333333333333336</v>
      </c>
      <c r="N14" s="55">
        <v>0.09375</v>
      </c>
      <c r="O14" s="13"/>
      <c r="P14" t="s" s="37">
        <v>53</v>
      </c>
      <c r="Q14" s="38">
        <v>4</v>
      </c>
      <c r="R14" s="38"/>
      <c r="S14" s="38"/>
      <c r="T14" s="38"/>
      <c r="U14" s="39">
        <f>IF(WEEKDAY(DATE(Schedule!$B$6,4,16),16)&lt;=2,DATE(Schedule!$B$6,4,18),IF(WEEKDAY(DATE(Schedule!$B$6,4,16),1)=2,DATE(Schedule!$B$6,4,17),DATE(Schedule!$B$6,4,15)))</f>
        <v>45034</v>
      </c>
      <c r="V14" t="s" s="40">
        <v>54</v>
      </c>
      <c r="W14" s="13"/>
      <c r="X14" s="13"/>
    </row>
    <row r="15" ht="15.00" customHeight="true">
      <c r="A15" s="13"/>
      <c r="B15" s="13"/>
      <c r="C15" s="14"/>
      <c r="D15" s="14"/>
      <c r="E15" s="13"/>
      <c r="F15" s="13"/>
      <c r="G15" t="s" s="70">
        <v>55</v>
      </c>
      <c r="H15" s="71"/>
      <c r="I15" s="72"/>
      <c r="J15" s="13"/>
      <c r="K15" s="13"/>
      <c r="L15" s="13"/>
      <c r="M15" s="54">
        <f t="shared" si="1"/>
        <v>0.3437500000000003</v>
      </c>
      <c r="N15" s="55">
        <v>0.104166666666667</v>
      </c>
      <c r="O15" s="13"/>
      <c r="P15" t="s" s="37">
        <v>56</v>
      </c>
      <c r="Q15" s="38">
        <v>4</v>
      </c>
      <c r="R15" s="48"/>
      <c r="S15" s="38"/>
      <c r="T15" s="38">
        <v>1</v>
      </c>
      <c r="U15" s="39">
        <f>IF(Schedule!$B$6,(DATE(Schedule!$B$6,Q15,1)+(1-1)*7)+IF(T15&lt;WEEKDAY(DATE(Schedule!$B$6,Q15,1)),T15+7-WEEKDAY(DATE(Schedule!$B$6,Q15,1)),T15-WEEKDAY(DATE(Schedule!$B$6,Q15,1))),(DATE(Schedule!$B$6,Q15-1,1)+(2-1)*7)+IF(T15&lt;WEEKDAY(DATE(Schedule!$B$6,Q15-1,1)),T15+7-WEEKDAY(DATE(Schedule!$B$6,Q15-1,1)),T15-WEEKDAY(DATE(Schedule!$B$6,Q15-1,1))))</f>
        <v>45018</v>
      </c>
      <c r="V15" t="s" s="56">
        <v>57</v>
      </c>
      <c r="W15" s="13"/>
      <c r="X15" s="13"/>
    </row>
    <row r="16" ht="15.00" customHeight="true">
      <c r="A16" s="13"/>
      <c r="B16" s="13"/>
      <c r="C16" s="14"/>
      <c r="D16" s="14"/>
      <c r="E16" s="13"/>
      <c r="F16" s="13"/>
      <c r="G16" t="s" s="73">
        <v>58</v>
      </c>
      <c r="H16" s="74"/>
      <c r="I16" s="75"/>
      <c r="J16" s="13"/>
      <c r="K16" s="13"/>
      <c r="L16" s="13"/>
      <c r="M16" s="54">
        <f t="shared" si="1"/>
        <v>0.354166666666667</v>
      </c>
      <c r="N16" s="55">
        <v>0.11458333333333399</v>
      </c>
      <c r="O16" s="13"/>
      <c r="P16" t="s" s="37">
        <v>59</v>
      </c>
      <c r="Q16" s="38">
        <v>11</v>
      </c>
      <c r="R16" s="48"/>
      <c r="S16" s="38"/>
      <c r="T16" s="38">
        <v>1</v>
      </c>
      <c r="U16" s="39">
        <f>IF(Schedule!$B$6,(DATE(Schedule!$B$6,Q16,1)+(-1)*7)+IF(T16&lt;WEEKDAY(DATE(Schedule!$B$6,Q16,1)),T16+7-WEEKDAY(DATE(Schedule!$B$6,Q16,1)),T16-WEEKDAY(DATE(Schedule!$B$6,Q16,1))),(DATE(Schedule!$B$6,Q16,1)+(1-1)*7)+IF(T16&lt;WEEKDAY(DATE(Schedule!$B$6,Q16,1)),T16+7-WEEKDAY(DATE(Schedule!$B$6,Q16,1)),T16-WEEKDAY(DATE(Schedule!$B$6,Q16,1))))</f>
        <v>45228</v>
      </c>
      <c r="V16" t="s" s="56">
        <v>60</v>
      </c>
      <c r="W16" s="13"/>
      <c r="X16" s="13"/>
    </row>
    <row r="17" ht="15.00" customHeight="true">
      <c r="A17" s="13"/>
      <c r="B17" s="13"/>
      <c r="C17" s="14"/>
      <c r="D17" s="14"/>
      <c r="E17" s="13"/>
      <c r="F17" s="13"/>
      <c r="G17" t="s" s="76">
        <v>61</v>
      </c>
      <c r="H17" s="77"/>
      <c r="I17" s="78"/>
      <c r="J17" s="13"/>
      <c r="K17" s="13"/>
      <c r="L17" s="13"/>
      <c r="M17" s="54">
        <f t="shared" si="1"/>
        <v>0.3645833333333337</v>
      </c>
      <c r="N17" s="55">
        <v>0.125</v>
      </c>
      <c r="O17" s="13"/>
      <c r="P17" t="s" s="37">
        <v>62</v>
      </c>
      <c r="Q17" s="38">
        <v>9</v>
      </c>
      <c r="R17" s="38"/>
      <c r="S17" s="38"/>
      <c r="T17" s="38">
        <v>7</v>
      </c>
      <c r="U17" s="39">
        <f>U11+6</f>
        <v>45179</v>
      </c>
      <c r="V17" t="s" s="40">
        <v>63</v>
      </c>
      <c r="W17" s="13"/>
      <c r="X17" s="13"/>
    </row>
    <row r="18" ht="15.00" customHeight="true">
      <c r="A18" s="13"/>
      <c r="B18" s="13"/>
      <c r="C18" s="14"/>
      <c r="D18" s="14"/>
      <c r="E18" s="13"/>
      <c r="F18" s="13"/>
      <c r="G18" t="s" s="79">
        <v>64</v>
      </c>
      <c r="H18" t="s" s="80">
        <v>65</v>
      </c>
      <c r="I18" t="s" s="81">
        <v>66</v>
      </c>
      <c r="J18" s="13"/>
      <c r="K18" s="13"/>
      <c r="L18" s="13"/>
      <c r="M18" s="54">
        <f t="shared" si="1"/>
        <v>0.3750000000000004</v>
      </c>
      <c r="N18" s="55">
        <v>0.13541666666666699</v>
      </c>
      <c r="O18" s="13"/>
      <c r="P18" t="s" s="37">
        <v>67</v>
      </c>
      <c r="Q18" s="38">
        <v>4</v>
      </c>
      <c r="R18" s="38"/>
      <c r="S18" s="38"/>
      <c r="T18" s="38">
        <v>4</v>
      </c>
      <c r="U18" s="39">
        <f>IF(WEEKDAY(DATE(Schedule!$B$6,Q18+1,0),1)=7,DATE(Schedule!$B$6,Q18+1,0)-(7-T18),(DATE(Schedule!$B$6,Q18+1,0)-WEEKDAY(DATE(Schedule!$B$6,Q18+1,0),1))-(7-T18))</f>
        <v>45042</v>
      </c>
      <c r="V18" t="s" s="56">
        <v>68</v>
      </c>
      <c r="W18" s="13"/>
      <c r="X18" s="13"/>
    </row>
    <row r="19" ht="15.00" customHeight="true">
      <c r="A19" s="13"/>
      <c r="B19" s="13"/>
      <c r="C19" s="14"/>
      <c r="D19" s="14"/>
      <c r="E19" s="13"/>
      <c r="F19" s="13"/>
      <c r="G19" t="s" s="82">
        <v>69</v>
      </c>
      <c r="H19" s="77"/>
      <c r="I19" s="78"/>
      <c r="J19" s="13"/>
      <c r="K19" s="13"/>
      <c r="L19" s="13"/>
      <c r="M19" s="54">
        <f t="shared" si="1"/>
        <v>0.3854166666666671</v>
      </c>
      <c r="N19" s="55">
        <v>0.14583333333333401</v>
      </c>
      <c r="O19" s="13"/>
      <c r="P19" t="s" s="37">
        <v>70</v>
      </c>
      <c r="Q19" s="38"/>
      <c r="R19" s="38"/>
      <c r="S19" s="38"/>
      <c r="T19" s="38"/>
      <c r="U19" s="39">
        <f>IF(AND(Schedule!$B$6&gt;1900,Schedule!$B$6&lt;2199),ROUND(DATE(Schedule!$B$6,4,1)/7+MOD(19*MOD(Schedule!$B$6,19)-7,30)*0.14,0)*7-6,"")</f>
        <v>45025</v>
      </c>
      <c r="V19" t="s" s="56">
        <v>71</v>
      </c>
      <c r="W19" s="13"/>
      <c r="X19" s="13"/>
    </row>
    <row r="20" ht="15.00" customHeight="true">
      <c r="A20" s="13"/>
      <c r="B20" s="13"/>
      <c r="C20" s="14"/>
      <c r="D20" s="14"/>
      <c r="E20" s="13"/>
      <c r="F20" s="13"/>
      <c r="G20" t="s" s="83">
        <v>72</v>
      </c>
      <c r="H20" s="84"/>
      <c r="I20" s="85"/>
      <c r="J20" s="13"/>
      <c r="K20" s="13"/>
      <c r="L20" s="13"/>
      <c r="M20" s="54">
        <f t="shared" si="1"/>
        <v>0.3958333333333338</v>
      </c>
      <c r="N20" s="55">
        <v>0.15625</v>
      </c>
      <c r="O20" s="13"/>
      <c r="P20" t="s" s="37">
        <v>73</v>
      </c>
      <c r="Q20" s="38">
        <v>1</v>
      </c>
      <c r="R20" s="38">
        <v>1</v>
      </c>
      <c r="S20" s="38"/>
      <c r="T20" s="38"/>
      <c r="U20" s="39">
        <f>IF(Q20&lt;&gt;"",DATE(Schedule!$B$6,Q20,R20),"")</f>
        <v>44927</v>
      </c>
      <c r="V20" s="86"/>
      <c r="W20" s="13"/>
      <c r="X20" s="13"/>
    </row>
    <row r="21" ht="15.00" customHeight="true">
      <c r="A21" s="13"/>
      <c r="B21" s="13"/>
      <c r="C21" s="14"/>
      <c r="D21" s="14"/>
      <c r="E21" s="13"/>
      <c r="F21" s="13"/>
      <c r="G21" s="13"/>
      <c r="H21" s="13"/>
      <c r="I21" s="13"/>
      <c r="J21" s="13"/>
      <c r="K21" s="13"/>
      <c r="L21" s="13"/>
      <c r="M21" s="54">
        <f t="shared" si="1"/>
        <v>0.4062500000000005</v>
      </c>
      <c r="N21" s="55">
        <v>0.16666666666666699</v>
      </c>
      <c r="O21" s="13"/>
      <c r="P21" t="s" s="37">
        <v>74</v>
      </c>
      <c r="Q21" s="38">
        <v>2</v>
      </c>
      <c r="R21" s="38">
        <v>2</v>
      </c>
      <c r="S21" s="38"/>
      <c r="T21" s="38"/>
      <c r="U21" s="39">
        <f>IF(Q21&lt;&gt;"",DATE(Schedule!$B$6,Q21,R21),"")</f>
        <v>44959</v>
      </c>
      <c r="V21" t="s" s="40">
        <v>75</v>
      </c>
      <c r="W21" s="13"/>
      <c r="X21" s="13"/>
    </row>
    <row r="22" ht="15.00" customHeight="true">
      <c r="A22" s="13"/>
      <c r="B22" s="13"/>
      <c r="C22" s="14"/>
      <c r="D22" s="14"/>
      <c r="E22" s="13"/>
      <c r="F22" s="13"/>
      <c r="G22" s="13"/>
      <c r="H22" s="13"/>
      <c r="I22" s="13"/>
      <c r="J22" s="13"/>
      <c r="K22" s="13"/>
      <c r="L22" s="13"/>
      <c r="M22" s="54">
        <f t="shared" si="1"/>
        <v>0.4166666666666672</v>
      </c>
      <c r="N22" s="55">
        <v>0.17708333333333401</v>
      </c>
      <c r="O22" s="13"/>
      <c r="P22" t="s" s="37">
        <v>76</v>
      </c>
      <c r="Q22" s="38">
        <v>2</v>
      </c>
      <c r="R22" s="38">
        <v>12</v>
      </c>
      <c r="S22" s="38"/>
      <c r="T22" s="38"/>
      <c r="U22" s="39">
        <f>IF(Q22&lt;&gt;"",DATE(Schedule!$B$6,Q22,R22),"")</f>
        <v>44969</v>
      </c>
      <c r="V22" s="86"/>
      <c r="W22" s="13"/>
      <c r="X22" s="13"/>
    </row>
    <row r="23" ht="15.00" customHeight="true">
      <c r="A23" s="13"/>
      <c r="B23" s="13"/>
      <c r="C23" s="14"/>
      <c r="D23" s="14"/>
      <c r="E23" s="13"/>
      <c r="F23" s="13"/>
      <c r="G23" s="13"/>
      <c r="H23" s="13"/>
      <c r="I23" s="13"/>
      <c r="J23" s="13"/>
      <c r="K23" s="13"/>
      <c r="L23" s="13"/>
      <c r="M23" s="54">
        <f t="shared" si="1"/>
        <v>0.4270833333333339</v>
      </c>
      <c r="N23" s="55">
        <v>0.1875</v>
      </c>
      <c r="O23" s="13"/>
      <c r="P23" t="s" s="87">
        <v>77</v>
      </c>
      <c r="Q23" s="38">
        <v>2</v>
      </c>
      <c r="R23" s="38">
        <v>14</v>
      </c>
      <c r="S23" s="38"/>
      <c r="T23" s="38"/>
      <c r="U23" s="39">
        <f>IF(Q23&lt;&gt;"",DATE(Schedule!$B$6,Q23,R23),"")</f>
        <v>44971</v>
      </c>
      <c r="V23" s="86"/>
      <c r="W23" s="13"/>
      <c r="X23" s="13"/>
    </row>
    <row r="24" ht="15.00" customHeight="true">
      <c r="A24" s="13"/>
      <c r="B24" s="13"/>
      <c r="C24" s="14"/>
      <c r="D24" s="14"/>
      <c r="E24" s="13"/>
      <c r="F24" s="13"/>
      <c r="G24" s="13"/>
      <c r="H24" s="13"/>
      <c r="I24" s="13"/>
      <c r="J24" s="13"/>
      <c r="K24" s="13"/>
      <c r="L24" s="13"/>
      <c r="M24" s="54">
        <f t="shared" si="1"/>
        <v>0.4375000000000006</v>
      </c>
      <c r="N24" s="55">
        <v>0.19791666666666699</v>
      </c>
      <c r="O24" s="13"/>
      <c r="P24" t="s" s="37">
        <v>78</v>
      </c>
      <c r="Q24" s="38">
        <v>3</v>
      </c>
      <c r="R24" s="38">
        <v>17</v>
      </c>
      <c r="S24" s="38"/>
      <c r="T24" s="38"/>
      <c r="U24" s="39">
        <f>IF(Q24&lt;&gt;"",DATE(Schedule!$B$6,Q24,R24),"")</f>
        <v>45002</v>
      </c>
      <c r="V24" s="86"/>
      <c r="W24" s="13"/>
      <c r="X24" s="13"/>
    </row>
    <row r="25" ht="15.00" customHeight="true">
      <c r="A25" s="13"/>
      <c r="B25" s="13"/>
      <c r="C25" s="14"/>
      <c r="D25" s="14"/>
      <c r="E25" s="13"/>
      <c r="F25" s="13"/>
      <c r="G25" s="13"/>
      <c r="H25" s="13"/>
      <c r="I25" s="13"/>
      <c r="J25" s="13"/>
      <c r="K25" s="13"/>
      <c r="L25" s="13"/>
      <c r="M25" s="54">
        <f t="shared" si="1"/>
        <v>0.4479166666666673</v>
      </c>
      <c r="N25" s="55">
        <v>0.20833333333333401</v>
      </c>
      <c r="O25" s="13"/>
      <c r="P25" t="s" s="37">
        <v>79</v>
      </c>
      <c r="Q25" s="38">
        <v>4</v>
      </c>
      <c r="R25" s="38">
        <v>1</v>
      </c>
      <c r="S25" s="38"/>
      <c r="T25" s="38"/>
      <c r="U25" s="39">
        <f>IF(Q25&lt;&gt;"",DATE(Schedule!$B$6,Q25,R25),"")</f>
        <v>45017</v>
      </c>
      <c r="V25" t="s" s="40">
        <v>80</v>
      </c>
      <c r="W25" s="13"/>
      <c r="X25" s="13"/>
    </row>
    <row r="26" ht="15.00" customHeight="true">
      <c r="A26" s="13"/>
      <c r="B26" s="13"/>
      <c r="C26" s="14"/>
      <c r="D26" s="14"/>
      <c r="E26" s="13"/>
      <c r="F26" s="13"/>
      <c r="G26" s="13"/>
      <c r="H26" s="13"/>
      <c r="I26" s="13"/>
      <c r="J26" s="13"/>
      <c r="K26" s="13"/>
      <c r="L26" s="13"/>
      <c r="M26" s="54">
        <f t="shared" si="1"/>
        <v>0.458333333333334</v>
      </c>
      <c r="N26" s="55">
        <v>0.21875</v>
      </c>
      <c r="O26" s="13"/>
      <c r="P26" t="s" s="37">
        <v>81</v>
      </c>
      <c r="Q26" s="38">
        <v>4</v>
      </c>
      <c r="R26" s="38">
        <v>22</v>
      </c>
      <c r="S26" s="38"/>
      <c r="T26" s="38"/>
      <c r="U26" s="39">
        <f>IF(Q26&lt;&gt;"",DATE(Schedule!$B$6,Q26,R26),"")</f>
        <v>45038</v>
      </c>
      <c r="V26" s="86"/>
      <c r="W26" s="13"/>
      <c r="X26" s="13"/>
    </row>
    <row r="27" ht="15.00" customHeight="true">
      <c r="A27" s="13"/>
      <c r="B27" s="13"/>
      <c r="C27" s="14"/>
      <c r="D27" s="14"/>
      <c r="E27" s="13"/>
      <c r="F27" s="13"/>
      <c r="G27" s="13"/>
      <c r="H27" s="13"/>
      <c r="I27" s="13"/>
      <c r="J27" s="13"/>
      <c r="K27" s="13"/>
      <c r="L27" s="13"/>
      <c r="M27" s="54">
        <f t="shared" si="1"/>
        <v>0.4687500000000007</v>
      </c>
      <c r="N27" s="55">
        <v>0.22916666666666699</v>
      </c>
      <c r="O27" s="13"/>
      <c r="P27" t="s" s="37">
        <v>82</v>
      </c>
      <c r="Q27" s="38">
        <v>5</v>
      </c>
      <c r="R27" s="38">
        <v>5</v>
      </c>
      <c r="S27" s="38"/>
      <c r="T27" s="38"/>
      <c r="U27" s="39">
        <f>IF(Q27&lt;&gt;"",DATE(Schedule!$B$6,Q27,R27),"")</f>
        <v>45051</v>
      </c>
      <c r="V27" t="s" s="40">
        <v>83</v>
      </c>
      <c r="W27" s="13"/>
      <c r="X27" s="13"/>
    </row>
    <row r="28" ht="15.00" customHeight="true">
      <c r="A28" s="13"/>
      <c r="B28" s="13"/>
      <c r="C28" s="14"/>
      <c r="D28" s="14"/>
      <c r="E28" s="13"/>
      <c r="F28" s="13"/>
      <c r="G28" s="13"/>
      <c r="H28" s="13"/>
      <c r="I28" s="13"/>
      <c r="J28" s="13"/>
      <c r="K28" s="13"/>
      <c r="L28" s="13"/>
      <c r="M28" s="54">
        <f t="shared" si="1"/>
        <v>0.4791666666666674</v>
      </c>
      <c r="N28" s="55">
        <v>0.23958333333333401</v>
      </c>
      <c r="O28" s="13"/>
      <c r="P28" t="s" s="37">
        <v>84</v>
      </c>
      <c r="Q28" s="38">
        <v>6</v>
      </c>
      <c r="R28" s="38">
        <v>14</v>
      </c>
      <c r="S28" s="38"/>
      <c r="T28" s="38"/>
      <c r="U28" s="39">
        <f>IF(Q28&lt;&gt;"",DATE(Schedule!$B$6,Q28,R28),"")</f>
        <v>45091</v>
      </c>
      <c r="V28" s="86"/>
      <c r="W28" s="13"/>
      <c r="X28" s="13"/>
    </row>
    <row r="29" ht="15.00" customHeight="true">
      <c r="A29" s="13"/>
      <c r="B29" s="13"/>
      <c r="C29" s="14"/>
      <c r="D29" s="14"/>
      <c r="E29" s="13"/>
      <c r="F29" s="13"/>
      <c r="G29" s="13"/>
      <c r="H29" s="13"/>
      <c r="I29" s="13"/>
      <c r="J29" s="13"/>
      <c r="K29" s="13"/>
      <c r="L29" s="13"/>
      <c r="M29" s="54">
        <f t="shared" si="1"/>
        <v>0.4895833333333341</v>
      </c>
      <c r="N29" s="55">
        <v>0.25</v>
      </c>
      <c r="O29" s="13"/>
      <c r="P29" t="s" s="37">
        <v>85</v>
      </c>
      <c r="Q29" s="38">
        <v>6</v>
      </c>
      <c r="R29" s="38">
        <v>19</v>
      </c>
      <c r="S29" s="38"/>
      <c r="T29" s="38"/>
      <c r="U29" s="39">
        <f>IF(Q29&lt;&gt;"",DATE(Schedule!$B$6,Q29,R29),"")</f>
        <v>45096</v>
      </c>
      <c r="V29" s="86"/>
      <c r="W29" s="13"/>
      <c r="X29" s="13"/>
    </row>
    <row r="30" ht="15.00" customHeight="true">
      <c r="A30" s="13"/>
      <c r="B30" s="13"/>
      <c r="C30" s="14"/>
      <c r="D30" s="14"/>
      <c r="E30" s="13"/>
      <c r="F30" s="13"/>
      <c r="G30" s="13"/>
      <c r="H30" s="13"/>
      <c r="I30" s="13"/>
      <c r="J30" s="13"/>
      <c r="K30" s="13"/>
      <c r="L30" s="13"/>
      <c r="M30" s="54">
        <f t="shared" si="1"/>
        <v>0.5000000000000008</v>
      </c>
      <c r="N30" s="55">
        <v>0.26041666666666702</v>
      </c>
      <c r="O30" s="13"/>
      <c r="P30" t="s" s="37">
        <v>86</v>
      </c>
      <c r="Q30" s="38">
        <v>7</v>
      </c>
      <c r="R30" s="38">
        <v>4</v>
      </c>
      <c r="S30" s="38"/>
      <c r="T30" s="38"/>
      <c r="U30" s="39">
        <f>IF(Q30&lt;&gt;"",DATE(Schedule!$B$6,Q30,R30),"")</f>
        <v>45111</v>
      </c>
      <c r="V30" t="s" s="40">
        <v>87</v>
      </c>
      <c r="W30" s="13"/>
      <c r="X30" s="13"/>
    </row>
    <row r="31" ht="15.00" customHeight="true">
      <c r="A31" s="13"/>
      <c r="B31" s="13"/>
      <c r="C31" s="14"/>
      <c r="D31" s="14"/>
      <c r="E31" s="13"/>
      <c r="F31" s="13"/>
      <c r="G31" s="13"/>
      <c r="H31" s="13"/>
      <c r="I31" s="13"/>
      <c r="J31" s="13"/>
      <c r="K31" s="13"/>
      <c r="L31" s="13"/>
      <c r="M31" s="54">
        <f t="shared" si="1"/>
        <v>0.5104166666666675</v>
      </c>
      <c r="N31" s="55">
        <v>0.27083333333333398</v>
      </c>
      <c r="O31" s="13"/>
      <c r="P31" t="s" s="37">
        <v>88</v>
      </c>
      <c r="Q31" s="38">
        <v>8</v>
      </c>
      <c r="R31" s="38">
        <v>19</v>
      </c>
      <c r="S31" s="38"/>
      <c r="T31" s="38"/>
      <c r="U31" s="39">
        <f>IF(Q31&lt;&gt;"",DATE(Schedule!$B$6,Q31,R31),"")</f>
        <v>45157</v>
      </c>
      <c r="V31" s="86"/>
      <c r="W31" s="13"/>
      <c r="X31" s="13"/>
    </row>
    <row r="32" ht="15.00" customHeight="true">
      <c r="A32" s="13"/>
      <c r="B32" s="13"/>
      <c r="C32" s="14"/>
      <c r="D32" s="14"/>
      <c r="E32" s="13"/>
      <c r="F32" s="13"/>
      <c r="G32" s="13"/>
      <c r="H32" s="13"/>
      <c r="I32" s="13"/>
      <c r="J32" s="13"/>
      <c r="K32" s="13"/>
      <c r="L32" s="13"/>
      <c r="M32" s="54">
        <f t="shared" si="1"/>
        <v>0.5208333333333341</v>
      </c>
      <c r="N32" s="55">
        <v>0.28125</v>
      </c>
      <c r="O32" s="13"/>
      <c r="P32" t="s" s="37">
        <v>89</v>
      </c>
      <c r="Q32" s="38">
        <v>9</v>
      </c>
      <c r="R32" s="38">
        <v>11</v>
      </c>
      <c r="S32" s="38"/>
      <c r="T32" s="38"/>
      <c r="U32" s="39">
        <f>IF(Q32&lt;&gt;"",DATE(Schedule!$B$6,Q32,R32),"")</f>
        <v>45180</v>
      </c>
      <c r="V32" s="86"/>
      <c r="W32" s="13"/>
      <c r="X32" s="13"/>
    </row>
    <row r="33" ht="15.00" customHeight="true">
      <c r="A33" s="13"/>
      <c r="B33" s="13"/>
      <c r="C33" s="14"/>
      <c r="D33" s="14"/>
      <c r="E33" s="13"/>
      <c r="F33" s="13"/>
      <c r="G33" s="13"/>
      <c r="H33" s="13"/>
      <c r="I33" s="13"/>
      <c r="J33" s="13"/>
      <c r="K33" s="13"/>
      <c r="L33" s="13"/>
      <c r="M33" s="54">
        <f t="shared" si="1"/>
        <v>0.5312500000000008</v>
      </c>
      <c r="N33" s="55">
        <v>0.29166666666666702</v>
      </c>
      <c r="O33" s="13"/>
      <c r="P33" t="s" s="37">
        <v>90</v>
      </c>
      <c r="Q33" s="38">
        <v>9</v>
      </c>
      <c r="R33" s="38">
        <v>17</v>
      </c>
      <c r="S33" s="38"/>
      <c r="T33" s="38"/>
      <c r="U33" s="39">
        <f>IF(Q33&lt;&gt;"",DATE(Schedule!$B$6,Q33,R33),"")</f>
        <v>45186</v>
      </c>
      <c r="V33" s="86"/>
      <c r="W33" s="13"/>
      <c r="X33" s="13"/>
    </row>
    <row r="34" ht="15.00" customHeight="true">
      <c r="A34" s="13"/>
      <c r="B34" s="13"/>
      <c r="C34" s="14"/>
      <c r="D34" s="14"/>
      <c r="E34" s="13"/>
      <c r="F34" s="13"/>
      <c r="G34" s="13"/>
      <c r="H34" s="13"/>
      <c r="I34" s="13"/>
      <c r="J34" s="13"/>
      <c r="K34" s="13"/>
      <c r="L34" s="13"/>
      <c r="M34" s="54">
        <f t="shared" si="1"/>
        <v>0.5416666666666675</v>
      </c>
      <c r="N34" s="55">
        <v>0.30208333333333398</v>
      </c>
      <c r="O34" s="13"/>
      <c r="P34" t="s" s="37">
        <v>91</v>
      </c>
      <c r="Q34" s="38">
        <v>10</v>
      </c>
      <c r="R34" s="38">
        <v>16</v>
      </c>
      <c r="S34" s="38"/>
      <c r="T34" s="38"/>
      <c r="U34" s="39">
        <f>IF(Q34&lt;&gt;"",DATE(Schedule!$B$6,Q34,R34),"")</f>
        <v>45215</v>
      </c>
      <c r="V34" s="86"/>
      <c r="W34" s="13"/>
      <c r="X34" s="13"/>
    </row>
    <row r="35" ht="15.00" customHeight="true">
      <c r="A35" s="13"/>
      <c r="B35" s="13"/>
      <c r="C35" s="14"/>
      <c r="D35" s="14"/>
      <c r="E35" s="13"/>
      <c r="F35" s="13"/>
      <c r="G35" s="13"/>
      <c r="H35" s="13"/>
      <c r="I35" s="13"/>
      <c r="J35" s="13"/>
      <c r="K35" s="13"/>
      <c r="L35" s="13"/>
      <c r="M35" s="54">
        <f t="shared" si="1"/>
        <v>0.5520833333333341</v>
      </c>
      <c r="N35" s="55">
        <v>0.3125</v>
      </c>
      <c r="O35" s="13"/>
      <c r="P35" t="s" s="37">
        <v>92</v>
      </c>
      <c r="Q35" s="38">
        <v>10</v>
      </c>
      <c r="R35" s="38">
        <v>24</v>
      </c>
      <c r="S35" s="38"/>
      <c r="T35" s="38"/>
      <c r="U35" s="39">
        <f>IF(Q35&lt;&gt;"",DATE(Schedule!$B$6,Q35,R35),"")</f>
        <v>45223</v>
      </c>
      <c r="V35" s="86"/>
      <c r="W35" s="13"/>
      <c r="X35" s="13"/>
    </row>
    <row r="36" ht="15.00" customHeight="true">
      <c r="A36" s="13"/>
      <c r="B36" s="13"/>
      <c r="C36" s="14"/>
      <c r="D36" s="14"/>
      <c r="E36" s="13"/>
      <c r="F36" s="13"/>
      <c r="G36" s="13"/>
      <c r="H36" s="13"/>
      <c r="I36" s="13"/>
      <c r="J36" s="13"/>
      <c r="K36" s="13"/>
      <c r="L36" s="13"/>
      <c r="M36" s="54">
        <f t="shared" si="1"/>
        <v>0.5625000000000008</v>
      </c>
      <c r="N36" s="55">
        <v>0.32291666666666702</v>
      </c>
      <c r="O36" s="13"/>
      <c r="P36" t="s" s="37">
        <v>93</v>
      </c>
      <c r="Q36" s="38">
        <v>10</v>
      </c>
      <c r="R36" s="38">
        <v>31</v>
      </c>
      <c r="S36" s="38"/>
      <c r="T36" s="38"/>
      <c r="U36" s="39">
        <f>IF(Q36&lt;&gt;"",DATE(Schedule!$B$6,Q36,R36),"")</f>
        <v>45230</v>
      </c>
      <c r="V36" s="86"/>
      <c r="W36" s="13"/>
      <c r="X36" s="13"/>
    </row>
    <row r="37" ht="15.00" customHeight="true">
      <c r="A37" s="13"/>
      <c r="B37" s="13"/>
      <c r="C37" s="14"/>
      <c r="D37" s="14"/>
      <c r="E37" s="13"/>
      <c r="F37" s="13"/>
      <c r="G37" s="13"/>
      <c r="H37" s="13"/>
      <c r="I37" s="13"/>
      <c r="J37" s="13"/>
      <c r="K37" s="13"/>
      <c r="L37" s="13"/>
      <c r="M37" s="54">
        <f t="shared" si="1"/>
        <v>0.5729166666666675</v>
      </c>
      <c r="N37" s="55">
        <v>0.33333333333333398</v>
      </c>
      <c r="O37" s="13"/>
      <c r="P37" t="s" s="37">
        <v>94</v>
      </c>
      <c r="Q37" s="38">
        <v>11</v>
      </c>
      <c r="R37" s="38">
        <v>11</v>
      </c>
      <c r="S37" s="38"/>
      <c r="T37" s="38"/>
      <c r="U37" s="39">
        <f>IF(Q37&lt;&gt;"",DATE(Schedule!$B$6,Q37,R37),"")</f>
        <v>45241</v>
      </c>
      <c r="V37" s="86"/>
      <c r="W37" s="13"/>
      <c r="X37" s="13"/>
    </row>
    <row r="38" ht="15.00" customHeight="true">
      <c r="A38" s="13"/>
      <c r="B38" s="13"/>
      <c r="C38" s="14"/>
      <c r="D38" s="14"/>
      <c r="E38" s="13"/>
      <c r="F38" s="13"/>
      <c r="G38" s="13"/>
      <c r="H38" s="13"/>
      <c r="I38" s="13"/>
      <c r="J38" s="13"/>
      <c r="K38" s="13"/>
      <c r="L38" s="13"/>
      <c r="M38" s="54">
        <f t="shared" si="1"/>
        <v>0.5833333333333341</v>
      </c>
      <c r="N38" s="55">
        <v>0.34375</v>
      </c>
      <c r="O38" s="13"/>
      <c r="P38" t="s" s="37">
        <v>95</v>
      </c>
      <c r="Q38" s="38">
        <v>12</v>
      </c>
      <c r="R38" s="38">
        <v>7</v>
      </c>
      <c r="S38" s="38"/>
      <c r="T38" s="38"/>
      <c r="U38" s="39">
        <f>IF(Q38&lt;&gt;"",DATE(Schedule!$B$6,Q38,R38),"")</f>
        <v>45267</v>
      </c>
      <c r="V38" s="86"/>
      <c r="W38" s="13"/>
      <c r="X38" s="13"/>
    </row>
    <row r="39" ht="15.00" customHeight="true">
      <c r="A39" s="13"/>
      <c r="B39" s="13"/>
      <c r="C39" s="14"/>
      <c r="D39" s="14"/>
      <c r="E39" s="13"/>
      <c r="F39" s="13"/>
      <c r="G39" s="13"/>
      <c r="H39" s="13"/>
      <c r="I39" s="13"/>
      <c r="J39" s="13"/>
      <c r="K39" s="13"/>
      <c r="L39" s="13"/>
      <c r="M39" s="54">
        <f ref="M39:M74" t="shared" si="0">M38+0.0104166666666667</f>
        <v>0.5937500000000008</v>
      </c>
      <c r="N39" s="55">
        <v>0.35416666666666702</v>
      </c>
      <c r="O39" s="13"/>
      <c r="P39" t="s" s="37">
        <v>96</v>
      </c>
      <c r="Q39" s="38">
        <v>12</v>
      </c>
      <c r="R39" s="38">
        <v>24</v>
      </c>
      <c r="S39" s="38"/>
      <c r="T39" s="38"/>
      <c r="U39" s="39">
        <f>IF(Q39&lt;&gt;"",DATE(Schedule!$B$6,Q39,R39),"")</f>
        <v>45284</v>
      </c>
      <c r="V39" s="86"/>
      <c r="W39" s="13"/>
      <c r="X39" s="13"/>
    </row>
    <row r="40" ht="15.00" customHeight="true">
      <c r="A40" s="13"/>
      <c r="B40" s="13"/>
      <c r="C40" s="14"/>
      <c r="D40" s="14"/>
      <c r="E40" s="13"/>
      <c r="F40" s="13"/>
      <c r="G40" s="13"/>
      <c r="H40" s="13"/>
      <c r="I40" s="13"/>
      <c r="J40" s="13"/>
      <c r="K40" s="13"/>
      <c r="L40" s="13"/>
      <c r="M40" s="54">
        <f t="shared" si="0"/>
        <v>0.6041666666666675</v>
      </c>
      <c r="N40" s="55">
        <v>0.36458333333333398</v>
      </c>
      <c r="O40" s="13"/>
      <c r="P40" t="s" s="37">
        <v>97</v>
      </c>
      <c r="Q40" s="38">
        <v>12</v>
      </c>
      <c r="R40" s="38">
        <v>25</v>
      </c>
      <c r="S40" s="38"/>
      <c r="T40" s="38"/>
      <c r="U40" s="39">
        <f>IF(Q40&lt;&gt;"",DATE(Schedule!$B$6,Q40,R40),"")</f>
        <v>45285</v>
      </c>
      <c r="V40" s="86"/>
      <c r="W40" s="13"/>
      <c r="X40" s="13"/>
    </row>
    <row r="41" ht="15.00" customHeight="true">
      <c r="A41" s="13"/>
      <c r="B41" s="13"/>
      <c r="C41" s="14"/>
      <c r="D41" s="14"/>
      <c r="E41" s="13"/>
      <c r="F41" s="13"/>
      <c r="G41" s="13"/>
      <c r="H41" s="13"/>
      <c r="I41" s="13"/>
      <c r="J41" s="13"/>
      <c r="K41" s="13"/>
      <c r="L41" s="13"/>
      <c r="M41" s="54">
        <f t="shared" si="0"/>
        <v>0.6145833333333341</v>
      </c>
      <c r="N41" s="55">
        <v>0.375000000000001</v>
      </c>
      <c r="O41" s="13"/>
      <c r="P41" t="s" s="37">
        <v>98</v>
      </c>
      <c r="Q41" s="38">
        <v>12</v>
      </c>
      <c r="R41" s="38">
        <v>26</v>
      </c>
      <c r="S41" s="48"/>
      <c r="T41" s="48"/>
      <c r="U41" s="39">
        <f>IF(Q41&lt;&gt;"",DATE(Schedule!$B$6,Q41,R41),"")</f>
        <v>45286</v>
      </c>
      <c r="V41" s="86"/>
      <c r="W41" s="13"/>
      <c r="X41" s="13"/>
    </row>
    <row r="42" ht="15.00" customHeight="true">
      <c r="A42" s="13"/>
      <c r="B42" s="13"/>
      <c r="C42" s="14"/>
      <c r="D42" s="14"/>
      <c r="E42" s="13"/>
      <c r="F42" s="13"/>
      <c r="G42" s="13"/>
      <c r="H42" s="13"/>
      <c r="I42" s="13"/>
      <c r="J42" s="13"/>
      <c r="K42" s="13"/>
      <c r="L42" s="13"/>
      <c r="M42" s="54">
        <f t="shared" si="0"/>
        <v>0.6250000000000008</v>
      </c>
      <c r="N42" s="55">
        <v>0.38541666666666802</v>
      </c>
      <c r="O42" s="13"/>
      <c r="P42" t="s" s="37">
        <v>99</v>
      </c>
      <c r="Q42" s="38">
        <v>7</v>
      </c>
      <c r="R42" s="38">
        <v>23</v>
      </c>
      <c r="S42" s="38"/>
      <c r="T42" s="38"/>
      <c r="U42" s="39">
        <f>IF(Q42&lt;&gt;"",DATE(Schedule!$B$6,Q42,R42),"")</f>
        <v>45130</v>
      </c>
      <c r="V42" s="86"/>
      <c r="W42" s="13"/>
      <c r="X42" s="13"/>
    </row>
    <row r="43" ht="15.00" customHeight="true">
      <c r="A43" s="13"/>
      <c r="B43" s="13"/>
      <c r="C43" s="14"/>
      <c r="D43" s="14"/>
      <c r="E43" s="13"/>
      <c r="F43" s="13"/>
      <c r="G43" s="13"/>
      <c r="H43" s="13"/>
      <c r="I43" s="13"/>
      <c r="J43" s="13"/>
      <c r="K43" s="13"/>
      <c r="L43" s="13"/>
      <c r="M43" s="54">
        <f t="shared" si="0"/>
        <v>0.6354166666666675</v>
      </c>
      <c r="N43" s="55">
        <v>0.39583333333333498</v>
      </c>
      <c r="O43" s="13"/>
      <c r="P43" t="s" s="37">
        <v>100</v>
      </c>
      <c r="Q43" s="38">
        <v>11</v>
      </c>
      <c r="R43" s="38">
        <v>14</v>
      </c>
      <c r="S43" s="38"/>
      <c r="T43" s="38"/>
      <c r="U43" s="39">
        <f>IF(Q43&lt;&gt;"",DATE(Schedule!$B$6,Q43,R43),"")</f>
        <v>45244</v>
      </c>
      <c r="V43" s="86"/>
      <c r="W43" s="13"/>
      <c r="X43" s="13"/>
    </row>
    <row r="44" ht="15.00" customHeight="true">
      <c r="A44" s="13"/>
      <c r="B44" s="13"/>
      <c r="C44" s="14"/>
      <c r="D44" s="14"/>
      <c r="E44" s="13"/>
      <c r="F44" s="13"/>
      <c r="G44" s="13"/>
      <c r="H44" s="13"/>
      <c r="I44" s="13"/>
      <c r="J44" s="13"/>
      <c r="K44" s="13"/>
      <c r="L44" s="13"/>
      <c r="M44" s="54">
        <f t="shared" si="0"/>
        <v>0.6458333333333341</v>
      </c>
      <c r="N44" s="55">
        <v>0.406250000000002</v>
      </c>
      <c r="O44" s="13"/>
      <c r="P44" t="s" s="37">
        <v>101</v>
      </c>
      <c r="Q44" s="38">
        <v>9</v>
      </c>
      <c r="R44" s="38">
        <v>13</v>
      </c>
      <c r="S44" s="38"/>
      <c r="T44" s="38"/>
      <c r="U44" s="39">
        <f>IF(Q44&lt;&gt;"",DATE(Schedule!$B$6,Q44,R44),"")</f>
        <v>45182</v>
      </c>
      <c r="V44" s="86"/>
      <c r="W44" s="13"/>
      <c r="X44" s="13"/>
    </row>
    <row r="45" ht="15.00" customHeight="true">
      <c r="A45" s="13"/>
      <c r="B45" s="13"/>
      <c r="C45" s="14"/>
      <c r="D45" s="14"/>
      <c r="E45" s="13"/>
      <c r="F45" s="13"/>
      <c r="G45" s="13"/>
      <c r="H45" s="13"/>
      <c r="I45" s="13"/>
      <c r="J45" s="13"/>
      <c r="K45" s="13"/>
      <c r="L45" s="13"/>
      <c r="M45" s="54">
        <f t="shared" si="0"/>
        <v>0.6562500000000008</v>
      </c>
      <c r="N45" s="55">
        <v>0.41666666666666902</v>
      </c>
      <c r="O45" s="13"/>
      <c r="P45" t="s" s="37">
        <v>102</v>
      </c>
      <c r="Q45" s="38">
        <v>10</v>
      </c>
      <c r="R45" s="38">
        <v>23</v>
      </c>
      <c r="S45" s="38"/>
      <c r="T45" s="38"/>
      <c r="U45" s="39">
        <f>IF(Q45&lt;&gt;"",DATE(Schedule!$B$6,Q45,R45),"")</f>
        <v>45222</v>
      </c>
      <c r="V45" s="86"/>
      <c r="W45" s="13"/>
      <c r="X45" s="13"/>
    </row>
    <row r="46" ht="15.00" customHeight="true">
      <c r="A46" s="13"/>
      <c r="B46" s="13"/>
      <c r="C46" s="14"/>
      <c r="D46" s="14"/>
      <c r="E46" s="13"/>
      <c r="F46" s="13"/>
      <c r="G46" s="13"/>
      <c r="H46" s="13"/>
      <c r="I46" s="13"/>
      <c r="J46" s="13"/>
      <c r="K46" s="13"/>
      <c r="L46" s="13"/>
      <c r="M46" s="54">
        <f t="shared" si="0"/>
        <v>0.6666666666666675</v>
      </c>
      <c r="N46" s="55">
        <v>0.42708333333333598</v>
      </c>
      <c r="O46" s="13"/>
      <c r="P46" t="s" s="37">
        <v>103</v>
      </c>
      <c r="Q46" s="38">
        <v>10</v>
      </c>
      <c r="R46" s="38">
        <v>5</v>
      </c>
      <c r="S46" s="38"/>
      <c r="T46" s="38"/>
      <c r="U46" s="39">
        <f>IF(Q46&lt;&gt;"",DATE(Schedule!$B$6,Q46,R46),"")</f>
        <v>45204</v>
      </c>
      <c r="V46" s="86"/>
      <c r="W46" s="13"/>
      <c r="X46" s="13"/>
    </row>
    <row r="47" ht="15.00" customHeight="true">
      <c r="A47" s="13"/>
      <c r="B47" s="13"/>
      <c r="C47" s="14"/>
      <c r="D47" s="14"/>
      <c r="E47" s="13"/>
      <c r="F47" s="13"/>
      <c r="G47" s="13"/>
      <c r="H47" s="13"/>
      <c r="I47" s="13"/>
      <c r="J47" s="13"/>
      <c r="K47" s="13"/>
      <c r="L47" s="13"/>
      <c r="M47" s="54">
        <f t="shared" si="0"/>
        <v>0.6770833333333341</v>
      </c>
      <c r="N47" s="55">
        <v>0.437500000000003</v>
      </c>
      <c r="O47" s="13"/>
      <c r="P47" t="s" s="37">
        <v>104</v>
      </c>
      <c r="Q47" s="38">
        <v>2</v>
      </c>
      <c r="R47" s="38">
        <v>5</v>
      </c>
      <c r="S47" s="38"/>
      <c r="T47" s="38"/>
      <c r="U47" s="39">
        <f>IF(Q47&lt;&gt;"",DATE(Schedule!$B$6,Q47,R47),"")</f>
        <v>44962</v>
      </c>
      <c r="V47" s="86"/>
      <c r="W47" s="13"/>
      <c r="X47" s="13"/>
    </row>
    <row r="48" ht="15.00" customHeight="true">
      <c r="A48" s="13"/>
      <c r="B48" s="13"/>
      <c r="C48" s="14"/>
      <c r="D48" s="14"/>
      <c r="E48" s="13"/>
      <c r="F48" s="13"/>
      <c r="G48" s="13"/>
      <c r="H48" s="13"/>
      <c r="I48" s="13"/>
      <c r="J48" s="13"/>
      <c r="K48" s="13"/>
      <c r="L48" s="13"/>
      <c r="M48" s="54">
        <f t="shared" si="0"/>
        <v>0.6875000000000008</v>
      </c>
      <c r="N48" s="55">
        <v>0.44791666666667002</v>
      </c>
      <c r="O48" s="13"/>
      <c r="P48" t="s" s="37">
        <v>105</v>
      </c>
      <c r="Q48" s="38">
        <v>3</v>
      </c>
      <c r="R48" s="38">
        <v>26</v>
      </c>
      <c r="S48" s="38"/>
      <c r="T48" s="38"/>
      <c r="U48" s="39">
        <f>IF(Q48&lt;&gt;"",DATE(Schedule!$B$6,Q48,R48),"")</f>
        <v>45011</v>
      </c>
      <c r="V48" s="86"/>
      <c r="W48" s="13"/>
      <c r="X48" s="13"/>
    </row>
    <row r="49" ht="15.00" customHeight="true">
      <c r="A49" s="13"/>
      <c r="B49" s="13"/>
      <c r="C49" s="14"/>
      <c r="D49" s="14"/>
      <c r="E49" s="13"/>
      <c r="F49" s="13"/>
      <c r="G49" s="13"/>
      <c r="H49" s="13"/>
      <c r="I49" s="13"/>
      <c r="J49" s="13"/>
      <c r="K49" s="13"/>
      <c r="L49" s="13"/>
      <c r="M49" s="54">
        <f t="shared" si="0"/>
        <v>0.6979166666666675</v>
      </c>
      <c r="N49" s="55">
        <v>0.45833333333333698</v>
      </c>
      <c r="O49" s="13"/>
      <c r="P49" t="s" s="37">
        <v>106</v>
      </c>
      <c r="Q49" s="38">
        <v>4</v>
      </c>
      <c r="R49" s="38">
        <v>1</v>
      </c>
      <c r="S49" s="38"/>
      <c r="T49" s="38"/>
      <c r="U49" s="39">
        <f>IF(Q49&lt;&gt;"",DATE(Schedule!$B$6,Q49,R49),"")</f>
        <v>45017</v>
      </c>
      <c r="V49" s="86"/>
      <c r="W49" s="13"/>
      <c r="X49" s="13"/>
    </row>
    <row r="50" ht="15.00" customHeight="true">
      <c r="A50" s="13"/>
      <c r="B50" s="13"/>
      <c r="C50" s="14"/>
      <c r="D50" s="14"/>
      <c r="E50" s="13"/>
      <c r="F50" s="13"/>
      <c r="G50" s="13"/>
      <c r="H50" s="13"/>
      <c r="I50" s="13"/>
      <c r="J50" s="13"/>
      <c r="K50" s="13"/>
      <c r="L50" s="13"/>
      <c r="M50" s="54">
        <f t="shared" si="0"/>
        <v>0.7083333333333341</v>
      </c>
      <c r="N50" s="55">
        <v>0.468750000000004</v>
      </c>
      <c r="O50" s="13"/>
      <c r="P50" s="88"/>
      <c r="Q50" s="38"/>
      <c r="R50" s="38"/>
      <c r="S50" s="38"/>
      <c r="T50" s="38"/>
      <c r="U50" s="39" t="s">
        <f>IF(Q50&lt;&gt;"",DATE(Schedule!$B$6,Q50,R50),"")</f>
      </c>
      <c r="V50" s="86"/>
      <c r="W50" s="13"/>
      <c r="X50" s="13"/>
    </row>
    <row r="51" ht="15.00" customHeight="true">
      <c r="A51" s="13"/>
      <c r="B51" s="13"/>
      <c r="C51" s="14"/>
      <c r="D51" s="14"/>
      <c r="E51" s="13"/>
      <c r="F51" s="13"/>
      <c r="G51" s="13"/>
      <c r="H51" s="13"/>
      <c r="I51" s="13"/>
      <c r="J51" s="13"/>
      <c r="K51" s="13"/>
      <c r="L51" s="13"/>
      <c r="M51" s="54">
        <f t="shared" si="0"/>
        <v>0.7187500000000008</v>
      </c>
      <c r="N51" s="55">
        <v>0.47916666666667102</v>
      </c>
      <c r="O51" s="13"/>
      <c r="P51" s="88"/>
      <c r="Q51" s="38"/>
      <c r="R51" s="38"/>
      <c r="S51" s="38"/>
      <c r="T51" s="38"/>
      <c r="U51" s="39" t="s">
        <f>IF(Q51&lt;&gt;"",DATE(Schedule!$B$6,Q51,R51),"")</f>
      </c>
      <c r="V51" s="86"/>
      <c r="W51" s="13"/>
      <c r="X51" s="13"/>
    </row>
    <row r="52" ht="15.00" customHeight="true">
      <c r="A52" s="13"/>
      <c r="B52" s="13"/>
      <c r="C52" s="14"/>
      <c r="D52" s="14"/>
      <c r="E52" s="13"/>
      <c r="F52" s="13"/>
      <c r="G52" s="13"/>
      <c r="H52" s="13"/>
      <c r="I52" s="13"/>
      <c r="J52" s="13"/>
      <c r="K52" s="13"/>
      <c r="L52" s="13"/>
      <c r="M52" s="54">
        <f t="shared" si="0"/>
        <v>0.7291666666666675</v>
      </c>
      <c r="N52" s="55">
        <v>0.48958333333333798</v>
      </c>
      <c r="O52" s="13"/>
      <c r="P52" s="88"/>
      <c r="Q52" s="38"/>
      <c r="R52" s="38"/>
      <c r="S52" s="38"/>
      <c r="T52" s="38"/>
      <c r="U52" s="39" t="s">
        <f>IF(Q52&lt;&gt;"",DATE(Schedule!$B$6,Q52,R52),"")</f>
      </c>
      <c r="V52" s="86"/>
      <c r="W52" s="13"/>
      <c r="X52" s="13"/>
    </row>
    <row r="53" ht="15.00" customHeight="true">
      <c r="A53" s="13"/>
      <c r="B53" s="13"/>
      <c r="C53" s="14"/>
      <c r="D53" s="14"/>
      <c r="E53" s="13"/>
      <c r="F53" s="13"/>
      <c r="G53" s="13"/>
      <c r="H53" s="13"/>
      <c r="I53" s="13"/>
      <c r="J53" s="13"/>
      <c r="K53" s="13"/>
      <c r="L53" s="13"/>
      <c r="M53" s="54">
        <f t="shared" si="0"/>
        <v>0.7395833333333341</v>
      </c>
      <c r="N53" s="89">
        <v>0.500000000000005</v>
      </c>
      <c r="O53" s="13"/>
      <c r="P53" s="88"/>
      <c r="Q53" s="38"/>
      <c r="R53" s="38"/>
      <c r="S53" s="38"/>
      <c r="T53" s="38"/>
      <c r="U53" s="39" t="s">
        <f>IF(Q53&lt;&gt;"",DATE(Schedule!$B$6,Q53,R53),"")</f>
      </c>
      <c r="V53" s="86"/>
      <c r="W53" s="13"/>
      <c r="X53" s="13"/>
    </row>
    <row r="54" ht="15.00" customHeight="true">
      <c r="A54" s="13"/>
      <c r="B54" s="13"/>
      <c r="C54" s="14"/>
      <c r="D54" s="14"/>
      <c r="E54" s="13"/>
      <c r="F54" s="13"/>
      <c r="G54" s="13"/>
      <c r="H54" s="13"/>
      <c r="I54" s="13"/>
      <c r="J54" s="13"/>
      <c r="K54" s="13"/>
      <c r="L54" s="13"/>
      <c r="M54" s="54">
        <f t="shared" si="0"/>
        <v>0.7500000000000008</v>
      </c>
      <c r="N54" s="90"/>
      <c r="O54" s="13"/>
      <c r="P54" s="88"/>
      <c r="Q54" s="38"/>
      <c r="R54" s="38"/>
      <c r="S54" s="38"/>
      <c r="T54" s="38"/>
      <c r="U54" s="39" t="s">
        <f>IF(Q54&lt;&gt;"",DATE(Schedule!$B$6,Q54,R54),"")</f>
      </c>
      <c r="V54" s="86"/>
      <c r="W54" s="13"/>
      <c r="X54" s="13"/>
    </row>
    <row r="55" ht="15.00" customHeight="true">
      <c r="A55" s="13"/>
      <c r="B55" s="13"/>
      <c r="C55" s="14"/>
      <c r="D55" s="14"/>
      <c r="E55" s="13"/>
      <c r="F55" s="13"/>
      <c r="G55" s="13"/>
      <c r="H55" s="13"/>
      <c r="I55" s="13"/>
      <c r="J55" s="13"/>
      <c r="K55" s="13"/>
      <c r="L55" s="13"/>
      <c r="M55" s="54">
        <f t="shared" si="0"/>
        <v>0.7604166666666675</v>
      </c>
      <c r="N55" s="90"/>
      <c r="O55" s="13"/>
      <c r="P55" s="88"/>
      <c r="Q55" s="38"/>
      <c r="R55" s="38"/>
      <c r="S55" s="38"/>
      <c r="T55" s="38"/>
      <c r="U55" s="39" t="s">
        <f>IF(Q55&lt;&gt;"",DATE(Schedule!$B$6,Q55,R55),"")</f>
      </c>
      <c r="V55" s="86"/>
      <c r="W55" s="13"/>
      <c r="X55" s="13"/>
    </row>
    <row r="56" ht="15.00" customHeight="true">
      <c r="A56" s="13"/>
      <c r="B56" s="13"/>
      <c r="C56" s="14"/>
      <c r="D56" s="14"/>
      <c r="E56" s="13"/>
      <c r="F56" s="13"/>
      <c r="G56" s="13"/>
      <c r="H56" s="13"/>
      <c r="I56" s="13"/>
      <c r="J56" s="13"/>
      <c r="K56" s="13"/>
      <c r="L56" s="13"/>
      <c r="M56" s="54">
        <f t="shared" si="0"/>
        <v>0.7708333333333341</v>
      </c>
      <c r="N56" s="90"/>
      <c r="O56" s="13"/>
      <c r="P56" s="88"/>
      <c r="Q56" s="38"/>
      <c r="R56" s="38"/>
      <c r="S56" s="38"/>
      <c r="T56" s="38"/>
      <c r="U56" s="39" t="s">
        <f>IF(Q56&lt;&gt;"",DATE(Schedule!$B$6,Q56,R56),"")</f>
      </c>
      <c r="V56" s="86"/>
      <c r="W56" s="13"/>
      <c r="X56" s="13"/>
    </row>
    <row r="57" ht="15.00" customHeight="true">
      <c r="A57" s="13"/>
      <c r="B57" s="13"/>
      <c r="C57" s="14"/>
      <c r="D57" s="14"/>
      <c r="E57" s="13"/>
      <c r="F57" s="13"/>
      <c r="G57" s="13"/>
      <c r="H57" s="13"/>
      <c r="I57" s="13"/>
      <c r="J57" s="13"/>
      <c r="K57" s="13"/>
      <c r="L57" s="13"/>
      <c r="M57" s="54">
        <f t="shared" si="0"/>
        <v>0.7812500000000008</v>
      </c>
      <c r="N57" s="90"/>
      <c r="O57" s="13"/>
      <c r="P57" s="88"/>
      <c r="Q57" s="38"/>
      <c r="R57" s="38"/>
      <c r="S57" s="38"/>
      <c r="T57" s="38"/>
      <c r="U57" s="39" t="s">
        <f>IF(Q57&lt;&gt;"",DATE(Schedule!$B$6,Q57,R57),"")</f>
      </c>
      <c r="V57" s="86"/>
      <c r="W57" s="13"/>
      <c r="X57" s="13"/>
    </row>
    <row r="58" ht="15.00" customHeight="true">
      <c r="A58" s="13"/>
      <c r="B58" s="13"/>
      <c r="C58" s="14"/>
      <c r="D58" s="14"/>
      <c r="E58" s="13"/>
      <c r="F58" s="13"/>
      <c r="G58" s="13"/>
      <c r="H58" s="13"/>
      <c r="I58" s="13"/>
      <c r="J58" s="13"/>
      <c r="K58" s="13"/>
      <c r="L58" s="13"/>
      <c r="M58" s="54">
        <f t="shared" si="0"/>
        <v>0.7916666666666675</v>
      </c>
      <c r="N58" s="90"/>
      <c r="O58" s="13"/>
      <c r="P58" s="88"/>
      <c r="Q58" s="38"/>
      <c r="R58" s="38"/>
      <c r="S58" s="38"/>
      <c r="T58" s="38"/>
      <c r="U58" s="39" t="s">
        <f>IF(Q58&lt;&gt;"",DATE(Schedule!$B$6,Q58,R58),"")</f>
      </c>
      <c r="V58" s="86"/>
      <c r="W58" s="13"/>
      <c r="X58" s="13"/>
    </row>
    <row r="59" ht="15.00" customHeight="true">
      <c r="A59" s="13"/>
      <c r="B59" s="13"/>
      <c r="C59" s="14"/>
      <c r="D59" s="14"/>
      <c r="E59" s="13"/>
      <c r="F59" s="13"/>
      <c r="G59" s="13"/>
      <c r="H59" s="13"/>
      <c r="I59" s="13"/>
      <c r="J59" s="13"/>
      <c r="K59" s="13"/>
      <c r="L59" s="13"/>
      <c r="M59" s="54">
        <f t="shared" si="0"/>
        <v>0.8020833333333341</v>
      </c>
      <c r="N59" s="90"/>
      <c r="O59" s="13"/>
      <c r="P59" s="88"/>
      <c r="Q59" s="38"/>
      <c r="R59" s="38"/>
      <c r="S59" s="38"/>
      <c r="T59" s="38"/>
      <c r="U59" s="39" t="s">
        <f>IF(Q59&lt;&gt;"",DATE(Schedule!$B$6,Q59,R59),"")</f>
      </c>
      <c r="V59" s="86"/>
      <c r="W59" s="13"/>
      <c r="X59" s="13"/>
    </row>
    <row r="60" ht="15.00" customHeight="true">
      <c r="A60" s="13"/>
      <c r="B60" s="13"/>
      <c r="C60" s="14"/>
      <c r="D60" s="14"/>
      <c r="E60" s="13"/>
      <c r="F60" s="13"/>
      <c r="G60" s="13"/>
      <c r="H60" s="13"/>
      <c r="I60" s="13"/>
      <c r="J60" s="13"/>
      <c r="K60" s="13"/>
      <c r="L60" s="13"/>
      <c r="M60" s="54">
        <f t="shared" si="0"/>
        <v>0.8125000000000008</v>
      </c>
      <c r="N60" s="90"/>
      <c r="O60" s="13"/>
      <c r="P60" s="88"/>
      <c r="Q60" s="38"/>
      <c r="R60" s="38"/>
      <c r="S60" s="38"/>
      <c r="T60" s="38"/>
      <c r="U60" s="39" t="s">
        <f>IF(Q60&lt;&gt;"",DATE(Schedule!$B$6,Q60,R60),"")</f>
      </c>
      <c r="V60" s="86"/>
      <c r="W60" s="13"/>
      <c r="X60" s="13"/>
    </row>
    <row r="61" ht="15.00" customHeight="true">
      <c r="A61" s="13"/>
      <c r="B61" s="13"/>
      <c r="C61" s="14"/>
      <c r="D61" s="14"/>
      <c r="E61" s="13"/>
      <c r="F61" s="13"/>
      <c r="G61" s="13"/>
      <c r="H61" s="13"/>
      <c r="I61" s="13"/>
      <c r="J61" s="13"/>
      <c r="K61" s="13"/>
      <c r="L61" s="13"/>
      <c r="M61" s="54">
        <f t="shared" si="0"/>
        <v>0.8229166666666675</v>
      </c>
      <c r="N61" s="90"/>
      <c r="O61" s="13"/>
      <c r="P61" s="88"/>
      <c r="Q61" s="38"/>
      <c r="R61" s="38"/>
      <c r="S61" s="38"/>
      <c r="T61" s="38"/>
      <c r="U61" s="39" t="s">
        <f>IF(Q61&lt;&gt;"",DATE(Schedule!$B$6,Q61,R61),"")</f>
      </c>
      <c r="V61" s="86"/>
      <c r="W61" s="13"/>
      <c r="X61" s="13"/>
    </row>
    <row r="62" ht="15.00" customHeight="true">
      <c r="A62" s="13"/>
      <c r="B62" s="13"/>
      <c r="C62" s="14"/>
      <c r="D62" s="14"/>
      <c r="E62" s="13"/>
      <c r="F62" s="13"/>
      <c r="G62" s="13"/>
      <c r="H62" s="13"/>
      <c r="I62" s="13"/>
      <c r="J62" s="13"/>
      <c r="K62" s="13"/>
      <c r="L62" s="13"/>
      <c r="M62" s="54">
        <f t="shared" si="0"/>
        <v>0.8333333333333341</v>
      </c>
      <c r="N62" s="90"/>
      <c r="O62" s="13"/>
      <c r="P62" s="88"/>
      <c r="Q62" s="38"/>
      <c r="R62" s="38"/>
      <c r="S62" s="38"/>
      <c r="T62" s="38"/>
      <c r="U62" s="39" t="s">
        <f>IF(Q62&lt;&gt;"",DATE(Schedule!$B$6,Q62,R62),"")</f>
      </c>
      <c r="V62" s="86"/>
      <c r="W62" s="13"/>
      <c r="X62" s="13"/>
    </row>
    <row r="63" ht="15.00" customHeight="true">
      <c r="A63" s="13"/>
      <c r="B63" s="13"/>
      <c r="C63" s="14"/>
      <c r="D63" s="14"/>
      <c r="E63" s="13"/>
      <c r="F63" s="13"/>
      <c r="G63" s="13"/>
      <c r="H63" s="13"/>
      <c r="I63" s="13"/>
      <c r="J63" s="13"/>
      <c r="K63" s="13"/>
      <c r="L63" s="13"/>
      <c r="M63" s="54">
        <f t="shared" si="0"/>
        <v>0.8437500000000008</v>
      </c>
      <c r="N63" s="90"/>
      <c r="O63" s="13"/>
      <c r="P63" s="88"/>
      <c r="Q63" s="38"/>
      <c r="R63" s="38"/>
      <c r="S63" s="38"/>
      <c r="T63" s="38"/>
      <c r="U63" s="39" t="s">
        <f>IF(Q63&lt;&gt;"",DATE(Schedule!$B$6,Q63,R63),"")</f>
      </c>
      <c r="V63" s="86"/>
      <c r="W63" s="13"/>
      <c r="X63" s="13"/>
    </row>
    <row r="64" ht="15.00" customHeight="true">
      <c r="A64" s="13"/>
      <c r="B64" s="13"/>
      <c r="C64" s="14"/>
      <c r="D64" s="14"/>
      <c r="E64" s="13"/>
      <c r="F64" s="13"/>
      <c r="G64" s="13"/>
      <c r="H64" s="13"/>
      <c r="I64" s="13"/>
      <c r="J64" s="13"/>
      <c r="K64" s="13"/>
      <c r="L64" s="13"/>
      <c r="M64" s="54">
        <f t="shared" si="0"/>
        <v>0.8541666666666675</v>
      </c>
      <c r="N64" s="90"/>
      <c r="O64" s="13"/>
      <c r="P64" s="88"/>
      <c r="Q64" s="38"/>
      <c r="R64" s="38"/>
      <c r="S64" s="38"/>
      <c r="T64" s="38"/>
      <c r="U64" s="39" t="s">
        <f>IF(Q64&lt;&gt;"",DATE(Schedule!$B$6,Q64,R64),"")</f>
      </c>
      <c r="V64" s="86"/>
      <c r="W64" s="13"/>
      <c r="X64" s="13"/>
    </row>
    <row r="65" ht="15.00" customHeight="true">
      <c r="A65" s="13"/>
      <c r="B65" s="13"/>
      <c r="C65" s="14"/>
      <c r="D65" s="14"/>
      <c r="E65" s="13"/>
      <c r="F65" s="13"/>
      <c r="G65" s="13"/>
      <c r="H65" s="13"/>
      <c r="I65" s="13"/>
      <c r="J65" s="13"/>
      <c r="K65" s="13"/>
      <c r="L65" s="13"/>
      <c r="M65" s="54">
        <f t="shared" si="0"/>
        <v>0.8645833333333341</v>
      </c>
      <c r="N65" s="90"/>
      <c r="O65" s="13"/>
      <c r="P65" s="88"/>
      <c r="Q65" s="38"/>
      <c r="R65" s="38"/>
      <c r="S65" s="38"/>
      <c r="T65" s="38"/>
      <c r="U65" s="39" t="s">
        <f>IF(Q65&lt;&gt;"",DATE(Schedule!$B$6,Q65,R65),"")</f>
      </c>
      <c r="V65" s="86"/>
      <c r="W65" s="13"/>
      <c r="X65" s="13"/>
    </row>
    <row r="66" ht="15.00" customHeight="true">
      <c r="A66" s="13"/>
      <c r="B66" s="13"/>
      <c r="C66" s="14"/>
      <c r="D66" s="14"/>
      <c r="E66" s="13"/>
      <c r="F66" s="13"/>
      <c r="G66" s="13"/>
      <c r="H66" s="13"/>
      <c r="I66" s="13"/>
      <c r="J66" s="13"/>
      <c r="K66" s="13"/>
      <c r="L66" s="13"/>
      <c r="M66" s="54">
        <f t="shared" si="0"/>
        <v>0.8750000000000008</v>
      </c>
      <c r="N66" s="90"/>
      <c r="O66" s="13"/>
      <c r="P66" s="91"/>
      <c r="Q66" s="92"/>
      <c r="R66" s="92"/>
      <c r="S66" s="92"/>
      <c r="T66" s="92"/>
      <c r="U66" s="93" t="s">
        <f>IF(Q66&lt;&gt;"",DATE(Schedule!$B$6,Q66,R66),"")</f>
      </c>
      <c r="V66" s="94"/>
      <c r="W66" s="13"/>
      <c r="X66" s="13"/>
    </row>
    <row r="67" ht="15.00" customHeight="true">
      <c r="A67" s="13"/>
      <c r="B67" s="13"/>
      <c r="C67" s="14"/>
      <c r="D67" s="14"/>
      <c r="E67" s="13"/>
      <c r="F67" s="13"/>
      <c r="G67" s="13"/>
      <c r="H67" s="13"/>
      <c r="I67" s="13"/>
      <c r="J67" s="13"/>
      <c r="K67" s="13"/>
      <c r="L67" s="13"/>
      <c r="M67" s="54">
        <f t="shared" si="0"/>
        <v>0.8854166666666675</v>
      </c>
      <c r="N67" s="90"/>
      <c r="O67" s="13"/>
      <c r="P67" s="15"/>
      <c r="Q67" s="14"/>
      <c r="R67" s="14"/>
      <c r="S67" s="14"/>
      <c r="T67" s="14"/>
      <c r="U67" s="95"/>
      <c r="V67" s="15"/>
      <c r="W67" s="13"/>
      <c r="X67" s="13"/>
    </row>
    <row r="68" ht="15.00" customHeight="true">
      <c r="A68" s="13"/>
      <c r="B68" s="13"/>
      <c r="C68" s="14"/>
      <c r="D68" s="14"/>
      <c r="E68" s="13"/>
      <c r="F68" s="13"/>
      <c r="G68" s="13"/>
      <c r="H68" s="13"/>
      <c r="I68" s="13"/>
      <c r="J68" s="13"/>
      <c r="K68" s="13"/>
      <c r="L68" s="13"/>
      <c r="M68" s="54">
        <f t="shared" si="0"/>
        <v>0.8958333333333341</v>
      </c>
      <c r="N68" s="90"/>
      <c r="O68" s="13"/>
      <c r="P68" s="15"/>
      <c r="Q68" s="14"/>
      <c r="R68" s="14"/>
      <c r="S68" s="14"/>
      <c r="T68" s="14"/>
      <c r="U68" s="95"/>
      <c r="V68" s="15"/>
      <c r="W68" s="13"/>
      <c r="X68" s="13"/>
    </row>
    <row r="69" ht="15.00" customHeight="true">
      <c r="A69" s="13"/>
      <c r="B69" s="13"/>
      <c r="C69" s="14"/>
      <c r="D69" s="14"/>
      <c r="E69" s="13"/>
      <c r="F69" s="13"/>
      <c r="G69" s="13"/>
      <c r="H69" s="13"/>
      <c r="I69" s="13"/>
      <c r="J69" s="13"/>
      <c r="K69" s="13"/>
      <c r="L69" s="13"/>
      <c r="M69" s="54">
        <f t="shared" si="0"/>
        <v>0.9062500000000008</v>
      </c>
      <c r="N69" s="90"/>
      <c r="O69" s="13"/>
      <c r="P69" s="96"/>
      <c r="Q69" s="97"/>
      <c r="R69" s="97"/>
      <c r="S69" s="97"/>
      <c r="T69" s="97"/>
      <c r="U69" s="98"/>
      <c r="V69" s="96"/>
      <c r="W69" s="13"/>
      <c r="X69" s="13"/>
    </row>
    <row r="70" ht="15.00" customHeight="true">
      <c r="A70" s="13"/>
      <c r="B70" s="13"/>
      <c r="C70" s="14"/>
      <c r="D70" s="14"/>
      <c r="E70" s="13"/>
      <c r="F70" s="13"/>
      <c r="G70" s="13"/>
      <c r="H70" s="13"/>
      <c r="I70" s="13"/>
      <c r="J70" s="13"/>
      <c r="K70" s="13"/>
      <c r="L70" s="13"/>
      <c r="M70" s="54">
        <f t="shared" si="0"/>
        <v>0.9166666666666675</v>
      </c>
      <c r="N70" s="90"/>
      <c r="O70" s="13"/>
      <c r="P70" s="96"/>
      <c r="Q70" s="97"/>
      <c r="R70" s="97"/>
      <c r="S70" s="97"/>
      <c r="T70" s="97"/>
      <c r="U70" s="98"/>
      <c r="V70" s="96"/>
      <c r="W70" s="13"/>
      <c r="X70" s="13"/>
    </row>
    <row r="71" ht="15.00" customHeight="true">
      <c r="A71" s="13"/>
      <c r="B71" s="13"/>
      <c r="C71" s="14"/>
      <c r="D71" s="14"/>
      <c r="E71" s="13"/>
      <c r="F71" s="13"/>
      <c r="G71" s="13"/>
      <c r="H71" s="13"/>
      <c r="I71" s="13"/>
      <c r="J71" s="13"/>
      <c r="K71" s="13"/>
      <c r="L71" s="13"/>
      <c r="M71" s="54">
        <f t="shared" si="0"/>
        <v>0.9270833333333341</v>
      </c>
      <c r="N71" s="90"/>
      <c r="O71" s="13"/>
      <c r="P71" s="96"/>
      <c r="Q71" s="97"/>
      <c r="R71" s="97"/>
      <c r="S71" s="97"/>
      <c r="T71" s="97"/>
      <c r="U71" s="98"/>
      <c r="V71" s="96"/>
      <c r="W71" s="13"/>
      <c r="X71" s="13"/>
    </row>
    <row r="72" ht="15.00" customHeight="true">
      <c r="A72" s="13"/>
      <c r="B72" s="13"/>
      <c r="C72" s="14"/>
      <c r="D72" s="14"/>
      <c r="E72" s="13"/>
      <c r="F72" s="13"/>
      <c r="G72" s="13"/>
      <c r="H72" s="13"/>
      <c r="I72" s="13"/>
      <c r="J72" s="13"/>
      <c r="K72" s="13"/>
      <c r="L72" s="13"/>
      <c r="M72" s="54">
        <f t="shared" si="0"/>
        <v>0.9375000000000008</v>
      </c>
      <c r="N72" s="90"/>
      <c r="O72" s="13"/>
      <c r="P72" s="96"/>
      <c r="Q72" s="97"/>
      <c r="R72" s="97"/>
      <c r="S72" s="97"/>
      <c r="T72" s="97"/>
      <c r="U72" s="98"/>
      <c r="V72" s="96"/>
      <c r="W72" s="13"/>
      <c r="X72" s="13"/>
    </row>
    <row r="73" ht="15.00" customHeight="true">
      <c r="A73" s="13"/>
      <c r="B73" s="13"/>
      <c r="C73" s="14"/>
      <c r="D73" s="14"/>
      <c r="E73" s="13"/>
      <c r="F73" s="13"/>
      <c r="G73" s="13"/>
      <c r="H73" s="13"/>
      <c r="I73" s="13"/>
      <c r="J73" s="13"/>
      <c r="K73" s="13"/>
      <c r="L73" s="13"/>
      <c r="M73" s="54">
        <f t="shared" si="0"/>
        <v>0.9479166666666675</v>
      </c>
      <c r="N73" s="90"/>
      <c r="O73" s="13"/>
      <c r="P73" s="96"/>
      <c r="Q73" s="97"/>
      <c r="R73" s="97"/>
      <c r="S73" s="97"/>
      <c r="T73" s="97"/>
      <c r="U73" s="98"/>
      <c r="V73" s="96"/>
      <c r="W73" s="13"/>
      <c r="X73" s="13"/>
    </row>
    <row r="74" ht="15.00" customHeight="true">
      <c r="A74" s="13"/>
      <c r="B74" s="13"/>
      <c r="C74" s="14"/>
      <c r="D74" s="14"/>
      <c r="E74" s="13"/>
      <c r="F74" s="13"/>
      <c r="G74" s="13"/>
      <c r="H74" s="13"/>
      <c r="I74" s="13"/>
      <c r="J74" s="13"/>
      <c r="K74" s="13"/>
      <c r="L74" s="13"/>
      <c r="M74" s="99">
        <f t="shared" si="0"/>
        <v>0.9583333333333341</v>
      </c>
      <c r="N74" s="100"/>
      <c r="O74" s="13"/>
      <c r="P74" s="96"/>
      <c r="Q74" s="97"/>
      <c r="R74" s="97"/>
      <c r="S74" s="97"/>
      <c r="T74" s="97"/>
      <c r="U74" s="98"/>
      <c r="V74" s="96"/>
      <c r="W74" s="13"/>
      <c r="X74" s="13"/>
    </row>
    <row r="75" ht="15.00" customHeight="true">
      <c r="A75" s="13"/>
      <c r="B75" s="13"/>
      <c r="C75" s="14"/>
      <c r="D75" s="14"/>
      <c r="E75" s="13"/>
      <c r="F75" s="13"/>
      <c r="G75" s="13"/>
      <c r="H75" s="13"/>
      <c r="I75" s="13"/>
      <c r="J75" s="13"/>
      <c r="K75" s="13"/>
      <c r="L75" s="13"/>
      <c r="M75" s="14"/>
      <c r="N75" s="14"/>
      <c r="O75" s="13"/>
      <c r="P75" s="96"/>
      <c r="Q75" s="97"/>
      <c r="R75" s="97"/>
      <c r="S75" s="97"/>
      <c r="T75" s="97"/>
      <c r="U75" s="98"/>
      <c r="V75" s="96"/>
      <c r="W75" s="13"/>
      <c r="X75" s="13"/>
    </row>
    <row r="76" ht="15.00" customHeight="true">
      <c r="A76" s="13"/>
      <c r="B76" s="13"/>
      <c r="C76" s="14"/>
      <c r="D76" s="14"/>
      <c r="E76" s="13"/>
      <c r="F76" s="13"/>
      <c r="G76" s="13"/>
      <c r="H76" s="13"/>
      <c r="I76" s="13"/>
      <c r="J76" s="13"/>
      <c r="K76" s="13"/>
      <c r="L76" s="13"/>
      <c r="M76" s="14"/>
      <c r="N76" s="14"/>
      <c r="O76" s="13"/>
      <c r="P76" s="96"/>
      <c r="Q76" s="97"/>
      <c r="R76" s="97"/>
      <c r="S76" s="97"/>
      <c r="T76" s="97"/>
      <c r="U76" s="98"/>
      <c r="V76" s="96"/>
      <c r="W76" s="13"/>
      <c r="X76" s="13"/>
    </row>
    <row r="77" ht="15.00" customHeight="true">
      <c r="A77" s="13"/>
      <c r="B77" s="13"/>
      <c r="C77" s="14"/>
      <c r="D77" s="14"/>
      <c r="E77" s="13"/>
      <c r="F77" s="13"/>
      <c r="G77" s="13"/>
      <c r="H77" s="13"/>
      <c r="I77" s="13"/>
      <c r="J77" s="13"/>
      <c r="K77" s="13"/>
      <c r="L77" s="13"/>
      <c r="M77" s="14"/>
      <c r="N77" s="14"/>
      <c r="O77" s="13"/>
      <c r="P77" s="96"/>
      <c r="Q77" s="97"/>
      <c r="R77" s="97"/>
      <c r="S77" s="97"/>
      <c r="T77" s="97"/>
      <c r="U77" s="98"/>
      <c r="V77" s="96"/>
      <c r="W77" s="13"/>
      <c r="X77" s="13"/>
    </row>
    <row r="78" ht="15.00" customHeight="true">
      <c r="A78" s="13"/>
      <c r="B78" s="13"/>
      <c r="C78" s="14"/>
      <c r="D78" s="14"/>
      <c r="E78" s="13"/>
      <c r="F78" s="13"/>
      <c r="G78" s="13"/>
      <c r="H78" s="13"/>
      <c r="I78" s="13"/>
      <c r="J78" s="13"/>
      <c r="K78" s="13"/>
      <c r="L78" s="13"/>
      <c r="M78" s="14"/>
      <c r="N78" s="14"/>
      <c r="O78" s="13"/>
      <c r="P78" s="96"/>
      <c r="Q78" s="97"/>
      <c r="R78" s="97"/>
      <c r="S78" s="97"/>
      <c r="T78" s="97"/>
      <c r="U78" s="98"/>
      <c r="V78" s="96"/>
      <c r="W78" s="13"/>
      <c r="X78" s="13"/>
    </row>
    <row r="79" ht="15.00" customHeight="true">
      <c r="A79" s="13"/>
      <c r="B79" s="13"/>
      <c r="C79" s="14"/>
      <c r="D79" s="14"/>
      <c r="E79" s="13"/>
      <c r="F79" s="13"/>
      <c r="G79" s="13"/>
      <c r="H79" s="13"/>
      <c r="I79" s="13"/>
      <c r="J79" s="13"/>
      <c r="K79" s="13"/>
      <c r="L79" s="13"/>
      <c r="M79" s="14"/>
      <c r="N79" s="14"/>
      <c r="O79" s="13"/>
      <c r="P79" s="96"/>
      <c r="Q79" s="97"/>
      <c r="R79" s="97"/>
      <c r="S79" s="97"/>
      <c r="T79" s="97"/>
      <c r="U79" s="98"/>
      <c r="V79" s="96"/>
      <c r="W79" s="13"/>
      <c r="X79" s="13"/>
    </row>
    <row r="80" ht="15.00" customHeight="true">
      <c r="A80" s="13"/>
      <c r="B80" s="13"/>
      <c r="C80" s="14"/>
      <c r="D80" s="14"/>
      <c r="E80" s="13"/>
      <c r="F80" s="13"/>
      <c r="G80" s="13"/>
      <c r="H80" s="13"/>
      <c r="I80" s="13"/>
      <c r="J80" s="13"/>
      <c r="K80" s="13"/>
      <c r="L80" s="13"/>
      <c r="M80" s="14"/>
      <c r="N80" s="14"/>
      <c r="O80" s="13"/>
      <c r="P80" s="15"/>
      <c r="Q80" s="14"/>
      <c r="R80" s="14"/>
      <c r="S80" s="14"/>
      <c r="T80" s="14"/>
      <c r="U80" s="95"/>
      <c r="V80" s="15"/>
      <c r="W80" s="13"/>
      <c r="X80" s="13"/>
    </row>
  </sheetData>
  <mergeCells count="1">
    <mergeCell ref="G15:I15"/>
  </mergeCells>
  <phoneticPr fontId="0" type="noConversion"/>
  <conditionalFormatting sqref="F6:F12">
    <cfRule priority="1" type="expression" dxfId="0">
      <formula>MOD(ROW(),2)=0</formula>
    </cfRule>
  </conditionalFormatting>
  <conditionalFormatting sqref="I5:I12">
    <cfRule priority="2" type="expression" dxfId="1">
      <formula>MOD(ROW(),2)=0</formula>
    </cfRule>
  </conditionalFormatting>
  <conditionalFormatting sqref="C6:D12">
    <cfRule priority="3" type="expression" dxfId="2">
      <formula>MOD(ROW(),2)=0</formula>
    </cfRule>
  </conditionalFormatting>
  <conditionalFormatting sqref="P5:P32">
    <cfRule priority="4" type="duplicateValues" dxfId="3"/>
  </conditionalFormatting>
  <conditionalFormatting sqref="P5:P65">
    <cfRule priority="5" type="duplicateValues" dxfId="4"/>
  </conditionalFormatting>
  <conditionalFormatting sqref="U5:U66">
    <cfRule priority="6" stopIfTrue="1" type="containsBlanks" dxfId="5">
      <formula>LEN(TRIM(U5))=0</formula>
    </cfRule>
  </conditionalFormatting>
  <conditionalFormatting sqref="U5:U66">
    <cfRule priority="7" type="duplicateValues" dxfId="6"/>
  </conditionalFormatting>
  <dataValidations count="1">
    <dataValidation type="list" allowBlank="true" showInputMessage="1" showErrorMessage="1" sqref="D5">
      <formula1>"=Weekdays"</formula1>
    </dataValidation>
  </dataValidations>
  <pageMargins left="0.75" right="0.75" top="0.75" bottom="0.75" header="0.25" footer="0.25"/>
  <pageSetup orientation="portrait" paperSize="9" scale="100"/>
  <headerFooter alignWithMargins="1"/>
  <drawing r:id="rId1"/>
  <legacyDrawing r:id="rId2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A1"/>
  <sheetViews>
    <sheetView showGridLines="1" tabSelected="0" workbookViewId="0">
      <pane ySplit="3" topLeftCell="A4" activePane="bottomRight" state="frozen"/>
      <selection activeCell="A1" sqref="A1"/>
    </sheetView>
  </sheetViews>
  <sheetFormatPr defaultRowHeight="15.00" customHeight="1" defaultColWidth="7.36"/>
  <cols>
    <col min="1" max="1" width="7.22" customWidth="1" hidden="0"/>
    <col min="2" max="2" width="7.56" customWidth="1" hidden="0"/>
    <col min="3" max="3" width="12.13" customWidth="1" hidden="0"/>
    <col min="4" max="4" width="10.29" customWidth="1" hidden="0"/>
    <col min="5" max="6" width="9.40" customWidth="1" hidden="0"/>
    <col min="7" max="7" width="8.18" customWidth="1" hidden="0"/>
    <col min="8" max="8" width="9.20" customWidth="1" hidden="0"/>
    <col min="9" max="9" width="5.59" customWidth="1" hidden="0"/>
    <col min="10" max="13" width="1.29" customWidth="1" hidden="0"/>
    <col min="14" max="15" width="8.99" customWidth="1" hidden="0"/>
    <col min="16" max="17" width="1.29" customWidth="1" hidden="0"/>
    <col min="18" max="18" width="7.22" customWidth="1" hidden="0"/>
    <col min="19" max="19" width="7.56" customWidth="1" hidden="0"/>
    <col min="20" max="20" width="12.13" customWidth="1" hidden="0"/>
    <col min="21" max="21" width="10.29" customWidth="1" hidden="0"/>
    <col min="22" max="23" width="9.40" customWidth="1" hidden="0"/>
    <col min="24" max="24" width="8.18" customWidth="1" hidden="0"/>
    <col min="25" max="25" width="9.20" customWidth="1" hidden="0"/>
    <col min="26" max="26" width="5.59" customWidth="1" hidden="0"/>
  </cols>
  <sheetData>
    <row r="1" ht="15.00" customHeight="true">
      <c r="A1" t="s" s="101">
        <v>107</v>
      </c>
      <c r="B1" s="102"/>
      <c r="C1" s="102"/>
      <c r="D1" s="102"/>
      <c r="E1" s="102"/>
      <c r="F1" s="102"/>
      <c r="G1" s="102"/>
      <c r="H1" s="102"/>
      <c r="I1" s="102"/>
      <c r="N1" t="s" s="103">
        <v>108</v>
      </c>
      <c r="O1" s="104"/>
      <c r="R1" t="s" s="103">
        <v>109</v>
      </c>
      <c r="S1" s="104"/>
      <c r="T1" s="104"/>
      <c r="U1" s="104"/>
      <c r="V1" s="104"/>
      <c r="W1" s="104"/>
      <c r="X1" s="104"/>
      <c r="Y1" s="104"/>
      <c r="Z1" s="104"/>
    </row>
    <row r="2" ht="15.00" customHeight="true">
      <c r="A2" s="102"/>
      <c r="B2" s="102"/>
      <c r="C2" s="102"/>
      <c r="D2" s="102"/>
      <c r="E2" s="102"/>
      <c r="F2" s="102"/>
      <c r="G2" s="102"/>
      <c r="H2" s="102"/>
      <c r="I2" s="102"/>
      <c r="N2" t="s" s="105">
        <v>110</v>
      </c>
      <c r="O2" t="s" s="105">
        <v>111</v>
      </c>
      <c r="R2" t="s" s="105">
        <v>112</v>
      </c>
      <c r="S2" t="s" s="105">
        <v>113</v>
      </c>
      <c r="T2" t="s" s="105">
        <v>114</v>
      </c>
      <c r="U2" t="s" s="105">
        <v>115</v>
      </c>
      <c r="V2" t="s" s="105">
        <v>116</v>
      </c>
      <c r="W2" t="s" s="105">
        <v>117</v>
      </c>
      <c r="X2" t="s" s="105">
        <v>118</v>
      </c>
      <c r="Y2" t="s" s="105">
        <v>119</v>
      </c>
      <c r="Z2" t="s" s="105">
        <v>120</v>
      </c>
    </row>
    <row r="3" ht="15.00" customHeight="true">
      <c r="A3" t="s" s="105">
        <v>121</v>
      </c>
      <c r="B3" t="s" s="105">
        <v>122</v>
      </c>
      <c r="C3" t="s" s="105">
        <v>123</v>
      </c>
      <c r="D3" t="s" s="105">
        <v>124</v>
      </c>
      <c r="E3" t="s" s="105">
        <v>125</v>
      </c>
      <c r="F3" t="s" s="105">
        <v>126</v>
      </c>
      <c r="G3" t="s" s="105">
        <v>127</v>
      </c>
      <c r="H3" t="s" s="105">
        <v>128</v>
      </c>
      <c r="I3" t="s" s="105">
        <v>129</v>
      </c>
      <c r="N3" s="106" t="s">
        <f>"&gt;="&amp;MonthStart</f>
        <v>130</v>
      </c>
      <c r="O3" s="106" t="s">
        <f>"&lt;="&amp;EOMONTH(MonthStart,0)</f>
        <v>131</v>
      </c>
      <c r="R3" s="107">
        <v>1</v>
      </c>
      <c r="S3" s="107">
        <v>1</v>
      </c>
      <c r="T3" t="s" s="108">
        <v>132</v>
      </c>
      <c r="U3" s="109">
        <v>45047</v>
      </c>
      <c r="V3" s="110">
        <v>0.25</v>
      </c>
      <c r="W3" s="110">
        <v>0.26041666666666669</v>
      </c>
      <c r="X3" s="111">
        <v>0.010416666666666666</v>
      </c>
      <c r="Y3" t="s" s="108">
        <v>133</v>
      </c>
      <c r="Z3" s="107">
        <v>1001</v>
      </c>
    </row>
    <row r="4" ht="15.00" customHeight="true">
      <c r="A4" s="107">
        <v>1</v>
      </c>
      <c r="B4" s="107">
        <v>1</v>
      </c>
      <c r="C4" t="s" s="108">
        <v>134</v>
      </c>
      <c r="D4" s="109">
        <v>45047</v>
      </c>
      <c r="E4" s="110">
        <v>0.25</v>
      </c>
      <c r="F4" s="110">
        <v>0.26041666666666669</v>
      </c>
      <c r="G4" s="111">
        <v>0.010416666666666666</v>
      </c>
      <c r="H4" t="s" s="108">
        <v>135</v>
      </c>
      <c r="I4" s="107">
        <v>1001</v>
      </c>
      <c r="R4" s="107">
        <v>3</v>
      </c>
      <c r="S4" s="107">
        <v>2</v>
      </c>
      <c r="T4" t="s" s="108">
        <v>136</v>
      </c>
      <c r="U4" s="109">
        <v>45049</v>
      </c>
      <c r="V4" s="110">
        <v>0.27083333333333337</v>
      </c>
      <c r="W4" s="110">
        <v>0.30208333333333343</v>
      </c>
      <c r="X4" s="111">
        <v>0.031250000000000056</v>
      </c>
      <c r="Y4" t="s" s="108">
        <v>137</v>
      </c>
      <c r="Z4" s="107">
        <v>1003</v>
      </c>
    </row>
    <row r="5" ht="15.00" customHeight="true">
      <c r="A5" s="107">
        <v>3</v>
      </c>
      <c r="B5" s="107">
        <v>2</v>
      </c>
      <c r="C5" t="s" s="108">
        <v>138</v>
      </c>
      <c r="D5" s="109">
        <v>45049</v>
      </c>
      <c r="E5" s="110">
        <v>0.27083333333333337</v>
      </c>
      <c r="F5" s="110">
        <v>0.30208333333333343</v>
      </c>
      <c r="G5" s="111">
        <v>0.031250000000000056</v>
      </c>
      <c r="H5" t="s" s="108">
        <v>139</v>
      </c>
      <c r="I5" s="107">
        <v>1003</v>
      </c>
      <c r="R5" s="107">
        <v>4</v>
      </c>
      <c r="S5" s="107">
        <v>3</v>
      </c>
      <c r="T5" t="s" s="108">
        <v>140</v>
      </c>
      <c r="U5" s="109">
        <v>45050</v>
      </c>
      <c r="V5" s="110">
        <v>0.28125000000000006</v>
      </c>
      <c r="W5" s="110">
        <v>0.43750000000000033</v>
      </c>
      <c r="X5" s="111">
        <v>0.15625000000000028</v>
      </c>
      <c r="Y5" t="s" s="108">
        <v>141</v>
      </c>
      <c r="Z5" s="107">
        <v>1004</v>
      </c>
    </row>
    <row r="6" ht="15.00" customHeight="true">
      <c r="A6" s="107">
        <v>4</v>
      </c>
      <c r="B6" s="107">
        <v>3</v>
      </c>
      <c r="C6" t="s" s="108">
        <v>142</v>
      </c>
      <c r="D6" s="109">
        <v>45050</v>
      </c>
      <c r="E6" s="110">
        <v>0.28125000000000006</v>
      </c>
      <c r="F6" s="110">
        <v>0.43750000000000033</v>
      </c>
      <c r="G6" s="111">
        <v>0.15625000000000028</v>
      </c>
      <c r="H6" t="s" s="108">
        <v>143</v>
      </c>
      <c r="I6" s="107">
        <v>1004</v>
      </c>
      <c r="R6" s="107">
        <v>5</v>
      </c>
      <c r="S6" s="107">
        <v>4</v>
      </c>
      <c r="T6" t="s" s="108">
        <v>144</v>
      </c>
      <c r="U6" s="109">
        <v>45051</v>
      </c>
      <c r="V6" s="110">
        <v>0.29166666666666674</v>
      </c>
      <c r="W6" s="110">
        <v>0.35416666666666685</v>
      </c>
      <c r="X6" s="111">
        <v>0.06250000000000011</v>
      </c>
      <c r="Y6" t="s" s="108">
        <v>145</v>
      </c>
      <c r="Z6" s="107">
        <v>1005</v>
      </c>
    </row>
    <row r="7" ht="15.00" customHeight="true">
      <c r="A7" s="107">
        <v>5</v>
      </c>
      <c r="B7" s="107">
        <v>4</v>
      </c>
      <c r="C7" t="s" s="108">
        <v>146</v>
      </c>
      <c r="D7" s="109">
        <v>45051</v>
      </c>
      <c r="E7" s="110">
        <v>0.29166666666666674</v>
      </c>
      <c r="F7" s="110">
        <v>0.35416666666666685</v>
      </c>
      <c r="G7" s="111">
        <v>0.06250000000000011</v>
      </c>
      <c r="H7" t="s" s="108">
        <v>147</v>
      </c>
      <c r="I7" s="107">
        <v>1005</v>
      </c>
      <c r="R7" s="107">
        <v>6</v>
      </c>
      <c r="S7" s="107">
        <v>5</v>
      </c>
      <c r="T7" t="s" s="108">
        <v>148</v>
      </c>
      <c r="U7" s="109">
        <v>45052</v>
      </c>
      <c r="V7" s="110">
        <v>0.30208333333333343</v>
      </c>
      <c r="W7" s="110">
        <v>0.85416666666666963</v>
      </c>
      <c r="X7" s="111">
        <v>0.55208333333333615</v>
      </c>
      <c r="Y7" t="s" s="108">
        <v>149</v>
      </c>
      <c r="Z7" s="107">
        <v>1006</v>
      </c>
    </row>
    <row r="8" ht="15.00" customHeight="true">
      <c r="A8" s="107">
        <v>6</v>
      </c>
      <c r="B8" s="107">
        <v>5</v>
      </c>
      <c r="C8" t="s" s="108">
        <v>150</v>
      </c>
      <c r="D8" s="109">
        <v>45052</v>
      </c>
      <c r="E8" s="110">
        <v>0.30208333333333343</v>
      </c>
      <c r="F8" s="110">
        <v>0.85416666666666963</v>
      </c>
      <c r="G8" s="111">
        <v>0.55208333333333615</v>
      </c>
      <c r="H8" t="s" s="108">
        <v>151</v>
      </c>
      <c r="I8" s="107">
        <v>1006</v>
      </c>
      <c r="R8" s="107">
        <v>7</v>
      </c>
      <c r="S8" s="107">
        <v>6</v>
      </c>
      <c r="T8" t="s" s="108">
        <v>152</v>
      </c>
      <c r="U8" s="109">
        <v>45053</v>
      </c>
      <c r="V8" s="110">
        <v>0.31250000000000011</v>
      </c>
      <c r="W8" s="110">
        <v>0.58333333333333437</v>
      </c>
      <c r="X8" s="111">
        <v>0.27083333333333426</v>
      </c>
      <c r="Y8" t="s" s="108">
        <v>153</v>
      </c>
      <c r="Z8" s="107">
        <v>1007</v>
      </c>
    </row>
    <row r="9" ht="15.00" customHeight="true">
      <c r="A9" s="107">
        <v>7</v>
      </c>
      <c r="B9" s="107">
        <v>6</v>
      </c>
      <c r="C9" t="s" s="108">
        <v>154</v>
      </c>
      <c r="D9" s="109">
        <v>45053</v>
      </c>
      <c r="E9" s="110">
        <v>0.31250000000000011</v>
      </c>
      <c r="F9" s="110">
        <v>0.58333333333333437</v>
      </c>
      <c r="G9" s="111">
        <v>0.27083333333333426</v>
      </c>
      <c r="H9" t="s" s="108">
        <v>155</v>
      </c>
      <c r="I9" s="107">
        <v>1007</v>
      </c>
      <c r="R9" s="107">
        <v>8</v>
      </c>
      <c r="S9" s="107">
        <v>7</v>
      </c>
      <c r="T9" t="s" s="108">
        <v>156</v>
      </c>
      <c r="U9" s="109">
        <v>45054</v>
      </c>
      <c r="V9" s="110">
        <v>0.3229166666666668</v>
      </c>
      <c r="W9" s="110">
        <v>0.41666666666666696</v>
      </c>
      <c r="X9" s="111">
        <v>0.09375000000000017</v>
      </c>
      <c r="Y9" t="s" s="108">
        <v>157</v>
      </c>
      <c r="Z9" s="107">
        <v>1008</v>
      </c>
    </row>
    <row r="10" ht="15.00" customHeight="true">
      <c r="A10" s="107">
        <v>8</v>
      </c>
      <c r="B10" s="107">
        <v>7</v>
      </c>
      <c r="C10" t="s" s="108">
        <v>158</v>
      </c>
      <c r="D10" s="109">
        <v>45054</v>
      </c>
      <c r="E10" s="110">
        <v>0.3229166666666668</v>
      </c>
      <c r="F10" s="110">
        <v>0.41666666666666696</v>
      </c>
      <c r="G10" s="111">
        <v>0.09375000000000017</v>
      </c>
      <c r="H10" t="s" s="108">
        <v>159</v>
      </c>
      <c r="I10" s="107">
        <v>1008</v>
      </c>
      <c r="R10" s="107">
        <v>9</v>
      </c>
      <c r="S10" s="107">
        <v>8</v>
      </c>
      <c r="T10" t="s" s="108">
        <v>160</v>
      </c>
      <c r="U10" s="109">
        <v>45055</v>
      </c>
      <c r="V10" s="110">
        <v>0.33333333333333348</v>
      </c>
      <c r="W10" s="110">
        <v>0.46875000000000039</v>
      </c>
      <c r="X10" s="111">
        <v>0.13541666666666691</v>
      </c>
      <c r="Y10" t="s" s="108">
        <v>161</v>
      </c>
      <c r="Z10" s="107">
        <v>1009</v>
      </c>
    </row>
    <row r="11" ht="15.00" customHeight="true">
      <c r="A11" s="107">
        <v>9</v>
      </c>
      <c r="B11" s="107">
        <v>8</v>
      </c>
      <c r="C11" t="s" s="108">
        <v>162</v>
      </c>
      <c r="D11" s="109">
        <v>45055</v>
      </c>
      <c r="E11" s="110">
        <v>0.33333333333333348</v>
      </c>
      <c r="F11" s="110">
        <v>0.46875000000000039</v>
      </c>
      <c r="G11" s="111">
        <v>0.13541666666666691</v>
      </c>
      <c r="H11" t="s" s="108">
        <v>163</v>
      </c>
      <c r="I11" s="107">
        <v>1009</v>
      </c>
      <c r="R11" s="107">
        <v>10</v>
      </c>
      <c r="S11" s="107">
        <v>9</v>
      </c>
      <c r="T11" t="s" s="108">
        <v>164</v>
      </c>
      <c r="U11" s="109">
        <v>45056</v>
      </c>
      <c r="V11" s="110">
        <v>0.25</v>
      </c>
      <c r="W11" s="110">
        <v>0.75000000000000222</v>
      </c>
      <c r="X11" s="111">
        <v>0.50000000000000222</v>
      </c>
      <c r="Y11" t="s" s="108">
        <v>165</v>
      </c>
      <c r="Z11" s="107">
        <v>1010</v>
      </c>
    </row>
    <row r="12" ht="15.00" customHeight="true">
      <c r="A12" s="107">
        <v>10</v>
      </c>
      <c r="B12" s="107">
        <v>9</v>
      </c>
      <c r="C12" t="s" s="108">
        <v>166</v>
      </c>
      <c r="D12" s="109">
        <v>45056</v>
      </c>
      <c r="E12" s="110">
        <v>0.25</v>
      </c>
      <c r="F12" s="110">
        <v>0.75000000000000222</v>
      </c>
      <c r="G12" s="111">
        <v>0.50000000000000222</v>
      </c>
      <c r="H12" t="s" s="108">
        <v>167</v>
      </c>
      <c r="I12" s="107">
        <v>1010</v>
      </c>
      <c r="R12" s="107">
        <v>11</v>
      </c>
      <c r="S12" s="107">
        <v>4</v>
      </c>
      <c r="T12" t="s" s="108">
        <v>168</v>
      </c>
      <c r="U12" s="109">
        <v>45062</v>
      </c>
      <c r="V12" s="110">
        <v>0.29166666666666674</v>
      </c>
      <c r="W12" s="110">
        <v>0.54166666666666741</v>
      </c>
      <c r="X12" s="111">
        <v>0.25000000000000067</v>
      </c>
      <c r="Y12" t="s" s="108">
        <v>169</v>
      </c>
      <c r="Z12" s="107">
        <v>1011</v>
      </c>
    </row>
    <row r="13" ht="15.00" customHeight="true">
      <c r="A13" s="107">
        <v>11</v>
      </c>
      <c r="B13" s="107">
        <v>4</v>
      </c>
      <c r="C13" t="s" s="108">
        <v>170</v>
      </c>
      <c r="D13" s="109">
        <v>45062</v>
      </c>
      <c r="E13" s="110">
        <v>0.29166666666666674</v>
      </c>
      <c r="F13" s="110">
        <v>0.54166666666666741</v>
      </c>
      <c r="G13" s="111">
        <v>0.25000000000000067</v>
      </c>
      <c r="H13" t="s" s="108">
        <v>171</v>
      </c>
      <c r="I13" s="107">
        <v>1011</v>
      </c>
      <c r="R13" s="107">
        <v>12</v>
      </c>
      <c r="S13" s="107">
        <v>8</v>
      </c>
      <c r="T13" t="s" s="108">
        <v>172</v>
      </c>
      <c r="U13" s="109">
        <v>45062</v>
      </c>
      <c r="V13" s="110">
        <v>0.58333333333333437</v>
      </c>
      <c r="W13" s="110">
        <v>0.64583333333333481</v>
      </c>
      <c r="X13" s="111">
        <v>0.06250000000000044</v>
      </c>
      <c r="Y13" t="s" s="108">
        <v>173</v>
      </c>
      <c r="Z13" s="107">
        <v>1012</v>
      </c>
    </row>
    <row r="14" ht="15.00" customHeight="true">
      <c r="A14" s="107">
        <v>12</v>
      </c>
      <c r="B14" s="107">
        <v>8</v>
      </c>
      <c r="C14" t="s" s="108">
        <v>174</v>
      </c>
      <c r="D14" s="109">
        <v>45062</v>
      </c>
      <c r="E14" s="110">
        <v>0.58333333333333437</v>
      </c>
      <c r="F14" s="110">
        <v>0.64583333333333481</v>
      </c>
      <c r="G14" s="111">
        <v>0.06250000000000044</v>
      </c>
      <c r="H14" t="s" s="108">
        <v>175</v>
      </c>
      <c r="I14" s="107">
        <v>1012</v>
      </c>
    </row>
    <row r="15" ht="15.00" customHeight="true">
      <c r="E15" s="110"/>
      <c r="F15" s="110"/>
      <c r="G15" s="111"/>
    </row>
    <row r="16" ht="15.00" customHeight="true">
      <c r="E16" s="110"/>
      <c r="F16" s="110"/>
      <c r="G16" s="111"/>
    </row>
    <row r="17" ht="15.00" customHeight="true">
      <c r="E17" s="110"/>
      <c r="F17" s="110"/>
      <c r="G17" s="111"/>
    </row>
    <row r="18" ht="15.00" customHeight="true">
      <c r="E18" s="110"/>
      <c r="F18" s="110"/>
      <c r="G18" s="111"/>
    </row>
    <row r="19" ht="15.00" customHeight="true">
      <c r="E19" s="110"/>
      <c r="F19" s="110"/>
      <c r="G19" s="111"/>
    </row>
    <row r="20" ht="15.00" customHeight="true">
      <c r="E20" s="110"/>
      <c r="F20" s="110"/>
      <c r="G20" s="111"/>
    </row>
    <row r="21" ht="15.00" customHeight="true">
      <c r="E21" s="110"/>
      <c r="F21" s="110"/>
      <c r="G21" s="111"/>
    </row>
    <row r="22" ht="15.00" customHeight="true">
      <c r="E22" s="110"/>
      <c r="F22" s="110"/>
      <c r="G22" s="111"/>
    </row>
    <row r="23" ht="15.00" customHeight="true">
      <c r="E23" s="110"/>
      <c r="F23" s="110"/>
      <c r="G23" s="111"/>
    </row>
    <row r="24" ht="15.00" customHeight="true">
      <c r="E24" s="110"/>
      <c r="F24" s="110"/>
      <c r="G24" s="111"/>
    </row>
    <row r="25" ht="15.00" customHeight="true">
      <c r="E25" s="110"/>
      <c r="F25" s="110"/>
      <c r="G25" s="111"/>
    </row>
    <row r="26" ht="15.00" customHeight="true">
      <c r="E26" s="110"/>
      <c r="F26" s="110"/>
      <c r="G26" s="111"/>
    </row>
    <row r="27" ht="15.00" customHeight="true">
      <c r="E27" s="110"/>
      <c r="F27" s="110"/>
      <c r="G27" s="111"/>
    </row>
    <row r="28" ht="15.00" customHeight="true">
      <c r="E28" s="110"/>
      <c r="F28" s="110"/>
      <c r="G28" s="111"/>
    </row>
    <row r="29" ht="15.00" customHeight="true">
      <c r="E29" s="110"/>
      <c r="F29" s="110"/>
      <c r="G29" s="111"/>
    </row>
    <row r="30" ht="15.00" customHeight="true">
      <c r="E30" s="110"/>
      <c r="F30" s="110"/>
      <c r="G30" s="111"/>
    </row>
    <row r="31" ht="15.00" customHeight="true">
      <c r="E31" s="110"/>
      <c r="F31" s="110"/>
      <c r="G31" s="111"/>
    </row>
    <row r="32" ht="15.00" customHeight="true">
      <c r="E32" s="110"/>
      <c r="F32" s="110"/>
      <c r="G32" s="111"/>
    </row>
    <row r="33" ht="15.00" customHeight="true">
      <c r="E33" s="110"/>
      <c r="F33" s="110"/>
      <c r="G33" s="111"/>
    </row>
    <row r="34" ht="15.00" customHeight="true">
      <c r="E34" s="110"/>
      <c r="F34" s="110"/>
      <c r="G34" s="111"/>
    </row>
    <row r="35" ht="15.00" customHeight="true">
      <c r="E35" s="110"/>
      <c r="F35" s="110"/>
      <c r="G35" s="111"/>
    </row>
    <row r="36" ht="15.00" customHeight="true">
      <c r="E36" s="110"/>
      <c r="F36" s="110"/>
      <c r="G36" s="111"/>
    </row>
    <row r="37" ht="15.00" customHeight="true">
      <c r="E37" s="110"/>
      <c r="F37" s="110"/>
      <c r="G37" s="111"/>
    </row>
    <row r="38" ht="15.00" customHeight="true">
      <c r="E38" s="110"/>
      <c r="F38" s="110"/>
      <c r="G38" s="111"/>
    </row>
    <row r="39" ht="15.00" customHeight="true">
      <c r="E39" s="110"/>
      <c r="F39" s="110"/>
      <c r="G39" s="111"/>
    </row>
    <row r="40" ht="15.00" customHeight="true">
      <c r="E40" s="110"/>
      <c r="F40" s="110"/>
      <c r="G40" s="111"/>
    </row>
    <row r="41" ht="15.00" customHeight="true">
      <c r="E41" s="110"/>
      <c r="F41" s="110"/>
      <c r="G41" s="111"/>
    </row>
    <row r="42" ht="15.00" customHeight="true">
      <c r="E42" s="110"/>
      <c r="F42" s="110"/>
      <c r="G42" s="111"/>
    </row>
    <row r="43" ht="15.00" customHeight="true">
      <c r="E43" s="110"/>
      <c r="F43" s="110"/>
      <c r="G43" s="111"/>
    </row>
    <row r="44" ht="15.00" customHeight="true">
      <c r="E44" s="110"/>
      <c r="F44" s="110"/>
      <c r="G44" s="111"/>
    </row>
    <row r="45" ht="15.00" customHeight="true">
      <c r="E45" s="110"/>
      <c r="F45" s="110"/>
      <c r="G45" s="111"/>
    </row>
    <row r="46" ht="15.00" customHeight="true">
      <c r="E46" s="110"/>
      <c r="F46" s="110"/>
      <c r="G46" s="111"/>
    </row>
    <row r="47" ht="15.00" customHeight="true">
      <c r="E47" s="110"/>
      <c r="F47" s="110"/>
      <c r="G47" s="111"/>
    </row>
    <row r="48" ht="15.00" customHeight="true">
      <c r="E48" s="110"/>
      <c r="F48" s="110"/>
      <c r="G48" s="111"/>
    </row>
    <row r="49" ht="15.00" customHeight="true">
      <c r="E49" s="110"/>
      <c r="F49" s="110"/>
      <c r="G49" s="111"/>
    </row>
    <row r="50" ht="15.00" customHeight="true">
      <c r="E50" s="110"/>
      <c r="F50" s="110"/>
      <c r="G50" s="111"/>
    </row>
    <row r="51" ht="15.00" customHeight="true">
      <c r="E51" s="110"/>
      <c r="F51" s="110"/>
      <c r="G51" s="111"/>
    </row>
    <row r="52" ht="15.00" customHeight="true">
      <c r="E52" s="110"/>
      <c r="F52" s="110"/>
      <c r="G52" s="111"/>
    </row>
    <row r="53" ht="15.00" customHeight="true">
      <c r="E53" s="110"/>
      <c r="F53" s="110"/>
      <c r="G53" s="111"/>
    </row>
    <row r="54" ht="15.00" customHeight="true">
      <c r="E54" s="110"/>
      <c r="F54" s="110"/>
      <c r="G54" s="111"/>
    </row>
    <row r="55" ht="15.00" customHeight="true">
      <c r="E55" s="110"/>
      <c r="F55" s="110"/>
      <c r="G55" s="111"/>
    </row>
    <row r="56" ht="15.00" customHeight="true">
      <c r="E56" s="110"/>
      <c r="F56" s="110"/>
      <c r="G56" s="111"/>
    </row>
    <row r="57" ht="15.00" customHeight="true">
      <c r="E57" s="110"/>
      <c r="F57" s="110"/>
      <c r="G57" s="111"/>
    </row>
    <row r="58" ht="15.00" customHeight="true">
      <c r="E58" s="110"/>
      <c r="F58" s="110"/>
      <c r="G58" s="111"/>
    </row>
    <row r="59" ht="15.00" customHeight="true">
      <c r="E59" s="110"/>
      <c r="F59" s="110"/>
      <c r="G59" s="111"/>
    </row>
    <row r="60" ht="15.00" customHeight="true">
      <c r="E60" s="110"/>
      <c r="F60" s="110"/>
      <c r="G60" s="111"/>
    </row>
    <row r="61" ht="15.00" customHeight="true">
      <c r="E61" s="110"/>
      <c r="F61" s="110"/>
      <c r="G61" s="111"/>
    </row>
    <row r="62" ht="15.00" customHeight="true">
      <c r="E62" s="110"/>
      <c r="F62" s="110"/>
      <c r="G62" s="111"/>
    </row>
    <row r="63" ht="15.00" customHeight="true">
      <c r="E63" s="110"/>
      <c r="F63" s="110"/>
      <c r="G63" s="111"/>
    </row>
    <row r="64" ht="15.00" customHeight="true">
      <c r="E64" s="110"/>
      <c r="F64" s="110"/>
      <c r="G64" s="111"/>
    </row>
    <row r="65" ht="15.00" customHeight="true">
      <c r="E65" s="110"/>
      <c r="F65" s="110"/>
      <c r="G65" s="111"/>
    </row>
    <row r="66" ht="15.00" customHeight="true">
      <c r="E66" s="110"/>
      <c r="F66" s="110"/>
      <c r="G66" s="111"/>
    </row>
    <row r="67" ht="15.00" customHeight="true">
      <c r="E67" s="110"/>
      <c r="F67" s="110"/>
      <c r="G67" s="111"/>
    </row>
    <row r="68" ht="15.00" customHeight="true">
      <c r="E68" s="110"/>
      <c r="F68" s="110"/>
      <c r="G68" s="111"/>
    </row>
    <row r="69" ht="15.00" customHeight="true">
      <c r="E69" s="110"/>
      <c r="F69" s="110"/>
      <c r="G69" s="111"/>
    </row>
    <row r="70" ht="15.00" customHeight="true">
      <c r="E70" s="110"/>
      <c r="F70" s="110"/>
      <c r="G70" s="111"/>
    </row>
    <row r="71" ht="15.00" customHeight="true">
      <c r="E71" s="110"/>
      <c r="F71" s="110"/>
      <c r="G71" s="111"/>
    </row>
    <row r="72" ht="15.00" customHeight="true">
      <c r="E72" s="110"/>
      <c r="F72" s="110"/>
      <c r="G72" s="111"/>
    </row>
    <row r="73" ht="15.00" customHeight="true">
      <c r="E73" s="110"/>
      <c r="F73" s="110"/>
      <c r="G73" s="111"/>
    </row>
    <row r="74" ht="15.00" customHeight="true">
      <c r="E74" s="110"/>
      <c r="F74" s="110"/>
      <c r="G74" s="111"/>
    </row>
    <row r="75" ht="15.00" customHeight="true">
      <c r="E75" s="110"/>
      <c r="F75" s="110"/>
      <c r="G75" s="111"/>
    </row>
    <row r="76" ht="15.00" customHeight="true">
      <c r="E76" s="110"/>
      <c r="F76" s="110"/>
      <c r="G76" s="111"/>
    </row>
    <row r="77" ht="15.00" customHeight="true">
      <c r="E77" s="110"/>
      <c r="F77" s="110"/>
      <c r="G77" s="111"/>
    </row>
    <row r="78" ht="15.00" customHeight="true">
      <c r="E78" s="110"/>
      <c r="F78" s="110"/>
      <c r="G78" s="111"/>
    </row>
    <row r="79" ht="15.00" customHeight="true">
      <c r="E79" s="110"/>
      <c r="F79" s="110"/>
      <c r="G79" s="111"/>
    </row>
    <row r="80" ht="15.00" customHeight="true">
      <c r="E80" s="110"/>
      <c r="F80" s="110"/>
      <c r="G80" s="111"/>
    </row>
    <row r="81" ht="15.00" customHeight="true">
      <c r="E81" s="110"/>
      <c r="F81" s="110"/>
      <c r="G81" s="111"/>
    </row>
    <row r="82" ht="15.00" customHeight="true">
      <c r="E82" s="110"/>
      <c r="F82" s="110"/>
      <c r="G82" s="111"/>
    </row>
    <row r="83" ht="15.00" customHeight="true">
      <c r="E83" s="110"/>
      <c r="F83" s="110"/>
      <c r="G83" s="111"/>
    </row>
    <row r="84" ht="15.00" customHeight="true">
      <c r="E84" s="110"/>
      <c r="F84" s="110"/>
      <c r="G84" s="111"/>
    </row>
    <row r="85" ht="15.00" customHeight="true">
      <c r="E85" s="110"/>
      <c r="F85" s="110"/>
      <c r="G85" s="111"/>
    </row>
    <row r="86" ht="15.00" customHeight="true">
      <c r="E86" s="110"/>
      <c r="F86" s="110"/>
      <c r="G86" s="111"/>
    </row>
    <row r="87" ht="15.00" customHeight="true">
      <c r="E87" s="110"/>
      <c r="F87" s="110"/>
      <c r="G87" s="111"/>
    </row>
    <row r="88" ht="15.00" customHeight="true">
      <c r="E88" s="110"/>
      <c r="F88" s="110"/>
      <c r="G88" s="111"/>
    </row>
    <row r="89" ht="15.00" customHeight="true">
      <c r="E89" s="110"/>
      <c r="F89" s="110"/>
      <c r="G89" s="111"/>
    </row>
    <row r="90" ht="15.00" customHeight="true">
      <c r="E90" s="110"/>
      <c r="F90" s="110"/>
      <c r="G90" s="111"/>
    </row>
    <row r="91" ht="15.00" customHeight="true">
      <c r="E91" s="110"/>
      <c r="F91" s="110"/>
      <c r="G91" s="111"/>
    </row>
    <row r="92" ht="15.00" customHeight="true">
      <c r="E92" s="110"/>
      <c r="F92" s="110"/>
      <c r="G92" s="111"/>
    </row>
    <row r="93" ht="15.00" customHeight="true">
      <c r="E93" s="110"/>
      <c r="F93" s="110"/>
      <c r="G93" s="111"/>
    </row>
    <row r="94" ht="15.00" customHeight="true">
      <c r="G94" s="111"/>
    </row>
    <row r="95" ht="15.00" customHeight="true">
      <c r="G95" s="111"/>
    </row>
    <row r="96" ht="15.00" customHeight="true">
      <c r="G96" s="111"/>
    </row>
    <row r="97" ht="15.00" customHeight="true">
      <c r="G97" s="111"/>
    </row>
    <row r="98" ht="15.00" customHeight="true">
      <c r="G98" s="111"/>
    </row>
    <row r="99" ht="15.00" customHeight="true">
      <c r="G99" s="111"/>
    </row>
    <row r="100" ht="15.00" customHeight="true">
      <c r="G100" s="111"/>
    </row>
    <row r="101" ht="15.00" customHeight="true">
      <c r="G101" s="111"/>
    </row>
    <row r="102" ht="15.00" customHeight="true">
      <c r="G102" s="111"/>
    </row>
    <row r="103" ht="15.00" customHeight="true">
      <c r="G103" s="111"/>
    </row>
    <row r="104" ht="15.00" customHeight="true">
      <c r="G104" s="111"/>
    </row>
    <row r="105" ht="15.00" customHeight="true">
      <c r="G105" s="111"/>
    </row>
    <row r="106" ht="15.00" customHeight="true">
      <c r="G106" s="111"/>
    </row>
    <row r="107" ht="15.00" customHeight="true">
      <c r="G107" s="111"/>
    </row>
    <row r="108" ht="15.00" customHeight="true">
      <c r="G108" s="111"/>
    </row>
    <row r="109" ht="15.00" customHeight="true">
      <c r="G109" s="111"/>
    </row>
    <row r="110" ht="15.00" customHeight="true">
      <c r="G110" s="111"/>
    </row>
    <row r="111" ht="15.00" customHeight="true">
      <c r="G111" s="111"/>
    </row>
    <row r="112" ht="15.00" customHeight="true">
      <c r="G112" s="111"/>
    </row>
    <row r="113" ht="15.00" customHeight="true">
      <c r="G113" s="111"/>
    </row>
    <row r="114" ht="15.00" customHeight="true">
      <c r="G114" s="111"/>
    </row>
    <row r="115" ht="15.00" customHeight="true">
      <c r="G115" s="111"/>
    </row>
    <row r="116" ht="15.00" customHeight="true">
      <c r="G116" s="111"/>
    </row>
    <row r="117" ht="15.00" customHeight="true">
      <c r="G117" s="111"/>
    </row>
    <row r="118" ht="15.00" customHeight="true">
      <c r="G118" s="111"/>
    </row>
    <row r="119" ht="15.00" customHeight="true">
      <c r="G119" s="111"/>
    </row>
    <row r="120" ht="15.00" customHeight="true">
      <c r="G120" s="111"/>
    </row>
    <row r="121" ht="15.00" customHeight="true">
      <c r="G121" s="111"/>
    </row>
    <row r="122" ht="15.00" customHeight="true">
      <c r="G122" s="111"/>
    </row>
    <row r="123" ht="15.00" customHeight="true">
      <c r="G123" s="111"/>
    </row>
    <row r="124" ht="15.00" customHeight="true">
      <c r="G124" s="111"/>
    </row>
    <row r="125" ht="15.00" customHeight="true">
      <c r="G125" s="111"/>
    </row>
    <row r="126" ht="15.00" customHeight="true">
      <c r="G126" s="111"/>
    </row>
    <row r="127" ht="15.00" customHeight="true">
      <c r="G127" s="111"/>
    </row>
    <row r="128" ht="15.00" customHeight="true">
      <c r="G128" s="111"/>
    </row>
    <row r="129" ht="15.00" customHeight="true">
      <c r="G129" s="111"/>
    </row>
    <row r="130" ht="15.00" customHeight="true">
      <c r="G130" s="111"/>
    </row>
    <row r="131" ht="15.00" customHeight="true">
      <c r="G131" s="111"/>
    </row>
    <row r="132" ht="15.00" customHeight="true">
      <c r="G132" s="111"/>
    </row>
    <row r="133" ht="15.00" customHeight="true">
      <c r="G133" s="111"/>
    </row>
    <row r="134" ht="15.00" customHeight="true">
      <c r="G134" s="111"/>
    </row>
    <row r="135" ht="15.00" customHeight="true">
      <c r="G135" s="111"/>
    </row>
    <row r="136" ht="15.00" customHeight="true">
      <c r="G136" s="111"/>
    </row>
    <row r="137" ht="15.00" customHeight="true">
      <c r="G137" s="111"/>
    </row>
    <row r="138" ht="15.00" customHeight="true">
      <c r="G138" s="111"/>
    </row>
    <row r="139" ht="15.00" customHeight="true">
      <c r="G139" s="111"/>
    </row>
    <row r="140" ht="15.00" customHeight="true">
      <c r="G140" s="111"/>
    </row>
    <row r="141" ht="15.00" customHeight="true">
      <c r="G141" s="111"/>
    </row>
    <row r="142" ht="15.00" customHeight="true">
      <c r="G142" s="111"/>
    </row>
    <row r="143" ht="15.00" customHeight="true">
      <c r="G143" s="111"/>
    </row>
    <row r="144" ht="15.00" customHeight="true">
      <c r="G144" s="111"/>
    </row>
    <row r="145" ht="15.00" customHeight="true">
      <c r="G145" s="111"/>
    </row>
    <row r="146" ht="15.00" customHeight="true">
      <c r="G146" s="111"/>
    </row>
    <row r="147" ht="15.00" customHeight="true">
      <c r="G147" s="111"/>
    </row>
    <row r="148" ht="15.00" customHeight="true">
      <c r="G148" s="111"/>
    </row>
    <row r="149" ht="15.00" customHeight="true">
      <c r="G149" s="111"/>
    </row>
    <row r="150" ht="15.00" customHeight="true">
      <c r="G150" s="111"/>
    </row>
    <row r="151" ht="15.00" customHeight="true">
      <c r="G151" s="111"/>
    </row>
    <row r="152" ht="15.00" customHeight="true">
      <c r="G152" s="111"/>
    </row>
    <row r="153" ht="15.00" customHeight="true">
      <c r="G153" s="111"/>
    </row>
    <row r="154" ht="15.00" customHeight="true">
      <c r="G154" s="111"/>
    </row>
    <row r="155" ht="15.00" customHeight="true">
      <c r="G155" s="111"/>
    </row>
    <row r="156" ht="15.00" customHeight="true">
      <c r="G156" s="111"/>
    </row>
    <row r="157" ht="15.00" customHeight="true">
      <c r="G157" s="111"/>
    </row>
    <row r="158" ht="15.00" customHeight="true">
      <c r="G158" s="111"/>
    </row>
    <row r="159" ht="15.00" customHeight="true">
      <c r="G159" s="111"/>
    </row>
    <row r="160" ht="15.00" customHeight="true">
      <c r="G160" s="111"/>
    </row>
    <row r="161" ht="15.00" customHeight="true">
      <c r="G161" s="111"/>
    </row>
  </sheetData>
  <mergeCells count="3">
    <mergeCell ref="A1:I2"/>
    <mergeCell ref="R1:Z1"/>
    <mergeCell ref="N1:O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A1"/>
  <sheetViews>
    <sheetView showGridLines="1" tabSelected="0" workbookViewId="0">
      <pane ySplit="3" topLeftCell="A4" activePane="bottomRight" state="frozen"/>
      <selection activeCell="A1" sqref="A1"/>
    </sheetView>
  </sheetViews>
  <sheetFormatPr defaultRowHeight="15.00" customHeight="1" defaultColWidth="10.63"/>
  <cols>
    <col min="1" max="1" width="7.43" customWidth="1" hidden="0"/>
    <col min="2" max="2" width="20.10" customWidth="1" hidden="0"/>
    <col min="3" max="3" width="8.65" customWidth="1" hidden="0"/>
    <col min="4" max="4" width="12.74" customWidth="1" hidden="0"/>
    <col min="5" max="5" width="25.01" customWidth="1" hidden="0"/>
    <col min="6" max="6" width="33.18" customWidth="1" hidden="0"/>
    <col min="7" max="7" width="16.83" customWidth="1" hidden="0"/>
    <col min="8" max="8" width="6.13" customWidth="1" hidden="0"/>
    <col min="9" max="9" width="6.20" customWidth="1" hidden="0"/>
    <col min="10" max="10" width="49.54" customWidth="1" hidden="0"/>
    <col min="11" max="11" width="12.74" customWidth="1" hidden="0"/>
    <col min="12" max="24" width="11.24" customWidth="1" hidden="0"/>
  </cols>
  <sheetData>
    <row r="1" ht="15.00" customHeight="true">
      <c r="A1" t="s" s="112">
        <v>176</v>
      </c>
      <c r="B1" s="113"/>
      <c r="C1" s="113"/>
      <c r="D1" s="114"/>
      <c r="E1" s="113"/>
      <c r="F1" s="113"/>
      <c r="G1" s="113"/>
      <c r="H1" s="115"/>
      <c r="I1" s="115"/>
      <c r="J1" s="113"/>
    </row>
    <row r="2" ht="15.00" customHeight="true">
      <c r="A2" s="116"/>
      <c r="B2" s="116"/>
      <c r="C2" s="116"/>
      <c r="D2" s="117"/>
      <c r="E2" s="116"/>
      <c r="F2" s="116"/>
      <c r="G2" s="116"/>
      <c r="H2" s="118"/>
      <c r="I2" s="118"/>
      <c r="J2" s="116"/>
    </row>
    <row r="3" ht="15.00" customHeight="true">
      <c r="A3" t="s" s="119">
        <v>177</v>
      </c>
      <c r="B3" t="s" s="119">
        <v>178</v>
      </c>
      <c r="C3" t="s" s="119">
        <v>179</v>
      </c>
      <c r="D3" t="s" s="120">
        <v>180</v>
      </c>
      <c r="E3" t="s" s="119">
        <v>181</v>
      </c>
      <c r="F3" t="s" s="119">
        <v>182</v>
      </c>
      <c r="G3" t="s" s="119">
        <v>183</v>
      </c>
      <c r="H3" t="s" s="121">
        <v>184</v>
      </c>
      <c r="I3" t="s" s="121">
        <v>185</v>
      </c>
      <c r="J3" t="s" s="119">
        <v>186</v>
      </c>
    </row>
    <row r="4" ht="15.00" customHeight="true">
      <c r="A4" s="122">
        <v>1</v>
      </c>
      <c r="B4" t="s" s="123">
        <v>187</v>
      </c>
      <c r="C4" t="s" s="123">
        <v>188</v>
      </c>
      <c r="D4" s="124">
        <v>3286147299</v>
      </c>
      <c r="E4" t="s" s="123">
        <v>189</v>
      </c>
      <c r="F4" t="s" s="123">
        <v>190</v>
      </c>
      <c r="G4" t="s" s="123">
        <v>191</v>
      </c>
      <c r="H4" t="s" s="125">
        <v>192</v>
      </c>
      <c r="I4" s="126">
        <v>43119</v>
      </c>
      <c r="J4" t="s" s="123">
        <v>193</v>
      </c>
    </row>
    <row r="5" ht="15.00" customHeight="true">
      <c r="A5" s="122">
        <v>2</v>
      </c>
      <c r="B5" t="s" s="123">
        <v>194</v>
      </c>
      <c r="C5" t="s" s="123">
        <v>195</v>
      </c>
      <c r="D5" s="124">
        <v>3488520913</v>
      </c>
      <c r="E5" t="s" s="123">
        <v>196</v>
      </c>
      <c r="F5" t="s" s="123">
        <v>197</v>
      </c>
      <c r="G5" t="s" s="123">
        <v>198</v>
      </c>
      <c r="H5" t="s" s="125">
        <v>199</v>
      </c>
      <c r="I5" s="126">
        <v>59677</v>
      </c>
      <c r="J5" t="s" s="123">
        <v>200</v>
      </c>
    </row>
    <row r="6" ht="15.00" customHeight="true">
      <c r="A6" s="122">
        <v>3</v>
      </c>
      <c r="B6" t="s" s="123">
        <v>201</v>
      </c>
      <c r="C6" t="s" s="123">
        <v>202</v>
      </c>
      <c r="D6" s="124">
        <v>3497730067</v>
      </c>
      <c r="E6" t="s" s="123">
        <v>203</v>
      </c>
      <c r="F6" t="s" s="123">
        <v>204</v>
      </c>
      <c r="G6" t="s" s="123">
        <v>205</v>
      </c>
      <c r="H6" t="s" s="125">
        <v>206</v>
      </c>
      <c r="I6" s="126">
        <v>43779</v>
      </c>
      <c r="J6" t="s" s="123">
        <v>207</v>
      </c>
    </row>
    <row r="7" ht="15.00" customHeight="true">
      <c r="A7" s="122">
        <v>4</v>
      </c>
      <c r="B7" t="s" s="123">
        <v>208</v>
      </c>
      <c r="C7" t="s" s="123">
        <v>209</v>
      </c>
      <c r="D7" s="124">
        <v>3617832508</v>
      </c>
      <c r="E7" t="s" s="123">
        <v>210</v>
      </c>
      <c r="F7" t="s" s="123">
        <v>211</v>
      </c>
      <c r="G7" t="s" s="123">
        <v>212</v>
      </c>
      <c r="H7" t="s" s="125">
        <v>213</v>
      </c>
      <c r="I7" s="126">
        <v>53512</v>
      </c>
      <c r="J7" t="s" s="123">
        <v>214</v>
      </c>
    </row>
    <row r="8" ht="15.00" customHeight="true">
      <c r="A8" s="122">
        <v>5</v>
      </c>
      <c r="B8" t="s" s="123">
        <v>215</v>
      </c>
      <c r="C8" t="s" s="123">
        <v>216</v>
      </c>
      <c r="D8" s="124">
        <v>3652218440</v>
      </c>
      <c r="E8" t="s" s="123">
        <v>217</v>
      </c>
      <c r="F8" t="s" s="123">
        <v>218</v>
      </c>
      <c r="G8" t="s" s="123">
        <v>219</v>
      </c>
      <c r="H8" t="s" s="125">
        <v>220</v>
      </c>
      <c r="I8" s="126">
        <v>94940</v>
      </c>
      <c r="J8" t="s" s="123">
        <v>221</v>
      </c>
    </row>
    <row r="9" ht="15.00" customHeight="true">
      <c r="A9" s="122">
        <v>6</v>
      </c>
      <c r="B9" t="s" s="123">
        <v>222</v>
      </c>
      <c r="C9" t="s" s="123">
        <v>223</v>
      </c>
      <c r="D9" s="124">
        <v>3656677181</v>
      </c>
      <c r="E9" t="s" s="123">
        <v>224</v>
      </c>
      <c r="F9" t="s" s="123">
        <v>225</v>
      </c>
      <c r="G9" t="s" s="123">
        <v>226</v>
      </c>
      <c r="H9" t="s" s="125">
        <v>227</v>
      </c>
      <c r="I9" s="126">
        <v>61338</v>
      </c>
      <c r="J9" t="s" s="123">
        <v>228</v>
      </c>
    </row>
    <row r="10" ht="15.00" customHeight="true">
      <c r="A10" s="122">
        <v>7</v>
      </c>
      <c r="B10" t="s" s="123">
        <v>229</v>
      </c>
      <c r="C10" t="s" s="123">
        <v>230</v>
      </c>
      <c r="D10" s="124">
        <v>3767682976</v>
      </c>
      <c r="E10" t="s" s="123">
        <v>231</v>
      </c>
      <c r="F10" t="s" s="123">
        <v>232</v>
      </c>
      <c r="G10" t="s" s="123">
        <v>233</v>
      </c>
      <c r="H10" t="s" s="125">
        <v>234</v>
      </c>
      <c r="I10" s="126">
        <v>96702</v>
      </c>
      <c r="J10" t="s" s="123">
        <v>235</v>
      </c>
    </row>
    <row r="11" ht="15.00" customHeight="true">
      <c r="A11" s="122">
        <v>8</v>
      </c>
      <c r="B11" t="s" s="123">
        <v>236</v>
      </c>
      <c r="C11" t="s" s="123">
        <v>237</v>
      </c>
      <c r="D11" s="124">
        <v>4060442480</v>
      </c>
      <c r="E11" t="s" s="123">
        <v>238</v>
      </c>
      <c r="F11" t="s" s="123">
        <v>239</v>
      </c>
      <c r="G11" t="s" s="123">
        <v>240</v>
      </c>
      <c r="H11" t="s" s="125">
        <v>241</v>
      </c>
      <c r="I11" s="126">
        <v>89637</v>
      </c>
      <c r="J11" t="s" s="123">
        <v>242</v>
      </c>
    </row>
    <row r="12" ht="15.00" customHeight="true">
      <c r="A12" s="122">
        <v>9</v>
      </c>
      <c r="B12" t="s" s="123">
        <v>243</v>
      </c>
      <c r="C12" t="s" s="123">
        <v>244</v>
      </c>
      <c r="D12" s="124">
        <v>4105775808</v>
      </c>
      <c r="E12" t="s" s="123">
        <v>245</v>
      </c>
      <c r="F12" t="s" s="123">
        <v>246</v>
      </c>
      <c r="G12" t="s" s="123">
        <v>247</v>
      </c>
      <c r="H12" t="s" s="125">
        <v>248</v>
      </c>
      <c r="I12" s="126">
        <v>99760</v>
      </c>
      <c r="J12" t="s" s="123">
        <v>249</v>
      </c>
    </row>
    <row r="13" ht="15.00" customHeight="true">
      <c r="A13" s="122">
        <v>10</v>
      </c>
      <c r="B13" t="s" s="123">
        <v>250</v>
      </c>
      <c r="C13" t="s" s="123">
        <v>251</v>
      </c>
      <c r="D13" s="124">
        <v>4284573915</v>
      </c>
      <c r="E13" t="s" s="123">
        <v>252</v>
      </c>
      <c r="F13" t="s" s="123">
        <v>253</v>
      </c>
      <c r="G13" t="s" s="123">
        <v>254</v>
      </c>
      <c r="H13" t="s" s="125">
        <v>255</v>
      </c>
      <c r="I13" s="126">
        <v>35341</v>
      </c>
      <c r="J13" t="s" s="123">
        <v>256</v>
      </c>
    </row>
    <row r="14" ht="15.00" customHeight="true">
      <c r="A14" s="122">
        <v>11</v>
      </c>
      <c r="B14" t="s" s="127">
        <v>257</v>
      </c>
      <c r="C14" t="s" s="127">
        <v>258</v>
      </c>
      <c r="D14" s="128">
        <v>6823331011</v>
      </c>
      <c r="E14" t="s" s="127">
        <v>259</v>
      </c>
      <c r="F14" t="s" s="127">
        <v>260</v>
      </c>
      <c r="G14" t="s" s="127">
        <v>261</v>
      </c>
      <c r="H14" t="s" s="129">
        <v>262</v>
      </c>
      <c r="I14" s="130">
        <v>78999</v>
      </c>
      <c r="J14" t="s" s="127">
        <v>263</v>
      </c>
    </row>
  </sheetData>
  <mergeCells count="1">
    <mergeCell ref="A1:J2"/>
  </mergeCells>
  <phoneticPr fontId="0" type="noConversion"/>
  <conditionalFormatting sqref="A4:J5 B6:J13 A6:A14">
    <cfRule priority="1" type="expression" dxfId="7">
      <formula>AND(#REF!&lt;&gt;"",MOD(ROW(),2)=1)</formula>
    </cfRule>
  </conditionalFormatting>
  <conditionalFormatting sqref="A4:J5 B6:J13 A6:A14">
    <cfRule priority="2" type="expression" dxfId="8">
      <formula>AND(#REF!&lt;&gt;"",MOD(ROW(),2)=0)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33CC"/>
  </sheetPr>
  <dimension ref="A1"/>
  <sheetViews>
    <sheetView showGridLines="0" tabSelected="0" workbookViewId="0">
      <selection activeCell="A1" sqref="A1"/>
    </sheetView>
  </sheetViews>
  <sheetFormatPr defaultRowHeight="16.00" customHeight="1" defaultColWidth="7.36"/>
  <cols>
    <col min="1" max="1" width="15.19" customWidth="1" hidden="1"/>
    <col min="2" max="2" width="16.15" customWidth="1" hidden="1"/>
    <col min="3" max="3" width="2.11" customWidth="1" hidden="0"/>
    <col min="4" max="4" width="11.92" customWidth="1" hidden="0"/>
    <col min="5" max="5" width="25.01" customWidth="1" hidden="0"/>
    <col min="6" max="6" width="2.11" customWidth="1" hidden="0"/>
    <col min="7" max="7" width="3.75" customWidth="1" hidden="0"/>
    <col min="8" max="8" width="20.10" customWidth="1" hidden="0"/>
    <col min="9" max="9" width="3.75" customWidth="1" hidden="0"/>
    <col min="10" max="10" width="20.10" customWidth="1" hidden="0"/>
    <col min="11" max="11" width="3.75" customWidth="1" hidden="0"/>
    <col min="12" max="12" width="20.10" customWidth="1" hidden="0"/>
    <col min="13" max="13" width="3.75" customWidth="1" hidden="0"/>
    <col min="14" max="14" width="20.10" customWidth="1" hidden="0"/>
    <col min="15" max="15" width="3.75" customWidth="1" hidden="0"/>
    <col min="16" max="16" width="20.10" customWidth="1" hidden="0"/>
    <col min="17" max="17" width="3.75" customWidth="1" hidden="0"/>
    <col min="18" max="18" width="20.10" customWidth="1" hidden="0"/>
    <col min="19" max="19" width="3.75" customWidth="1" hidden="0"/>
    <col min="20" max="20" width="20.10" customWidth="1" hidden="0"/>
    <col min="21" max="21" width="2.45" customWidth="1" hidden="0"/>
    <col min="22" max="22" width="23.98" customWidth="1" hidden="0"/>
  </cols>
  <sheetData>
    <row r="1" ht="40.00" customHeight="true">
      <c r="A1" s="131"/>
      <c r="B1" s="132"/>
      <c r="C1" s="133"/>
      <c r="D1" s="134"/>
      <c r="E1" s="135"/>
      <c r="F1" s="133"/>
      <c r="G1" s="136"/>
      <c r="H1" s="133"/>
      <c r="I1" s="136"/>
      <c r="J1" s="133"/>
      <c r="K1" s="2"/>
      <c r="L1" s="1"/>
      <c r="M1" s="2"/>
      <c r="N1" s="1"/>
      <c r="O1" s="2"/>
      <c r="P1" s="1"/>
      <c r="Q1" s="2"/>
      <c r="R1" s="1"/>
      <c r="S1" s="2"/>
      <c r="T1" s="1"/>
      <c r="U1" s="1"/>
      <c r="V1" s="1"/>
    </row>
    <row r="2" ht="30.00" customHeight="true">
      <c r="A2" t="s" s="137">
        <v>264</v>
      </c>
      <c r="B2" s="138">
        <v>2</v>
      </c>
      <c r="C2" s="139"/>
      <c r="D2" s="140"/>
      <c r="E2" s="141"/>
      <c r="F2" s="139"/>
      <c r="G2" s="142"/>
      <c r="H2" s="139"/>
      <c r="I2" s="142"/>
      <c r="J2" s="139"/>
      <c r="K2" s="143"/>
      <c r="L2" s="144"/>
      <c r="M2" s="143"/>
      <c r="N2" s="144"/>
      <c r="O2" s="143"/>
      <c r="P2" s="144"/>
      <c r="Q2" s="143"/>
      <c r="R2" s="144"/>
      <c r="S2" s="143"/>
      <c r="T2" s="144"/>
      <c r="U2" s="144"/>
      <c r="V2" s="144"/>
    </row>
    <row r="3" ht="20.15" customHeight="true">
      <c r="A3" t="s" s="137">
        <v>265</v>
      </c>
      <c r="B3" s="138">
        <f>MATCH(StartDay,Weekdays,0)</f>
        <v>7</v>
      </c>
      <c r="C3" s="13"/>
      <c r="D3" t="s" s="145">
        <v>266</v>
      </c>
      <c r="E3" t="s" s="146">
        <v>267</v>
      </c>
      <c r="F3" s="13"/>
      <c r="G3" s="147" t="s">
        <f>UPPER(StartDay)</f>
        <v>268</v>
      </c>
      <c r="H3" s="148"/>
      <c r="I3" s="147" t="s">
        <f>UPPER(IF(MATCH(G3,Weekdays,0)=7,'Admin &amp; Settings'!$C$6,INDEX(Weekdays,MATCH(G3,Weekdays,0)+1,1)))</f>
        <v>269</v>
      </c>
      <c r="J3" s="148"/>
      <c r="K3" s="147" t="s">
        <f>UPPER(IF(MATCH(I3,Weekdays,0)=7,'Admin &amp; Settings'!$C$6,INDEX(Weekdays,MATCH(I3,Weekdays,0)+1,1)))</f>
        <v>270</v>
      </c>
      <c r="L3" s="148"/>
      <c r="M3" s="147" t="s">
        <f>UPPER(IF(MATCH(K3,Weekdays,0)=7,'Admin &amp; Settings'!$C$6,INDEX(Weekdays,MATCH(K3,Weekdays,0)+1,1)))</f>
        <v>271</v>
      </c>
      <c r="N3" s="148"/>
      <c r="O3" s="147" t="s">
        <f>UPPER(IF(MATCH(M3,Weekdays,0)=7,'Admin &amp; Settings'!$C$6,INDEX(Weekdays,MATCH(M3,Weekdays,0)+1,1)))</f>
        <v>272</v>
      </c>
      <c r="P3" s="148"/>
      <c r="Q3" s="147" t="s">
        <f>UPPER(IF(MATCH(O3,Weekdays,0)=7,'Admin &amp; Settings'!$C$6,INDEX(Weekdays,MATCH(O3,Weekdays,0)+1,1)))</f>
        <v>273</v>
      </c>
      <c r="R3" s="148"/>
      <c r="S3" s="147" t="s">
        <f>UPPER(IF(MATCH(Q3,Weekdays,0)=7,'Admin &amp; Settings'!$C$6,INDEX(Weekdays,MATCH(Q3,Weekdays,0)+1,1)))</f>
        <v>274</v>
      </c>
      <c r="T3" s="148"/>
      <c r="U3" s="13"/>
      <c r="V3" s="13"/>
    </row>
    <row r="4" ht="20.15" customHeight="true">
      <c r="A4" t="s" s="137">
        <v>275</v>
      </c>
      <c r="B4" s="149">
        <f>DATE(B6,B5,1)</f>
        <v>45047</v>
      </c>
      <c r="C4" s="13"/>
      <c r="D4" s="150"/>
      <c r="E4" s="15"/>
      <c r="F4" s="13"/>
      <c r="G4" s="151" t="s">
        <f>IF(WEEKDAY(MonthStart,2)=StartDayNumb,MonthStart,"")</f>
      </c>
      <c r="H4" s="152" t="s">
        <f>IFERROR(INDEX('Admin &amp; Settings'!$P$5:$P$66,MATCH(Schedule!G4,'Admin &amp; Settings'!$U$5:$U$66,0)),"")</f>
      </c>
      <c r="I4" s="151">
        <f>IF(G4&lt;&gt;"",G4+1,IF(WEEKDAY(MonthStart,2)=MOD(StartDayNumb,7)+1,MonthStart,""))</f>
        <v>45047</v>
      </c>
      <c r="J4" s="152" t="s">
        <f>IFERROR(INDEX('Admin &amp; Settings'!$P$5:$P$66,MATCH(Schedule!I4,'Admin &amp; Settings'!$U$5:$U$66,0)),"")</f>
      </c>
      <c r="K4" s="151">
        <f>IF(I4&lt;&gt;"",I4+1,IF(WEEKDAY(MonthStart,2)=MOD(StartDayNumb+1,7)+1,MonthStart,""))</f>
        <v>45048</v>
      </c>
      <c r="L4" s="152" t="s">
        <f>IFERROR(INDEX('Admin &amp; Settings'!$P$5:$P$66,MATCH(Schedule!K4,'Admin &amp; Settings'!$U$5:$U$66,0)),"")</f>
      </c>
      <c r="M4" s="151">
        <f>IF(K4&lt;&gt;"",K4+1,IF(WEEKDAY(MonthStart,2)=MOD(StartDayNumb+2,7)+1,MonthStart,""))</f>
        <v>45049</v>
      </c>
      <c r="N4" s="152" t="s">
        <f>IFERROR(INDEX('Admin &amp; Settings'!$P$5:$P$66,MATCH(Schedule!M4,'Admin &amp; Settings'!$U$5:$U$66,0)),"")</f>
      </c>
      <c r="O4" s="151">
        <f>IF(M4&lt;&gt;"",M4+1,IF(WEEKDAY(MonthStart,2)=MOD(StartDayNumb+3,7)+1,MonthStart,""))</f>
        <v>45050</v>
      </c>
      <c r="P4" s="152" t="s">
        <f>IFERROR(INDEX('Admin &amp; Settings'!$P$5:$P$66,MATCH(Schedule!O4,'Admin &amp; Settings'!$U$5:$U$66,0)),"")</f>
      </c>
      <c r="Q4" s="151">
        <f>IF(O4&lt;&gt;"",O4+1,IF(WEEKDAY(MonthStart,2)=MOD(StartDayNumb+4,7)+1,MonthStart,""))</f>
        <v>45051</v>
      </c>
      <c r="R4" s="152" t="s">
        <f>IFERROR(INDEX('Admin &amp; Settings'!$P$5:$P$66,MATCH(Schedule!Q4,'Admin &amp; Settings'!$U$5:$U$66,0)),"")</f>
        <v>276</v>
      </c>
      <c r="S4" s="151">
        <f>IF(Q4&lt;&gt;"",Q4+1,IF(WEEKDAY(MonthStart,2)=MOD(StartDayNumb+5,7)+1,MonthStart,""))</f>
        <v>45052</v>
      </c>
      <c r="T4" s="152" t="s">
        <f>IFERROR(INDEX('Admin &amp; Settings'!$P$5:$P$66,MATCH(Schedule!S4,'Admin &amp; Settings'!$U$5:$U$66,0)),"")</f>
      </c>
      <c r="U4" s="13"/>
      <c r="V4" s="13"/>
    </row>
    <row r="5" ht="20.15" customHeight="true">
      <c r="A5" t="s" s="137">
        <v>277</v>
      </c>
      <c r="B5" s="138">
        <v>5</v>
      </c>
      <c r="C5" s="13"/>
      <c r="D5" t="s" s="153">
        <v>278</v>
      </c>
      <c r="E5" s="154">
        <v>45047</v>
      </c>
      <c r="F5" s="13"/>
      <c r="G5" s="155"/>
      <c r="H5" s="156"/>
      <c r="I5" s="155"/>
      <c r="J5" s="156"/>
      <c r="K5" s="155"/>
      <c r="L5" s="156"/>
      <c r="M5" s="155"/>
      <c r="N5" s="156"/>
      <c r="O5" s="155"/>
      <c r="P5" s="156"/>
      <c r="Q5" s="155"/>
      <c r="R5" s="156"/>
      <c r="S5" s="155"/>
      <c r="T5" s="156"/>
      <c r="U5" s="13"/>
      <c r="V5" s="13"/>
    </row>
    <row r="6" ht="20.15" customHeight="true">
      <c r="A6" t="s" s="137">
        <v>279</v>
      </c>
      <c r="B6" s="138">
        <f>INDEX(Years,B2,1)</f>
        <v>2023</v>
      </c>
      <c r="C6" s="13"/>
      <c r="D6" t="s" s="157">
        <v>280</v>
      </c>
      <c r="E6" s="158">
        <v>0.25</v>
      </c>
      <c r="F6" s="13"/>
      <c r="G6" s="155"/>
      <c r="H6" s="156"/>
      <c r="I6" s="155"/>
      <c r="J6" s="156"/>
      <c r="K6" s="155"/>
      <c r="L6" s="156"/>
      <c r="M6" s="155"/>
      <c r="N6" s="156"/>
      <c r="O6" s="155"/>
      <c r="P6" s="156"/>
      <c r="Q6" s="155"/>
      <c r="R6" s="156"/>
      <c r="S6" s="155"/>
      <c r="T6" s="156"/>
      <c r="U6" s="13"/>
      <c r="V6" s="13"/>
    </row>
    <row r="7" ht="20.15" customHeight="true">
      <c r="A7" t="s" s="137">
        <v>281</v>
      </c>
      <c r="B7" s="138" t="s">
        <f>UPPER(TEXT(MonthStart,"mmmm, yyyy"))</f>
        <v>282</v>
      </c>
      <c r="C7" s="13"/>
      <c r="D7" t="s" s="157">
        <v>283</v>
      </c>
      <c r="E7" s="158">
        <v>0.26041666666666669</v>
      </c>
      <c r="F7" s="13"/>
      <c r="G7" s="155"/>
      <c r="H7" s="156"/>
      <c r="I7" s="155"/>
      <c r="J7" s="156"/>
      <c r="K7" s="155"/>
      <c r="L7" s="156"/>
      <c r="M7" s="155"/>
      <c r="N7" s="156"/>
      <c r="O7" s="155"/>
      <c r="P7" s="156"/>
      <c r="Q7" s="155"/>
      <c r="R7" s="156"/>
      <c r="S7" s="155"/>
      <c r="T7" s="156"/>
      <c r="U7" s="13"/>
      <c r="V7" s="13"/>
    </row>
    <row r="8" ht="20.15" customHeight="true">
      <c r="A8" t="s" s="159">
        <v>284</v>
      </c>
      <c r="B8" s="160">
        <v>1</v>
      </c>
      <c r="C8" s="13"/>
      <c r="D8" t="s" s="157">
        <v>285</v>
      </c>
      <c r="E8" s="161">
        <f>IF(E7&lt;&gt;"",E7-E6,"")</f>
        <v>0.0104166666666667</v>
      </c>
      <c r="F8" s="13"/>
      <c r="G8" s="155"/>
      <c r="H8" s="156"/>
      <c r="I8" s="155"/>
      <c r="J8" s="156"/>
      <c r="K8" s="155"/>
      <c r="L8" s="156"/>
      <c r="M8" s="155"/>
      <c r="N8" s="156"/>
      <c r="O8" s="155"/>
      <c r="P8" s="156"/>
      <c r="Q8" s="155"/>
      <c r="R8" s="156"/>
      <c r="S8" s="155"/>
      <c r="T8" s="156"/>
      <c r="U8" s="13"/>
      <c r="V8" s="13"/>
    </row>
    <row r="9" ht="20.15" customHeight="true">
      <c r="A9" t="s" s="159">
        <v>286</v>
      </c>
      <c r="B9" s="160">
        <f>IFERROR(MATCH(B8,Appt_ID,0)+3,"")</f>
        <v>4</v>
      </c>
      <c r="C9" s="13"/>
      <c r="D9" t="s" s="157">
        <v>287</v>
      </c>
      <c r="E9" t="s" s="162">
        <v>288</v>
      </c>
      <c r="F9" s="13"/>
      <c r="G9" s="163"/>
      <c r="H9" s="164"/>
      <c r="I9" s="163"/>
      <c r="J9" s="164"/>
      <c r="K9" s="163"/>
      <c r="L9" s="164"/>
      <c r="M9" s="163"/>
      <c r="N9" s="164"/>
      <c r="O9" s="163"/>
      <c r="P9" s="164"/>
      <c r="Q9" s="163"/>
      <c r="R9" s="164"/>
      <c r="S9" s="163"/>
      <c r="T9" s="164"/>
      <c r="U9" s="13"/>
      <c r="V9" s="13"/>
    </row>
    <row r="10" ht="20.15" customHeight="true">
      <c r="A10" t="s" s="159">
        <v>289</v>
      </c>
      <c r="B10" s="160">
        <f>IFERROR(MAX(Appt_ID)+1,1)</f>
        <v>13</v>
      </c>
      <c r="C10" s="13"/>
      <c r="D10" t="s" s="165">
        <v>290</v>
      </c>
      <c r="E10" s="166">
        <v>1001</v>
      </c>
      <c r="F10" s="13"/>
      <c r="G10" s="151">
        <f>S4+1</f>
        <v>45053</v>
      </c>
      <c r="H10" s="152" t="s">
        <f>IFERROR(INDEX('Admin &amp; Settings'!$P$5:$P$66,MATCH(Schedule!G10,'Admin &amp; Settings'!$U$5:$U$66,0)),"")</f>
      </c>
      <c r="I10" s="151">
        <f>G10+1</f>
        <v>45054</v>
      </c>
      <c r="J10" s="152" t="s">
        <f>IFERROR(INDEX('Admin &amp; Settings'!$P$5:$P$66,MATCH(Schedule!I10,'Admin &amp; Settings'!$U$5:$U$66,0)),"")</f>
      </c>
      <c r="K10" s="151">
        <f>I10+1</f>
        <v>45055</v>
      </c>
      <c r="L10" s="152" t="s">
        <f>IFERROR(INDEX('Admin &amp; Settings'!$P$5:$P$66,MATCH(Schedule!K10,'Admin &amp; Settings'!$U$5:$U$66,0)),"")</f>
      </c>
      <c r="M10" s="151">
        <f>K10+1</f>
        <v>45056</v>
      </c>
      <c r="N10" s="152" t="s">
        <f>IFERROR(INDEX('Admin &amp; Settings'!$P$5:$P$66,MATCH(Schedule!M10,'Admin &amp; Settings'!$U$5:$U$66,0)),"")</f>
      </c>
      <c r="O10" s="151">
        <f>M10+1</f>
        <v>45057</v>
      </c>
      <c r="P10" s="152" t="s">
        <f>IFERROR(INDEX('Admin &amp; Settings'!$P$5:$P$66,MATCH(Schedule!O10,'Admin &amp; Settings'!$U$5:$U$66,0)),"")</f>
      </c>
      <c r="Q10" s="151">
        <f>O10+1</f>
        <v>45058</v>
      </c>
      <c r="R10" s="152" t="s">
        <f>IFERROR(INDEX('Admin &amp; Settings'!$P$5:$P$66,MATCH(Schedule!Q10,'Admin &amp; Settings'!$U$5:$U$66,0)),"")</f>
      </c>
      <c r="S10" s="151">
        <f>Q10+1</f>
        <v>45059</v>
      </c>
      <c r="T10" s="152" t="s">
        <f>IFERROR(INDEX('Admin &amp; Settings'!$P$5:$P$66,MATCH(Schedule!S10,'Admin &amp; Settings'!$U$5:$U$66,0)),"")</f>
      </c>
      <c r="U10" s="13"/>
      <c r="V10" s="13"/>
    </row>
    <row r="11" ht="20.15" customHeight="true">
      <c r="A11" t="s" s="167">
        <v>291</v>
      </c>
      <c r="B11" s="168">
        <f>IFERROR(MATCH(E3,Cont_Name,0)+3,"")</f>
        <v>4</v>
      </c>
      <c r="C11" s="13"/>
      <c r="D11" s="150"/>
      <c r="E11" s="15"/>
      <c r="F11" s="13"/>
      <c r="G11" s="155"/>
      <c r="H11" s="156"/>
      <c r="I11" s="155"/>
      <c r="J11" s="156"/>
      <c r="K11" s="155"/>
      <c r="L11" s="156"/>
      <c r="M11" s="155"/>
      <c r="N11" s="156"/>
      <c r="O11" s="155"/>
      <c r="P11" s="156"/>
      <c r="Q11" s="155"/>
      <c r="R11" s="156"/>
      <c r="S11" s="155"/>
      <c r="T11" s="156"/>
      <c r="U11" s="13"/>
      <c r="V11" s="13"/>
    </row>
    <row r="12" ht="20.15" customHeight="true">
      <c r="A12" t="s" s="167">
        <v>292</v>
      </c>
      <c r="B12" s="168">
        <v>1</v>
      </c>
      <c r="C12" s="13"/>
      <c r="D12" s="150"/>
      <c r="E12" s="15"/>
      <c r="F12" s="13"/>
      <c r="G12" s="155"/>
      <c r="H12" s="156"/>
      <c r="I12" s="155"/>
      <c r="J12" s="156"/>
      <c r="K12" s="155"/>
      <c r="L12" s="156"/>
      <c r="M12" s="155"/>
      <c r="N12" s="156"/>
      <c r="O12" s="155"/>
      <c r="P12" s="156"/>
      <c r="Q12" s="155"/>
      <c r="R12" s="156"/>
      <c r="S12" s="155"/>
      <c r="T12" s="156"/>
      <c r="U12" s="13"/>
      <c r="V12" s="13"/>
    </row>
    <row r="13" ht="20.15" customHeight="true">
      <c r="A13" t="s" s="167">
        <v>293</v>
      </c>
      <c r="B13" s="168">
        <f>IFERROR(MATCH(B12,Cont_ID,0)+3,"")</f>
        <v>4</v>
      </c>
      <c r="C13" s="13"/>
      <c r="D13" t="s" s="153">
        <v>294</v>
      </c>
      <c r="E13" t="s" s="169">
        <v>295</v>
      </c>
      <c r="F13" s="13"/>
      <c r="G13" s="155"/>
      <c r="H13" s="156"/>
      <c r="I13" s="155"/>
      <c r="J13" s="156"/>
      <c r="K13" s="155"/>
      <c r="L13" s="156"/>
      <c r="M13" s="155"/>
      <c r="N13" s="156"/>
      <c r="O13" s="155"/>
      <c r="P13" s="156"/>
      <c r="Q13" s="155"/>
      <c r="R13" s="156"/>
      <c r="S13" s="155"/>
      <c r="T13" s="156"/>
      <c r="U13" s="13"/>
      <c r="V13" s="13"/>
    </row>
    <row r="14" ht="20.15" customHeight="true">
      <c r="A14" t="s" s="167">
        <v>296</v>
      </c>
      <c r="B14" s="168">
        <f>IFERROR(MAX(Cont_ID)+1,1)</f>
        <v>12</v>
      </c>
      <c r="C14" s="13"/>
      <c r="D14" t="s" s="157">
        <v>297</v>
      </c>
      <c r="E14" t="s" s="162">
        <v>298</v>
      </c>
      <c r="F14" s="13"/>
      <c r="G14" s="155"/>
      <c r="H14" s="156"/>
      <c r="I14" s="155"/>
      <c r="J14" s="156"/>
      <c r="K14" s="155"/>
      <c r="L14" s="156"/>
      <c r="M14" s="155"/>
      <c r="N14" s="156"/>
      <c r="O14" s="155"/>
      <c r="P14" s="156"/>
      <c r="Q14" s="155"/>
      <c r="R14" s="156"/>
      <c r="S14" s="155"/>
      <c r="T14" s="156"/>
      <c r="U14" s="13"/>
      <c r="V14" s="13"/>
    </row>
    <row r="15" ht="20.15" customHeight="true">
      <c r="A15" t="s" s="167">
        <v>299</v>
      </c>
      <c r="B15" s="168">
        <f>IFERROR(MAX(Job_Number)+1,1)</f>
        <v>1013</v>
      </c>
      <c r="C15" s="13"/>
      <c r="D15" t="s" s="157">
        <v>300</v>
      </c>
      <c r="E15" s="170">
        <v>3286147299</v>
      </c>
      <c r="F15" s="13"/>
      <c r="G15" s="163"/>
      <c r="H15" s="164"/>
      <c r="I15" s="163"/>
      <c r="J15" s="164"/>
      <c r="K15" s="163"/>
      <c r="L15" s="164"/>
      <c r="M15" s="163"/>
      <c r="N15" s="164"/>
      <c r="O15" s="163"/>
      <c r="P15" s="164"/>
      <c r="Q15" s="163"/>
      <c r="R15" s="164"/>
      <c r="S15" s="163"/>
      <c r="T15" s="164"/>
      <c r="U15" s="13"/>
      <c r="V15" s="13"/>
    </row>
    <row r="16" ht="20.15" customHeight="true">
      <c r="A16" s="171"/>
      <c r="B16" s="172"/>
      <c r="C16" s="13"/>
      <c r="D16" t="s" s="157">
        <v>301</v>
      </c>
      <c r="E16" t="s" s="162">
        <v>302</v>
      </c>
      <c r="F16" s="13"/>
      <c r="G16" s="151">
        <f>S10+1</f>
        <v>45060</v>
      </c>
      <c r="H16" s="152" t="s">
        <f>IFERROR(INDEX('Admin &amp; Settings'!$P$5:$P$66,MATCH(Schedule!G16,'Admin &amp; Settings'!$U$5:$U$66,0)),"")</f>
        <v>303</v>
      </c>
      <c r="I16" s="151">
        <f>G16+1</f>
        <v>45061</v>
      </c>
      <c r="J16" s="152" t="s">
        <f>IFERROR(INDEX('Admin &amp; Settings'!$P$5:$P$66,MATCH(Schedule!I16,'Admin &amp; Settings'!$U$5:$U$66,0)),"")</f>
      </c>
      <c r="K16" s="151">
        <f>I16+1</f>
        <v>45062</v>
      </c>
      <c r="L16" s="152" t="s">
        <f>IFERROR(INDEX('Admin &amp; Settings'!$P$5:$P$66,MATCH(Schedule!K16,'Admin &amp; Settings'!$U$5:$U$66,0)),"")</f>
      </c>
      <c r="M16" s="151">
        <f>K16+1</f>
        <v>45063</v>
      </c>
      <c r="N16" s="152" t="s">
        <f>IFERROR(INDEX('Admin &amp; Settings'!$P$5:$P$66,MATCH(Schedule!M16,'Admin &amp; Settings'!$U$5:$U$66,0)),"")</f>
      </c>
      <c r="O16" s="151">
        <f>M16+1</f>
        <v>45064</v>
      </c>
      <c r="P16" s="152" t="s">
        <f>IFERROR(INDEX('Admin &amp; Settings'!$P$5:$P$66,MATCH(Schedule!O16,'Admin &amp; Settings'!$U$5:$U$66,0)),"")</f>
      </c>
      <c r="Q16" s="151">
        <f>O16+1</f>
        <v>45065</v>
      </c>
      <c r="R16" s="152" t="s">
        <f>IFERROR(INDEX('Admin &amp; Settings'!$P$5:$P$66,MATCH(Schedule!Q16,'Admin &amp; Settings'!$U$5:$U$66,0)),"")</f>
      </c>
      <c r="S16" s="151">
        <f>Q16+1</f>
        <v>45066</v>
      </c>
      <c r="T16" s="152" t="s">
        <f>IFERROR(INDEX('Admin &amp; Settings'!$P$5:$P$66,MATCH(Schedule!S16,'Admin &amp; Settings'!$U$5:$U$66,0)),"")</f>
        <v>304</v>
      </c>
      <c r="U16" s="13"/>
      <c r="V16" s="13"/>
    </row>
    <row r="17" ht="20.15" customHeight="true">
      <c r="A17" s="171"/>
      <c r="B17" t="s" s="173">
        <v>305</v>
      </c>
      <c r="C17" s="13"/>
      <c r="D17" t="s" s="157">
        <v>306</v>
      </c>
      <c r="E17" t="s" s="162">
        <v>307</v>
      </c>
      <c r="F17" s="13"/>
      <c r="G17" s="155"/>
      <c r="H17" s="156"/>
      <c r="I17" s="155"/>
      <c r="J17" s="156"/>
      <c r="K17" s="155"/>
      <c r="L17" s="156"/>
      <c r="M17" s="155"/>
      <c r="N17" s="156"/>
      <c r="O17" s="155"/>
      <c r="P17" s="156"/>
      <c r="Q17" s="155"/>
      <c r="R17" s="156"/>
      <c r="S17" s="155"/>
      <c r="T17" s="156"/>
      <c r="U17" s="13"/>
      <c r="V17" s="13"/>
    </row>
    <row r="18" ht="20.15" customHeight="true">
      <c r="A18" s="171"/>
      <c r="B18" s="174">
        <v>2022</v>
      </c>
      <c r="C18" s="13"/>
      <c r="D18" t="s" s="157">
        <v>308</v>
      </c>
      <c r="E18" t="s" s="162">
        <v>309</v>
      </c>
      <c r="F18" s="13"/>
      <c r="G18" s="155"/>
      <c r="H18" s="156"/>
      <c r="I18" s="155"/>
      <c r="J18" s="156"/>
      <c r="K18" s="155"/>
      <c r="L18" s="156"/>
      <c r="M18" s="155"/>
      <c r="N18" s="156"/>
      <c r="O18" s="155"/>
      <c r="P18" s="156"/>
      <c r="Q18" s="155"/>
      <c r="R18" s="156"/>
      <c r="S18" s="155"/>
      <c r="T18" s="156"/>
      <c r="U18" s="13"/>
      <c r="V18" s="13"/>
    </row>
    <row r="19" ht="20.15" customHeight="true">
      <c r="A19" s="171"/>
      <c r="B19" s="174">
        <v>2023</v>
      </c>
      <c r="C19" s="13"/>
      <c r="D19" t="s" s="157">
        <v>310</v>
      </c>
      <c r="E19" t="s" s="162">
        <v>311</v>
      </c>
      <c r="F19" s="13"/>
      <c r="G19" s="155"/>
      <c r="H19" s="156"/>
      <c r="I19" s="155"/>
      <c r="J19" s="156"/>
      <c r="K19" s="155"/>
      <c r="L19" s="156"/>
      <c r="M19" s="155"/>
      <c r="N19" s="156"/>
      <c r="O19" s="155"/>
      <c r="P19" s="156"/>
      <c r="Q19" s="155"/>
      <c r="R19" s="156"/>
      <c r="S19" s="155"/>
      <c r="T19" s="156"/>
      <c r="U19" s="13"/>
      <c r="V19" s="13"/>
    </row>
    <row r="20" ht="20.15" customHeight="true">
      <c r="A20" s="171"/>
      <c r="B20" s="174">
        <v>2024</v>
      </c>
      <c r="C20" s="13"/>
      <c r="D20" t="s" s="157">
        <v>312</v>
      </c>
      <c r="E20" s="175">
        <v>43119</v>
      </c>
      <c r="F20" s="13"/>
      <c r="G20" s="155"/>
      <c r="H20" s="156"/>
      <c r="I20" s="155"/>
      <c r="J20" s="156"/>
      <c r="K20" s="155"/>
      <c r="L20" s="156"/>
      <c r="M20" s="155"/>
      <c r="N20" s="156"/>
      <c r="O20" s="155"/>
      <c r="P20" s="156"/>
      <c r="Q20" s="155"/>
      <c r="R20" s="156"/>
      <c r="S20" s="155"/>
      <c r="T20" s="156"/>
      <c r="U20" s="13"/>
      <c r="V20" s="13"/>
    </row>
    <row r="21" ht="20.15" customHeight="true">
      <c r="A21" s="171"/>
      <c r="B21" s="174">
        <v>2025</v>
      </c>
      <c r="C21" s="13"/>
      <c r="D21" t="s" s="176">
        <v>313</v>
      </c>
      <c r="E21" t="s" s="177">
        <v>314</v>
      </c>
      <c r="F21" s="13"/>
      <c r="G21" s="163"/>
      <c r="H21" s="164"/>
      <c r="I21" s="163"/>
      <c r="J21" s="164"/>
      <c r="K21" s="163"/>
      <c r="L21" s="164"/>
      <c r="M21" s="163"/>
      <c r="N21" s="164"/>
      <c r="O21" s="163"/>
      <c r="P21" s="164"/>
      <c r="Q21" s="163"/>
      <c r="R21" s="164"/>
      <c r="S21" s="163"/>
      <c r="T21" s="164"/>
      <c r="U21" s="13"/>
      <c r="V21" s="13"/>
    </row>
    <row r="22" ht="20.15" customHeight="true">
      <c r="A22" s="171"/>
      <c r="B22" s="174">
        <v>2026</v>
      </c>
      <c r="C22" s="13"/>
      <c r="D22" s="178"/>
      <c r="E22" s="179"/>
      <c r="F22" s="13"/>
      <c r="G22" s="151">
        <f>S16+1</f>
        <v>45067</v>
      </c>
      <c r="H22" s="152" t="s">
        <f>IFERROR(INDEX('Admin &amp; Settings'!$P$5:$P$66,MATCH(Schedule!G22,'Admin &amp; Settings'!$U$5:$U$66,0)),"")</f>
      </c>
      <c r="I22" s="151">
        <f>G22+1</f>
        <v>45068</v>
      </c>
      <c r="J22" s="152" t="s">
        <f>IFERROR(INDEX('Admin &amp; Settings'!$P$5:$P$66,MATCH(Schedule!I22,'Admin &amp; Settings'!$U$5:$U$66,0)),"")</f>
      </c>
      <c r="K22" s="151">
        <f>I22+1</f>
        <v>45069</v>
      </c>
      <c r="L22" s="152" t="s">
        <f>IFERROR(INDEX('Admin &amp; Settings'!$P$5:$P$66,MATCH(Schedule!K22,'Admin &amp; Settings'!$U$5:$U$66,0)),"")</f>
      </c>
      <c r="M22" s="151">
        <f>K22+1</f>
        <v>45070</v>
      </c>
      <c r="N22" s="152" t="s">
        <f>IFERROR(INDEX('Admin &amp; Settings'!$P$5:$P$66,MATCH(Schedule!M22,'Admin &amp; Settings'!$U$5:$U$66,0)),"")</f>
      </c>
      <c r="O22" s="151">
        <f>M22+1</f>
        <v>45071</v>
      </c>
      <c r="P22" s="152" t="s">
        <f>IFERROR(INDEX('Admin &amp; Settings'!$P$5:$P$66,MATCH(Schedule!O22,'Admin &amp; Settings'!$U$5:$U$66,0)),"")</f>
      </c>
      <c r="Q22" s="151">
        <f>O22+1</f>
        <v>45072</v>
      </c>
      <c r="R22" s="152" t="s">
        <f>IFERROR(INDEX('Admin &amp; Settings'!$P$5:$P$66,MATCH(Schedule!Q22,'Admin &amp; Settings'!$U$5:$U$66,0)),"")</f>
      </c>
      <c r="S22" s="151">
        <f>Q22+1</f>
        <v>45073</v>
      </c>
      <c r="T22" s="152" t="s">
        <f>IFERROR(INDEX('Admin &amp; Settings'!$P$5:$P$66,MATCH(Schedule!S22,'Admin &amp; Settings'!$U$5:$U$66,0)),"")</f>
      </c>
      <c r="U22" s="13"/>
      <c r="V22" s="13"/>
    </row>
    <row r="23" ht="20.15" customHeight="true">
      <c r="A23" s="171"/>
      <c r="B23" s="174">
        <v>2027</v>
      </c>
      <c r="C23" s="13"/>
      <c r="D23" s="180"/>
      <c r="E23" s="181"/>
      <c r="F23" s="13"/>
      <c r="G23" s="155"/>
      <c r="H23" s="156"/>
      <c r="I23" s="155"/>
      <c r="J23" s="156"/>
      <c r="K23" s="155"/>
      <c r="L23" s="156"/>
      <c r="M23" s="155"/>
      <c r="N23" s="156"/>
      <c r="O23" s="155"/>
      <c r="P23" s="156"/>
      <c r="Q23" s="155"/>
      <c r="R23" s="156"/>
      <c r="S23" s="155"/>
      <c r="T23" s="156"/>
      <c r="U23" s="13"/>
      <c r="V23" s="13"/>
    </row>
    <row r="24" ht="20.15" customHeight="true">
      <c r="A24" s="171"/>
      <c r="B24" s="174">
        <v>2028</v>
      </c>
      <c r="C24" s="13"/>
      <c r="D24" s="182"/>
      <c r="E24" s="15"/>
      <c r="F24" s="13"/>
      <c r="G24" s="155"/>
      <c r="H24" s="156"/>
      <c r="I24" s="155"/>
      <c r="J24" s="156"/>
      <c r="K24" s="155"/>
      <c r="L24" s="156"/>
      <c r="M24" s="155"/>
      <c r="N24" s="156"/>
      <c r="O24" s="155"/>
      <c r="P24" s="156"/>
      <c r="Q24" s="155"/>
      <c r="R24" s="156"/>
      <c r="S24" s="155"/>
      <c r="T24" s="156"/>
      <c r="U24" s="13"/>
      <c r="V24" s="13"/>
    </row>
    <row r="25" ht="20.15" customHeight="true">
      <c r="A25" s="171"/>
      <c r="B25" s="174">
        <v>2029</v>
      </c>
      <c r="C25" s="13"/>
      <c r="D25" t="s" s="183">
        <v>315</v>
      </c>
      <c r="E25" s="184"/>
      <c r="F25" s="13"/>
      <c r="G25" s="155"/>
      <c r="H25" s="156"/>
      <c r="I25" s="155"/>
      <c r="J25" s="156"/>
      <c r="K25" s="155"/>
      <c r="L25" s="156"/>
      <c r="M25" s="155"/>
      <c r="N25" s="156"/>
      <c r="O25" s="155"/>
      <c r="P25" s="156"/>
      <c r="Q25" s="155"/>
      <c r="R25" s="156"/>
      <c r="S25" s="155"/>
      <c r="T25" s="156"/>
      <c r="U25" s="13"/>
      <c r="V25" s="13"/>
    </row>
    <row r="26" ht="20.15" customHeight="true">
      <c r="A26" s="171"/>
      <c r="B26" s="174">
        <v>2030</v>
      </c>
      <c r="C26" s="13"/>
      <c r="D26" s="185" t="s">
        <f>IF('Admin &amp; Settings'!F6&lt;&gt;"",'Admin &amp; Settings'!F6,"")</f>
        <v>316</v>
      </c>
      <c r="E26" s="15"/>
      <c r="F26" s="13"/>
      <c r="G26" s="155"/>
      <c r="H26" s="156"/>
      <c r="I26" s="155"/>
      <c r="J26" s="156"/>
      <c r="K26" s="155"/>
      <c r="L26" s="156"/>
      <c r="M26" s="155"/>
      <c r="N26" s="156"/>
      <c r="O26" s="155"/>
      <c r="P26" s="156"/>
      <c r="Q26" s="155"/>
      <c r="R26" s="156"/>
      <c r="S26" s="155"/>
      <c r="T26" s="156"/>
      <c r="U26" s="13"/>
      <c r="V26" s="13"/>
    </row>
    <row r="27" ht="20.15" customHeight="true">
      <c r="A27" s="171"/>
      <c r="B27" s="172"/>
      <c r="C27" s="13"/>
      <c r="D27" s="186" t="s">
        <f>IF('Admin &amp; Settings'!F7&lt;&gt;"",'Admin &amp; Settings'!F7,"")</f>
        <v>317</v>
      </c>
      <c r="E27" s="15"/>
      <c r="F27" s="13"/>
      <c r="G27" s="163"/>
      <c r="H27" s="164"/>
      <c r="I27" s="163"/>
      <c r="J27" s="164"/>
      <c r="K27" s="163"/>
      <c r="L27" s="164"/>
      <c r="M27" s="163"/>
      <c r="N27" s="164"/>
      <c r="O27" s="163"/>
      <c r="P27" s="164"/>
      <c r="Q27" s="163"/>
      <c r="R27" s="164"/>
      <c r="S27" s="163"/>
      <c r="T27" s="164"/>
      <c r="U27" s="13"/>
      <c r="V27" s="13"/>
    </row>
    <row r="28" ht="20.15" customHeight="true">
      <c r="A28" s="171"/>
      <c r="B28" s="172"/>
      <c r="C28" s="13"/>
      <c r="D28" s="187" t="s">
        <f>IF('Admin &amp; Settings'!F8&lt;&gt;"",'Admin &amp; Settings'!F8,"")</f>
        <v>318</v>
      </c>
      <c r="E28" s="15"/>
      <c r="F28" s="13"/>
      <c r="G28" s="151">
        <f>IF(MONTH(S22+1)&lt;&gt;MONTH(S22),"",S22+1)</f>
        <v>45074</v>
      </c>
      <c r="H28" s="152" t="s">
        <f>IFERROR(INDEX('Admin &amp; Settings'!$P$5:$P$66,MATCH(Schedule!G28,'Admin &amp; Settings'!$U$5:$U$66,0)),"")</f>
      </c>
      <c r="I28" s="151">
        <f>IF(G28="","",IF(MONTH(G28+1)&lt;&gt;MONTH(G28),"",G28+1))</f>
        <v>45075</v>
      </c>
      <c r="J28" s="152" t="s">
        <f>IFERROR(INDEX('Admin &amp; Settings'!$P$5:$P$66,MATCH(Schedule!I28,'Admin &amp; Settings'!$U$5:$U$66,0)),"")</f>
        <v>319</v>
      </c>
      <c r="K28" s="151">
        <f>IF(I28="","",IF(MONTH(I28+1)&lt;&gt;MONTH(I28),"",I28+1))</f>
        <v>45076</v>
      </c>
      <c r="L28" s="152" t="s">
        <f>IFERROR(INDEX('Admin &amp; Settings'!$P$5:$P$66,MATCH(Schedule!K28,'Admin &amp; Settings'!$U$5:$U$66,0)),"")</f>
      </c>
      <c r="M28" s="151">
        <f>IF(K28="","",IF(MONTH(K28+1)&lt;&gt;MONTH(K28),"",K28+1))</f>
        <v>45077</v>
      </c>
      <c r="N28" s="152" t="s">
        <f>IFERROR(INDEX('Admin &amp; Settings'!$P$5:$P$66,MATCH(Schedule!M28,'Admin &amp; Settings'!$U$5:$U$66,0)),"")</f>
      </c>
      <c r="O28" s="151" t="s">
        <f>IF(M28="","",IF(MONTH(M28+1)&lt;&gt;MONTH(M28),"",M28+1))</f>
      </c>
      <c r="P28" s="152" t="s">
        <f>IFERROR(INDEX('Admin &amp; Settings'!$P$5:$P$66,MATCH(Schedule!O28,'Admin &amp; Settings'!$U$5:$U$66,0)),"")</f>
      </c>
      <c r="Q28" s="151" t="s">
        <f>IF(O28="","",IF(MONTH(O28+1)&lt;&gt;MONTH(O28),"",O28+1))</f>
      </c>
      <c r="R28" s="152" t="s">
        <f>IFERROR(INDEX('Admin &amp; Settings'!$P$5:$P$66,MATCH(Schedule!Q28,'Admin &amp; Settings'!$U$5:$U$66,0)),"")</f>
      </c>
      <c r="S28" s="151" t="s">
        <f>IF(Q28="","",IF(MONTH(Q28+1)&lt;&gt;MONTH(Q28),"",Q28+1))</f>
      </c>
      <c r="T28" s="152" t="s">
        <f>IFERROR(INDEX('Admin &amp; Settings'!$P$5:$P$66,MATCH(Schedule!S28,'Admin &amp; Settings'!$U$5:$U$66,0)),"")</f>
      </c>
      <c r="U28" s="13"/>
      <c r="V28" s="13"/>
    </row>
    <row r="29" ht="20.15" customHeight="true">
      <c r="A29" s="171"/>
      <c r="B29" s="172"/>
      <c r="C29" s="13"/>
      <c r="D29" s="188" t="s">
        <f>IF('Admin &amp; Settings'!F9&lt;&gt;"",'Admin &amp; Settings'!F9,"")</f>
        <v>320</v>
      </c>
      <c r="E29" s="15"/>
      <c r="F29" s="13"/>
      <c r="G29" s="155"/>
      <c r="H29" s="156"/>
      <c r="I29" s="155"/>
      <c r="J29" s="156"/>
      <c r="K29" s="155"/>
      <c r="L29" s="156"/>
      <c r="M29" s="155"/>
      <c r="N29" s="156"/>
      <c r="O29" s="155"/>
      <c r="P29" s="156"/>
      <c r="Q29" s="155"/>
      <c r="R29" s="156"/>
      <c r="S29" s="155"/>
      <c r="T29" s="156"/>
      <c r="U29" s="13"/>
      <c r="V29" s="13"/>
    </row>
    <row r="30" ht="20.15" customHeight="true">
      <c r="A30" s="171"/>
      <c r="B30" s="172"/>
      <c r="C30" s="13"/>
      <c r="D30" s="189" t="s">
        <f>IF('Admin &amp; Settings'!F10&lt;&gt;"",'Admin &amp; Settings'!F10,"")</f>
        <v>321</v>
      </c>
      <c r="E30" s="96"/>
      <c r="F30" s="13"/>
      <c r="G30" s="155"/>
      <c r="H30" s="156"/>
      <c r="I30" s="155"/>
      <c r="J30" s="156"/>
      <c r="K30" s="155"/>
      <c r="L30" s="156"/>
      <c r="M30" s="155"/>
      <c r="N30" s="156"/>
      <c r="O30" s="155"/>
      <c r="P30" s="156"/>
      <c r="Q30" s="155"/>
      <c r="R30" s="156"/>
      <c r="S30" s="155"/>
      <c r="T30" s="156"/>
      <c r="U30" s="13"/>
      <c r="V30" s="13"/>
    </row>
    <row r="31" ht="20.15" customHeight="true">
      <c r="A31" s="171"/>
      <c r="B31" s="172"/>
      <c r="C31" s="13"/>
      <c r="D31" s="190" t="s">
        <f>IF('Admin &amp; Settings'!F11&lt;&gt;"",'Admin &amp; Settings'!F11,"")</f>
        <v>322</v>
      </c>
      <c r="E31" s="96"/>
      <c r="F31" s="13"/>
      <c r="G31" s="155"/>
      <c r="H31" s="156"/>
      <c r="I31" s="155"/>
      <c r="J31" s="156"/>
      <c r="K31" s="155"/>
      <c r="L31" s="156"/>
      <c r="M31" s="155"/>
      <c r="N31" s="156"/>
      <c r="O31" s="155"/>
      <c r="P31" s="156"/>
      <c r="Q31" s="155"/>
      <c r="R31" s="156"/>
      <c r="S31" s="155"/>
      <c r="T31" s="156"/>
      <c r="U31" s="13"/>
      <c r="V31" s="13"/>
    </row>
    <row r="32" ht="20.15" customHeight="true">
      <c r="A32" s="171"/>
      <c r="B32" s="172"/>
      <c r="C32" s="13"/>
      <c r="D32" s="191"/>
      <c r="E32" s="96"/>
      <c r="F32" s="13"/>
      <c r="G32" s="155"/>
      <c r="H32" s="156"/>
      <c r="I32" s="155"/>
      <c r="J32" s="156"/>
      <c r="K32" s="155"/>
      <c r="L32" s="156"/>
      <c r="M32" s="155"/>
      <c r="N32" s="156"/>
      <c r="O32" s="155"/>
      <c r="P32" s="156"/>
      <c r="Q32" s="155"/>
      <c r="R32" s="156"/>
      <c r="S32" s="155"/>
      <c r="T32" s="156"/>
      <c r="U32" s="13"/>
      <c r="V32" s="13"/>
    </row>
    <row r="33" ht="20.15" customHeight="true">
      <c r="A33" s="171"/>
      <c r="B33" s="172"/>
      <c r="C33" s="13"/>
      <c r="D33" s="150"/>
      <c r="E33" s="96"/>
      <c r="F33" s="13"/>
      <c r="G33" s="163"/>
      <c r="H33" s="164"/>
      <c r="I33" s="163"/>
      <c r="J33" s="164"/>
      <c r="K33" s="163"/>
      <c r="L33" s="164"/>
      <c r="M33" s="163"/>
      <c r="N33" s="164"/>
      <c r="O33" s="163"/>
      <c r="P33" s="164"/>
      <c r="Q33" s="163"/>
      <c r="R33" s="164"/>
      <c r="S33" s="163"/>
      <c r="T33" s="164"/>
      <c r="U33" s="13"/>
      <c r="V33" s="13"/>
    </row>
    <row r="34" ht="20.15" customHeight="true">
      <c r="A34" s="171"/>
      <c r="B34" s="172"/>
      <c r="C34" s="13"/>
      <c r="D34" s="150"/>
      <c r="E34" s="96"/>
      <c r="F34" s="13"/>
      <c r="G34" s="151" t="s">
        <f>IF(S28="","",IF(MONTH(S28+1)&lt;&gt;MONTH(S28),"",S28+1))</f>
      </c>
      <c r="H34" s="152" t="s">
        <f>IFERROR(INDEX('Admin &amp; Settings'!$P$5:$P$66,MATCH(Schedule!G34,'Admin &amp; Settings'!$U$5:$U$66,0)),"")</f>
      </c>
      <c r="I34" s="151" t="s">
        <f>IF(G34="","",IF(MONTH(G34+1)&lt;&gt;MONTH(G34),"",G34+1))</f>
      </c>
      <c r="J34" s="152" t="s">
        <f>IFERROR(INDEX('Admin &amp; Settings'!$P$5:$P$66,MATCH(Schedule!I34,'Admin &amp; Settings'!$U$5:$U$66,0)),"")</f>
      </c>
      <c r="K34" s="151" t="s">
        <f>IF(I34="","",IF(MONTH(I34+1)&lt;&gt;MONTH(I34),"",I34+1))</f>
      </c>
      <c r="L34" s="152" t="s">
        <f>IFERROR(INDEX('Admin &amp; Settings'!$P$5:$P$66,MATCH(Schedule!K34,'Admin &amp; Settings'!$U$5:$U$66,0)),"")</f>
      </c>
      <c r="M34" s="151" t="s">
        <f>IF(K34="","",IF(MONTH(K34+1)&lt;&gt;MONTH(K34),"",K34+1))</f>
      </c>
      <c r="N34" s="192"/>
      <c r="O34" s="151" t="s">
        <f>IF(M34="","",IF(MONTH(M34+1)&lt;&gt;MONTH(M34),"",M34+1))</f>
      </c>
      <c r="P34" s="192"/>
      <c r="Q34" s="151" t="s">
        <f>IF(O34="","",IF(MONTH(O34+1)&lt;&gt;MONTH(O34),"",O34+1))</f>
      </c>
      <c r="R34" s="192"/>
      <c r="S34" s="151" t="s">
        <f>IF(Q34="","",IF(MONTH(Q34+1)&lt;&gt;MONTH(Q34),"",Q34+1))</f>
      </c>
      <c r="T34" s="192"/>
      <c r="U34" s="13"/>
      <c r="V34" s="13"/>
    </row>
    <row r="35" ht="20.15" customHeight="true">
      <c r="A35" s="171"/>
      <c r="B35" s="172"/>
      <c r="C35" s="13"/>
      <c r="D35" s="150"/>
      <c r="E35" s="96"/>
      <c r="F35" s="13"/>
      <c r="G35" s="155"/>
      <c r="H35" s="156"/>
      <c r="I35" s="155"/>
      <c r="J35" s="156"/>
      <c r="K35" s="155"/>
      <c r="L35" s="156"/>
      <c r="M35" s="155"/>
      <c r="N35" s="156"/>
      <c r="O35" s="155"/>
      <c r="P35" s="156"/>
      <c r="Q35" s="155"/>
      <c r="R35" s="156"/>
      <c r="S35" s="155"/>
      <c r="T35" s="156"/>
      <c r="U35" s="13"/>
      <c r="V35" s="13"/>
    </row>
    <row r="36" ht="20.15" customHeight="true">
      <c r="A36" s="171"/>
      <c r="B36" s="172"/>
      <c r="C36" s="13"/>
      <c r="D36" s="150"/>
      <c r="E36" s="96"/>
      <c r="F36" s="13"/>
      <c r="G36" s="155"/>
      <c r="H36" s="156"/>
      <c r="I36" s="155"/>
      <c r="J36" s="156"/>
      <c r="K36" s="155"/>
      <c r="L36" s="156"/>
      <c r="M36" s="155"/>
      <c r="N36" s="156"/>
      <c r="O36" s="155"/>
      <c r="P36" s="156"/>
      <c r="Q36" s="155"/>
      <c r="R36" s="156"/>
      <c r="S36" s="155"/>
      <c r="T36" s="156"/>
      <c r="U36" s="13"/>
      <c r="V36" s="13"/>
    </row>
    <row r="37" ht="20.15" customHeight="true">
      <c r="A37" s="171"/>
      <c r="B37" s="172"/>
      <c r="C37" s="13"/>
      <c r="D37" s="150"/>
      <c r="E37" s="96"/>
      <c r="F37" s="13"/>
      <c r="G37" s="155"/>
      <c r="H37" s="156"/>
      <c r="I37" s="155"/>
      <c r="J37" s="156"/>
      <c r="K37" s="155"/>
      <c r="L37" s="156"/>
      <c r="M37" s="155"/>
      <c r="N37" s="156"/>
      <c r="O37" s="155"/>
      <c r="P37" s="156"/>
      <c r="Q37" s="155"/>
      <c r="R37" s="156"/>
      <c r="S37" s="155"/>
      <c r="T37" s="156"/>
      <c r="U37" s="13"/>
      <c r="V37" s="13"/>
    </row>
    <row r="38" ht="20.15" customHeight="true">
      <c r="A38" s="171"/>
      <c r="B38" s="172"/>
      <c r="C38" s="13"/>
      <c r="D38" s="150"/>
      <c r="E38" s="96"/>
      <c r="F38" s="13"/>
      <c r="G38" s="155"/>
      <c r="H38" s="156"/>
      <c r="I38" s="155"/>
      <c r="J38" s="156"/>
      <c r="K38" s="155"/>
      <c r="L38" s="156"/>
      <c r="M38" s="155"/>
      <c r="N38" s="156"/>
      <c r="O38" s="155"/>
      <c r="P38" s="156"/>
      <c r="Q38" s="155"/>
      <c r="R38" s="156"/>
      <c r="S38" s="155"/>
      <c r="T38" s="156"/>
      <c r="U38" s="13"/>
      <c r="V38" s="13"/>
    </row>
    <row r="39" ht="20.15" customHeight="true">
      <c r="A39" s="171"/>
      <c r="B39" s="172"/>
      <c r="C39" s="13"/>
      <c r="D39" s="193"/>
      <c r="E39" s="96"/>
      <c r="F39" s="13"/>
      <c r="G39" s="163"/>
      <c r="H39" s="164"/>
      <c r="I39" s="163"/>
      <c r="J39" s="164"/>
      <c r="K39" s="163"/>
      <c r="L39" s="164"/>
      <c r="M39" s="163"/>
      <c r="N39" s="164"/>
      <c r="O39" s="163"/>
      <c r="P39" s="164"/>
      <c r="Q39" s="163"/>
      <c r="R39" s="164"/>
      <c r="S39" s="163"/>
      <c r="T39" s="164"/>
      <c r="U39" s="13"/>
      <c r="V39" s="13"/>
    </row>
    <row r="40" ht="20.15" customHeight="true">
      <c r="A40" s="171"/>
      <c r="B40" s="172"/>
      <c r="C40" s="13"/>
      <c r="D40" s="193"/>
      <c r="E40" s="96"/>
      <c r="F40" s="13"/>
      <c r="G40" s="14"/>
      <c r="H40" s="13"/>
      <c r="I40" s="14"/>
      <c r="J40" s="13"/>
      <c r="K40" s="14"/>
      <c r="L40" s="13"/>
      <c r="M40" s="14"/>
      <c r="N40" s="13"/>
      <c r="O40" s="14"/>
      <c r="P40" s="13"/>
      <c r="Q40" s="14"/>
      <c r="R40" s="13"/>
      <c r="S40" s="14"/>
      <c r="T40" s="13"/>
      <c r="U40" s="13"/>
      <c r="V40" s="13"/>
    </row>
    <row r="41" ht="20.15" customHeight="true">
      <c r="A41" s="171"/>
      <c r="B41" s="172"/>
      <c r="C41" s="13"/>
      <c r="D41" s="193"/>
      <c r="E41" s="96"/>
      <c r="F41" s="13"/>
      <c r="G41" s="14"/>
      <c r="H41" s="13"/>
      <c r="I41" s="14"/>
      <c r="J41" s="13"/>
      <c r="K41" s="14"/>
      <c r="L41" s="13"/>
      <c r="M41" s="14"/>
      <c r="N41" s="13"/>
      <c r="O41" s="14"/>
      <c r="P41" s="13"/>
      <c r="Q41" s="14"/>
      <c r="R41" s="13"/>
      <c r="S41" s="14"/>
      <c r="T41" s="13"/>
      <c r="U41" s="13"/>
      <c r="V41" s="13"/>
    </row>
    <row r="42" ht="20.15" customHeight="true">
      <c r="A42" s="171"/>
      <c r="B42" s="172"/>
      <c r="C42" s="13"/>
      <c r="D42" s="150"/>
      <c r="E42" s="15"/>
      <c r="F42" s="13"/>
      <c r="G42" s="14"/>
      <c r="H42" s="13"/>
      <c r="I42" s="14"/>
      <c r="J42" s="13"/>
      <c r="K42" s="14"/>
      <c r="L42" s="13"/>
      <c r="M42" s="14"/>
      <c r="N42" s="13"/>
      <c r="O42" s="14"/>
      <c r="P42" s="13"/>
      <c r="Q42" s="14"/>
      <c r="R42" s="13"/>
      <c r="S42" s="14"/>
      <c r="T42" s="13"/>
      <c r="U42" s="13"/>
      <c r="V42" s="13"/>
    </row>
    <row r="43" ht="20.15" customHeight="true">
      <c r="A43" s="171"/>
      <c r="B43" s="172"/>
      <c r="C43" s="13"/>
      <c r="D43" s="150"/>
      <c r="E43" s="15"/>
      <c r="F43" s="13"/>
      <c r="G43" s="14"/>
      <c r="H43" s="13"/>
      <c r="I43" s="14"/>
      <c r="J43" s="13"/>
      <c r="K43" s="14"/>
      <c r="L43" s="13"/>
      <c r="M43" s="14"/>
      <c r="N43" s="13"/>
      <c r="O43" s="14"/>
      <c r="P43" s="13"/>
      <c r="Q43" s="14"/>
      <c r="R43" s="13"/>
      <c r="S43" s="14"/>
      <c r="T43" s="13"/>
      <c r="U43" s="13"/>
      <c r="V43" s="13"/>
    </row>
    <row r="44" ht="20.15" customHeight="true">
      <c r="A44" s="171"/>
      <c r="B44" s="172"/>
      <c r="C44" s="13"/>
      <c r="D44" s="150"/>
      <c r="E44" s="15"/>
      <c r="F44" s="13"/>
      <c r="G44" s="14"/>
      <c r="H44" s="13"/>
      <c r="I44" s="14"/>
      <c r="J44" s="13"/>
      <c r="K44" s="14"/>
      <c r="L44" s="13"/>
      <c r="M44" s="14"/>
      <c r="N44" s="13"/>
      <c r="O44" s="14"/>
      <c r="P44" s="13"/>
      <c r="Q44" s="14"/>
      <c r="R44" s="13"/>
      <c r="S44" s="14"/>
      <c r="T44" s="13"/>
      <c r="U44" s="13"/>
      <c r="V44" s="13"/>
    </row>
    <row r="45" ht="20.15" customHeight="true">
      <c r="A45" s="171"/>
      <c r="B45" s="172"/>
      <c r="C45" s="13"/>
      <c r="D45" s="150"/>
      <c r="E45" s="15"/>
      <c r="F45" s="13"/>
      <c r="G45" s="14"/>
      <c r="H45" s="13"/>
      <c r="I45" s="14"/>
      <c r="J45" s="13"/>
      <c r="K45" s="14"/>
      <c r="L45" s="13"/>
      <c r="M45" s="14"/>
      <c r="N45" s="13"/>
      <c r="O45" s="14"/>
      <c r="P45" s="13"/>
      <c r="Q45" s="14"/>
      <c r="R45" s="13"/>
      <c r="S45" s="14"/>
      <c r="T45" s="13"/>
      <c r="U45" s="13"/>
      <c r="V45" s="13"/>
    </row>
    <row r="46" ht="20.15" customHeight="true">
      <c r="A46" s="171"/>
      <c r="B46" s="172"/>
      <c r="C46" s="13"/>
      <c r="D46" s="150"/>
      <c r="E46" s="15"/>
      <c r="F46" s="13"/>
      <c r="G46" s="14"/>
      <c r="H46" s="13"/>
      <c r="I46" s="14"/>
      <c r="J46" s="13"/>
      <c r="K46" s="14"/>
      <c r="L46" s="13"/>
      <c r="M46" s="14"/>
      <c r="N46" s="13"/>
      <c r="O46" s="14"/>
      <c r="P46" s="13"/>
      <c r="Q46" s="14"/>
      <c r="R46" s="13"/>
      <c r="S46" s="14"/>
      <c r="T46" s="13"/>
      <c r="U46" s="13"/>
      <c r="V46" s="13"/>
    </row>
    <row r="47" ht="20.15" customHeight="true">
      <c r="A47" s="171"/>
      <c r="B47" s="172"/>
      <c r="C47" s="13"/>
      <c r="D47" s="150"/>
      <c r="E47" s="15"/>
      <c r="F47" s="13"/>
      <c r="G47" s="14"/>
      <c r="H47" s="13"/>
      <c r="I47" s="14"/>
      <c r="J47" s="13"/>
      <c r="K47" s="14"/>
      <c r="L47" s="13"/>
      <c r="M47" s="14"/>
      <c r="N47" s="13"/>
      <c r="O47" s="14"/>
      <c r="P47" s="13"/>
      <c r="Q47" s="14"/>
      <c r="R47" s="13"/>
      <c r="S47" s="14"/>
      <c r="T47" s="13"/>
      <c r="U47" s="13"/>
      <c r="V47" s="13"/>
    </row>
    <row r="48" ht="20.15" customHeight="true">
      <c r="A48" s="171"/>
      <c r="B48" s="172"/>
      <c r="C48" s="13"/>
      <c r="D48" s="150"/>
      <c r="E48" s="15"/>
      <c r="F48" s="13"/>
      <c r="G48" s="14"/>
      <c r="H48" s="13"/>
      <c r="I48" s="14"/>
      <c r="J48" s="13"/>
      <c r="K48" s="14"/>
      <c r="L48" s="13"/>
      <c r="M48" s="14"/>
      <c r="N48" s="13"/>
      <c r="O48" s="14"/>
      <c r="P48" s="13"/>
      <c r="Q48" s="14"/>
      <c r="R48" s="13"/>
      <c r="S48" s="14"/>
      <c r="T48" s="13"/>
      <c r="U48" s="13"/>
      <c r="V48" s="13"/>
    </row>
    <row r="49" ht="20.15" customHeight="true">
      <c r="A49" s="171"/>
      <c r="B49" s="172"/>
      <c r="C49" s="13"/>
      <c r="D49" s="150"/>
      <c r="E49" s="15"/>
      <c r="F49" s="13"/>
      <c r="G49" s="14"/>
      <c r="H49" s="13"/>
      <c r="I49" s="14"/>
      <c r="J49" s="13"/>
      <c r="K49" s="14"/>
      <c r="L49" s="13"/>
      <c r="M49" s="14"/>
      <c r="N49" s="13"/>
      <c r="O49" s="14"/>
      <c r="P49" s="13"/>
      <c r="Q49" s="14"/>
      <c r="R49" s="13"/>
      <c r="S49" s="14"/>
      <c r="T49" s="13"/>
      <c r="U49" s="13"/>
      <c r="V49" s="13"/>
    </row>
    <row r="50" ht="20.15" customHeight="true">
      <c r="A50" s="171"/>
      <c r="B50" s="172"/>
      <c r="C50" s="13"/>
      <c r="D50" s="150"/>
      <c r="E50" s="15"/>
      <c r="F50" s="13"/>
      <c r="G50" s="14"/>
      <c r="H50" s="13"/>
      <c r="I50" s="14"/>
      <c r="J50" s="13"/>
      <c r="K50" s="14"/>
      <c r="L50" s="13"/>
      <c r="M50" s="14"/>
      <c r="N50" s="13"/>
      <c r="O50" s="14"/>
      <c r="P50" s="13"/>
      <c r="Q50" s="14"/>
      <c r="R50" s="13"/>
      <c r="S50" s="14"/>
      <c r="T50" s="13"/>
      <c r="U50" s="13"/>
      <c r="V50" s="13"/>
    </row>
    <row r="51" ht="16.00" customHeight="true">
      <c r="G51" s="194"/>
      <c r="I51" s="195"/>
      <c r="K51" s="196"/>
      <c r="M51" s="194"/>
      <c r="O51" s="195"/>
      <c r="Q51" s="196"/>
      <c r="S51" s="197"/>
    </row>
    <row r="52" ht="16.00" customHeight="true">
      <c r="G52" s="194"/>
      <c r="I52" s="195"/>
      <c r="K52" s="196"/>
      <c r="M52" s="194"/>
      <c r="O52" s="195"/>
      <c r="Q52" s="196"/>
      <c r="S52" s="197"/>
    </row>
    <row r="53" ht="16.00" customHeight="true">
      <c r="G53" s="194"/>
      <c r="I53" s="195"/>
      <c r="K53" s="196"/>
      <c r="M53" s="194"/>
      <c r="O53" s="195"/>
      <c r="Q53" s="196"/>
      <c r="S53" s="197"/>
    </row>
    <row r="54" ht="16.00" customHeight="true">
      <c r="G54" s="194"/>
      <c r="I54" s="195"/>
      <c r="K54" s="196"/>
      <c r="M54" s="194"/>
      <c r="O54" s="195"/>
      <c r="Q54" s="196"/>
      <c r="S54" s="197"/>
    </row>
    <row r="55" ht="16.00" customHeight="true">
      <c r="G55" s="194"/>
      <c r="I55" s="195"/>
      <c r="K55" s="196"/>
      <c r="M55" s="194"/>
      <c r="O55" s="195"/>
      <c r="Q55" s="196"/>
      <c r="S55" s="197"/>
    </row>
    <row r="56" ht="16.00" customHeight="true">
      <c r="G56" s="194"/>
      <c r="I56" s="195"/>
      <c r="K56" s="196"/>
      <c r="M56" s="194"/>
      <c r="O56" s="195"/>
      <c r="Q56" s="196"/>
      <c r="S56" s="197"/>
    </row>
    <row r="57" ht="16.00" customHeight="true">
      <c r="G57" s="194"/>
      <c r="I57" s="195"/>
      <c r="K57" s="196"/>
      <c r="M57" s="194"/>
      <c r="O57" s="195"/>
      <c r="Q57" s="196"/>
      <c r="S57" s="197"/>
    </row>
    <row r="58" ht="16.00" customHeight="true">
      <c r="G58" s="194"/>
      <c r="I58" s="195"/>
      <c r="K58" s="196"/>
      <c r="M58" s="194"/>
      <c r="O58" s="195"/>
      <c r="Q58" s="196"/>
      <c r="S58" s="197"/>
    </row>
    <row r="59" ht="16.00" customHeight="true">
      <c r="G59" s="194"/>
      <c r="I59" s="195"/>
      <c r="K59" s="196"/>
      <c r="M59" s="194"/>
      <c r="O59" s="195"/>
      <c r="Q59" s="196"/>
      <c r="S59" s="197"/>
    </row>
    <row r="60" ht="16.00" customHeight="true">
      <c r="G60" s="194"/>
      <c r="I60" s="195"/>
      <c r="K60" s="196"/>
      <c r="M60" s="194"/>
      <c r="O60" s="195"/>
      <c r="Q60" s="196"/>
      <c r="S60" s="197"/>
    </row>
    <row r="61" ht="16.00" customHeight="true">
      <c r="G61" s="194"/>
      <c r="I61" s="195"/>
      <c r="K61" s="196"/>
      <c r="M61" s="194"/>
      <c r="O61" s="195"/>
      <c r="Q61" s="196"/>
      <c r="S61" s="197"/>
    </row>
    <row r="62" ht="16.00" customHeight="true">
      <c r="G62" s="194"/>
      <c r="I62" s="195"/>
      <c r="K62" s="196"/>
      <c r="M62" s="194"/>
      <c r="O62" s="195"/>
      <c r="Q62" s="196"/>
      <c r="S62" s="197"/>
    </row>
    <row r="63" ht="16.00" customHeight="true">
      <c r="G63" s="194"/>
      <c r="I63" s="195"/>
      <c r="K63" s="196"/>
      <c r="M63" s="194"/>
      <c r="O63" s="195"/>
      <c r="Q63" s="196"/>
      <c r="S63" s="197"/>
    </row>
    <row r="64" ht="16.00" customHeight="true">
      <c r="G64" s="194"/>
      <c r="I64" s="195"/>
      <c r="K64" s="196"/>
      <c r="M64" s="194"/>
      <c r="O64" s="195"/>
      <c r="Q64" s="196"/>
      <c r="S64" s="197"/>
    </row>
    <row r="65" ht="16.00" customHeight="true">
      <c r="G65" s="194"/>
      <c r="I65" s="195"/>
      <c r="K65" s="196"/>
      <c r="M65" s="194"/>
      <c r="O65" s="195"/>
      <c r="Q65" s="196"/>
      <c r="S65" s="197"/>
    </row>
    <row r="66" ht="16.00" customHeight="true">
      <c r="G66" s="194"/>
      <c r="I66" s="195"/>
      <c r="K66" s="196"/>
      <c r="M66" s="194"/>
      <c r="O66" s="195"/>
      <c r="Q66" s="196"/>
      <c r="S66" s="197"/>
    </row>
    <row r="67" ht="16.00" customHeight="true">
      <c r="G67" s="194"/>
      <c r="I67" s="195"/>
      <c r="K67" s="196"/>
      <c r="M67" s="194"/>
      <c r="O67" s="195"/>
      <c r="Q67" s="196"/>
      <c r="S67" s="197"/>
    </row>
    <row r="68" ht="16.00" customHeight="true">
      <c r="G68" s="194"/>
      <c r="I68" s="195"/>
      <c r="K68" s="196"/>
      <c r="M68" s="194"/>
      <c r="O68" s="195"/>
      <c r="Q68" s="196"/>
      <c r="S68" s="197"/>
    </row>
    <row r="69" ht="16.00" customHeight="true">
      <c r="G69" s="194"/>
      <c r="I69" s="195"/>
      <c r="K69" s="196"/>
      <c r="M69" s="194"/>
      <c r="O69" s="195"/>
      <c r="Q69" s="196"/>
      <c r="S69" s="197"/>
    </row>
    <row r="70" ht="16.00" customHeight="true">
      <c r="G70" s="194"/>
      <c r="I70" s="195"/>
      <c r="K70" s="196"/>
      <c r="M70" s="194"/>
      <c r="O70" s="195"/>
      <c r="Q70" s="196"/>
      <c r="S70" s="197"/>
    </row>
    <row r="71" ht="16.00" customHeight="true">
      <c r="G71" s="194"/>
      <c r="I71" s="195"/>
      <c r="K71" s="196"/>
      <c r="M71" s="194"/>
      <c r="O71" s="195"/>
      <c r="Q71" s="196"/>
      <c r="S71" s="197"/>
    </row>
    <row r="72" ht="16.00" customHeight="true">
      <c r="G72" s="194"/>
      <c r="I72" s="195"/>
      <c r="K72" s="196"/>
      <c r="M72" s="194"/>
      <c r="O72" s="195"/>
      <c r="Q72" s="196"/>
      <c r="S72" s="197"/>
    </row>
    <row r="73" ht="16.00" customHeight="true">
      <c r="G73" s="194"/>
      <c r="I73" s="195"/>
      <c r="K73" s="196"/>
      <c r="M73" s="194"/>
      <c r="O73" s="195"/>
      <c r="Q73" s="196"/>
      <c r="S73" s="197"/>
    </row>
    <row r="74" ht="16.00" customHeight="true">
      <c r="G74" s="194"/>
      <c r="I74" s="195"/>
      <c r="K74" s="196"/>
      <c r="M74" s="194"/>
      <c r="O74" s="195"/>
      <c r="Q74" s="196"/>
      <c r="S74" s="197"/>
    </row>
    <row r="75" ht="16.00" customHeight="true">
      <c r="G75" s="194"/>
      <c r="I75" s="195"/>
      <c r="K75" s="196"/>
      <c r="M75" s="194"/>
      <c r="O75" s="195"/>
      <c r="Q75" s="196"/>
      <c r="S75" s="197"/>
    </row>
    <row r="76" ht="16.00" customHeight="true">
      <c r="G76" s="194"/>
      <c r="I76" s="195"/>
      <c r="K76" s="196"/>
      <c r="M76" s="194"/>
      <c r="O76" s="195"/>
      <c r="Q76" s="196"/>
      <c r="S76" s="197"/>
    </row>
    <row r="77" ht="16.00" customHeight="true">
      <c r="G77" s="194"/>
      <c r="I77" s="195"/>
      <c r="K77" s="196"/>
      <c r="M77" s="194"/>
      <c r="O77" s="195"/>
      <c r="Q77" s="196"/>
      <c r="S77" s="197"/>
    </row>
    <row r="78" ht="16.00" customHeight="true">
      <c r="G78" s="194"/>
      <c r="I78" s="195"/>
      <c r="K78" s="196"/>
      <c r="M78" s="194"/>
      <c r="O78" s="195"/>
      <c r="Q78" s="196"/>
      <c r="S78" s="197"/>
    </row>
  </sheetData>
  <mergeCells count="8">
    <mergeCell ref="S3:T3"/>
    <mergeCell ref="E21:E23"/>
    <mergeCell ref="G3:H3"/>
    <mergeCell ref="I3:J3"/>
    <mergeCell ref="K3:L3"/>
    <mergeCell ref="M3:N3"/>
    <mergeCell ref="O3:P3"/>
    <mergeCell ref="Q3:R3"/>
  </mergeCells>
  <phoneticPr fontId="0" type="noConversion"/>
  <dataValidations count="4">
    <dataValidation type="list" allowBlank="true" showInputMessage="1" showErrorMessage="1" sqref="E3">
      <formula1>"=Cont_Name"</formula1>
    </dataValidation>
    <dataValidation type="list" allowBlank="true" showInputMessage="1" showErrorMessage="1" sqref="E9">
      <formula1>"=Status"</formula1>
    </dataValidation>
    <dataValidation type="list" allowBlank="true" showInputMessage="1" showErrorMessage="1" sqref="E6:E7">
      <formula1>"=Times"</formula1>
    </dataValidation>
    <dataValidation type="list" allowBlank="true" showInputMessage="1" showErrorMessage="1" sqref="E14">
      <formula1>"=ContTypes"</formula1>
    </dataValidation>
  </dataValidations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33CC"/>
  </sheetPr>
  <dimension ref="A1"/>
  <sheetViews>
    <sheetView showGridLines="0" tabSelected="0" workbookViewId="0">
      <selection activeCell="A1" sqref="A1"/>
    </sheetView>
  </sheetViews>
  <sheetFormatPr defaultRowHeight="20.15" customHeight="1" defaultColWidth="6.34"/>
  <cols>
    <col min="1" max="2" width="6.20" customWidth="1" hidden="0"/>
    <col min="3" max="3" width="1.29" customWidth="1" hidden="0"/>
    <col min="4" max="4" width="15.19" customWidth="1" hidden="0"/>
    <col min="5" max="5" width="6.20" customWidth="1" hidden="0"/>
    <col min="6" max="6" width="7.02" customWidth="1" hidden="0"/>
    <col min="7" max="7" width="4.56" customWidth="1" hidden="0"/>
    <col min="8" max="8" width="8.65" customWidth="1" hidden="0"/>
    <col min="9" max="10" width="14.38" customWidth="1" hidden="0"/>
    <col min="11" max="11" width="1.29" customWidth="1" hidden="0"/>
    <col min="12" max="12" width="13.35" customWidth="1" hidden="0"/>
    <col min="13" max="13" width="2.66" customWidth="1" hidden="0"/>
    <col min="14" max="14" width="14.79" customWidth="1" hidden="0"/>
    <col min="15" max="15" width="10.29" customWidth="1" hidden="0"/>
    <col min="16" max="16" width="48.65" customWidth="1" hidden="0"/>
    <col min="17" max="17" width="27.66" customWidth="1" hidden="0"/>
    <col min="18" max="18" width="29.09" customWidth="1" hidden="0"/>
    <col min="19" max="19" width="21.94" customWidth="1" hidden="0"/>
  </cols>
  <sheetData>
    <row r="1" ht="40.00" customHeight="true">
      <c r="A1" s="198"/>
      <c r="B1" s="198"/>
      <c r="C1" s="198"/>
      <c r="D1" s="199" t="s">
        <f>MID(CELL("filename",A1),FIND("]",CELL("filename",A1))+1,255)</f>
        <v>323</v>
      </c>
      <c r="E1" s="200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</row>
    <row r="2" ht="40.00" customHeight="true">
      <c r="A2" s="202"/>
      <c r="B2" s="202"/>
      <c r="C2" s="203"/>
      <c r="D2" t="s" s="204">
        <v>324</v>
      </c>
      <c r="E2" s="205"/>
      <c r="F2" s="206"/>
      <c r="I2" t="s" s="207">
        <v>325</v>
      </c>
      <c r="J2" s="208">
        <v>1009</v>
      </c>
      <c r="K2" s="206"/>
      <c r="L2" s="209"/>
      <c r="M2" s="209"/>
      <c r="N2" t="s" s="210">
        <v>326</v>
      </c>
      <c r="O2" s="209"/>
      <c r="P2" s="209"/>
      <c r="Q2" s="209"/>
    </row>
    <row r="3" ht="20.15" customHeight="true">
      <c r="A3" s="202"/>
      <c r="B3" s="202"/>
      <c r="C3" s="203"/>
      <c r="D3" s="211"/>
      <c r="E3" s="212"/>
      <c r="F3" s="213"/>
      <c r="G3" s="214"/>
      <c r="H3" s="214"/>
      <c r="I3" s="215"/>
      <c r="J3" s="216"/>
      <c r="K3" s="206"/>
      <c r="L3" s="209"/>
      <c r="M3" s="209"/>
      <c r="N3" s="217"/>
      <c r="O3" s="209"/>
      <c r="P3" s="209"/>
      <c r="Q3" s="209"/>
    </row>
    <row r="4" ht="20.15" customHeight="true">
      <c r="A4" s="218"/>
      <c r="B4" s="218"/>
      <c r="C4" s="219"/>
      <c r="D4" s="220" t="s">
        <f>IF('Admin &amp; Settings'!G16&lt;&gt;"",'Admin &amp; Settings'!G16,"")</f>
        <v>327</v>
      </c>
      <c r="E4" s="221"/>
      <c r="F4" s="222"/>
      <c r="G4" s="222"/>
      <c r="H4" s="223"/>
      <c r="I4" t="s" s="224">
        <v>328</v>
      </c>
      <c r="J4" s="225">
        <v>1010</v>
      </c>
      <c r="K4" s="223"/>
      <c r="L4" s="226"/>
      <c r="M4" s="226"/>
      <c r="N4" t="s" s="227">
        <v>329</v>
      </c>
      <c r="O4" s="228"/>
      <c r="P4" s="226"/>
      <c r="Q4" s="226"/>
    </row>
    <row r="5" ht="20.15" customHeight="true">
      <c r="A5" s="218"/>
      <c r="B5" s="218"/>
      <c r="C5" s="219"/>
      <c r="D5" s="229" t="s">
        <f>IF('Admin &amp; Settings'!G17&lt;&gt;"",'Admin &amp; Settings'!G17,"")</f>
        <v>330</v>
      </c>
      <c r="E5" s="230"/>
      <c r="F5" s="231"/>
      <c r="I5" t="s" s="224">
        <v>331</v>
      </c>
      <c r="J5" s="232">
        <v>45016</v>
      </c>
      <c r="K5" s="223"/>
      <c r="L5" s="226"/>
      <c r="M5" s="226"/>
      <c r="N5" t="s" s="227">
        <v>332</v>
      </c>
      <c r="O5" s="233">
        <v>0.0825</v>
      </c>
      <c r="P5" s="226"/>
      <c r="Q5" s="226"/>
    </row>
    <row r="6" ht="20.15" customHeight="true">
      <c r="A6" s="218"/>
      <c r="B6" s="218"/>
      <c r="C6" s="234"/>
      <c r="D6" s="229" t="s">
        <f>IF('Admin &amp; Settings'!G18&lt;&gt;"",'Admin &amp; Settings'!G18,"")</f>
        <v>333</v>
      </c>
      <c r="E6" s="235" t="s">
        <f>IF('Admin &amp; Settings'!H18&lt;&gt;"",'Admin &amp; Settings'!H18,"")</f>
        <v>334</v>
      </c>
      <c r="F6" s="229" t="s">
        <f>IF('Admin &amp; Settings'!I18&lt;&gt;"",'Admin &amp; Settings'!I18,"")</f>
        <v>335</v>
      </c>
      <c r="G6" s="222"/>
      <c r="I6" t="s" s="224">
        <v>336</v>
      </c>
      <c r="J6" t="s" s="236">
        <v>337</v>
      </c>
      <c r="K6" s="222"/>
      <c r="L6" s="226"/>
      <c r="M6" s="226"/>
      <c r="N6" t="s" s="227">
        <v>338</v>
      </c>
      <c r="O6" s="237">
        <v>40</v>
      </c>
      <c r="P6" s="226"/>
      <c r="Q6" s="226"/>
    </row>
    <row r="7" ht="20.15" customHeight="true">
      <c r="A7" s="218"/>
      <c r="B7" s="218"/>
      <c r="C7" s="234"/>
      <c r="D7" s="238" t="s">
        <f>IF('Admin &amp; Settings'!G19&lt;&gt;"",'Admin &amp; Settings'!G19,"")</f>
        <v>339</v>
      </c>
      <c r="E7" s="230"/>
      <c r="F7" s="231"/>
      <c r="G7" s="222"/>
      <c r="K7" s="222"/>
      <c r="L7" s="226"/>
      <c r="M7" s="226"/>
      <c r="N7" t="s" s="227">
        <v>340</v>
      </c>
      <c r="O7" s="239" t="s">
        <f>IF(J6="Due on Receipt",0,RIGHT(J6,2))</f>
        <v>341</v>
      </c>
      <c r="P7" s="226"/>
      <c r="Q7" s="226"/>
    </row>
    <row r="8" ht="20.15" customHeight="true">
      <c r="A8" s="240"/>
      <c r="B8" s="240"/>
      <c r="C8" s="234"/>
      <c r="D8" s="229" t="s">
        <f>IF('Admin &amp; Settings'!G20&lt;&gt;"",'Admin &amp; Settings'!G20,"")</f>
        <v>342</v>
      </c>
      <c r="E8" s="230"/>
      <c r="F8" s="231"/>
      <c r="G8" s="222"/>
      <c r="H8" s="222"/>
      <c r="K8" s="223"/>
      <c r="L8" s="241"/>
      <c r="M8" s="241"/>
      <c r="N8" t="s" s="227">
        <v>343</v>
      </c>
      <c r="O8" s="242">
        <f>IFERROR(J5+O7,"")</f>
        <v>45046</v>
      </c>
      <c r="P8" s="241"/>
      <c r="Q8" s="241"/>
    </row>
    <row r="9" ht="20.15" customHeight="true">
      <c r="A9" s="243"/>
      <c r="B9" s="243"/>
      <c r="C9" s="244"/>
      <c r="L9" s="245"/>
      <c r="M9" s="246"/>
      <c r="N9" s="247"/>
      <c r="O9" s="248"/>
      <c r="P9" s="245"/>
      <c r="Q9" s="245"/>
    </row>
    <row r="10" ht="20.15" customHeight="true">
      <c r="A10" s="243"/>
      <c r="B10" s="243"/>
      <c r="C10" s="244"/>
      <c r="D10" t="s" s="249">
        <v>344</v>
      </c>
      <c r="E10" s="250"/>
      <c r="F10" s="222"/>
      <c r="L10" s="245"/>
      <c r="M10" s="245"/>
      <c r="N10" s="247"/>
      <c r="O10" s="248"/>
      <c r="P10" s="245"/>
      <c r="Q10" s="245"/>
    </row>
    <row r="11" ht="20.15" customHeight="true">
      <c r="A11" s="243"/>
      <c r="B11" s="243"/>
      <c r="C11" s="244"/>
      <c r="D11" s="251" t="s">
        <f>IFERROR(INDEX(Appointments!$C$4:$C$204,MATCH('Invoice Template'!$J$4,Appointments!$I$4:$I$204,0)),"")</f>
        <v>345</v>
      </c>
      <c r="E11" s="250"/>
      <c r="F11" s="251"/>
      <c r="L11" s="245"/>
      <c r="M11" s="245"/>
      <c r="N11" t="s" s="252">
        <v>346</v>
      </c>
      <c r="O11" t="s" s="253">
        <v>347</v>
      </c>
      <c r="P11" s="254"/>
      <c r="Q11" s="245"/>
    </row>
    <row r="12" ht="20.15" customHeight="true">
      <c r="A12" s="243"/>
      <c r="B12" s="243"/>
      <c r="C12" s="244"/>
      <c r="D12" s="251" t="s">
        <f>IFERROR(INDEX(Customers!$F$4:$F$204,MATCH('Invoice Template'!$D$11,Customers!$B$4:$B$204,0)),"")</f>
        <v>348</v>
      </c>
      <c r="E12" s="250"/>
      <c r="F12" s="222"/>
      <c r="L12" s="245"/>
      <c r="M12" s="245"/>
      <c r="N12" s="245"/>
      <c r="O12" s="245"/>
      <c r="P12" s="245"/>
      <c r="Q12" s="245"/>
    </row>
    <row r="13" ht="20.15" customHeight="true">
      <c r="A13" s="243"/>
      <c r="B13" s="243"/>
      <c r="C13" s="244"/>
      <c r="D13" s="251" t="s">
        <f>IFERROR(INDEX(Customers!$G$4:$G$204,MATCH('Invoice Template'!$D$11,Customers!$B$4:$B$204,0)),"")</f>
        <v>349</v>
      </c>
      <c r="E13" s="250" t="s">
        <f>IFERROR(INDEX(Customers!$H$4:$H$204,MATCH('Invoice Template'!$D$11,Customers!$B$4:$B$204,0)),"")</f>
        <v>350</v>
      </c>
      <c r="F13" s="251">
        <f>IFERROR(INDEX(Customers!$I$4:$I$204,MATCH('Invoice Template'!$D$11,Customers!$B$4:$B$204,0)),"")</f>
        <v>99760</v>
      </c>
      <c r="L13" s="245"/>
      <c r="M13" s="245"/>
      <c r="N13" s="245"/>
      <c r="O13" s="245"/>
      <c r="P13" s="245"/>
      <c r="Q13" s="245"/>
    </row>
    <row r="14" ht="20.15" customHeight="true">
      <c r="A14" s="243"/>
      <c r="B14" s="243"/>
      <c r="C14" s="244"/>
      <c r="D14" s="255">
        <f>IFERROR(INDEX(Customers!$D$4:$D$204,MATCH('Invoice Template'!$D$11,Customers!$B$4:$B$204,0)),"")</f>
        <v>4105775808</v>
      </c>
      <c r="E14" s="250"/>
      <c r="F14" s="222"/>
      <c r="G14" s="256"/>
      <c r="L14" s="245"/>
      <c r="M14" s="245"/>
      <c r="N14" s="257"/>
      <c r="O14" s="257"/>
      <c r="P14" s="245"/>
      <c r="Q14" s="245"/>
    </row>
    <row r="15" ht="20.15" customHeight="true">
      <c r="A15" s="243"/>
      <c r="B15" s="243"/>
      <c r="C15" s="244"/>
      <c r="D15" s="251" t="s">
        <f>IFERROR(INDEX(Customers!$E$4:$E$204,MATCH('Invoice Template'!$D$11,Customers!$B$4:$B$204,0)),"")</f>
        <v>351</v>
      </c>
      <c r="E15" s="250"/>
      <c r="F15" s="222"/>
      <c r="G15" s="222"/>
      <c r="H15" s="222"/>
      <c r="I15" s="222"/>
      <c r="J15" s="222"/>
      <c r="L15" s="245"/>
      <c r="M15" s="245"/>
      <c r="N15" s="245"/>
      <c r="O15" s="245"/>
      <c r="P15" s="245"/>
      <c r="Q15" s="245"/>
    </row>
    <row r="16" ht="20.15" customHeight="true">
      <c r="A16" s="243"/>
      <c r="B16" s="243"/>
      <c r="C16" s="244"/>
      <c r="D16" s="222"/>
      <c r="E16" s="258"/>
      <c r="F16" s="222"/>
      <c r="G16" s="222"/>
      <c r="H16" s="222"/>
      <c r="I16" s="222"/>
      <c r="J16" s="222"/>
      <c r="L16" s="245"/>
      <c r="M16" s="245"/>
      <c r="N16" s="245"/>
      <c r="O16" s="245"/>
      <c r="P16" s="245"/>
      <c r="Q16" s="245"/>
    </row>
    <row r="17" ht="20.15" customHeight="true">
      <c r="A17" s="243"/>
      <c r="B17" s="243"/>
      <c r="C17" s="244"/>
      <c r="D17" t="s" s="259">
        <v>352</v>
      </c>
      <c r="E17" s="260"/>
      <c r="F17" s="261"/>
      <c r="G17" t="s" s="262">
        <v>353</v>
      </c>
      <c r="H17" t="s" s="262">
        <v>354</v>
      </c>
      <c r="I17" t="s" s="262">
        <v>355</v>
      </c>
      <c r="J17" t="s" s="262">
        <v>356</v>
      </c>
      <c r="L17" s="245"/>
      <c r="M17" s="245"/>
      <c r="N17" s="245"/>
      <c r="O17" s="245"/>
      <c r="P17" s="245"/>
      <c r="Q17" s="245"/>
    </row>
    <row r="18" ht="20.15" customHeight="true">
      <c r="A18" s="263"/>
      <c r="B18" s="263"/>
      <c r="C18" s="264"/>
      <c r="D18" t="s" s="265">
        <v>357</v>
      </c>
      <c r="E18" s="266"/>
      <c r="F18" s="267"/>
      <c r="G18" s="268">
        <v>10</v>
      </c>
      <c r="H18" t="s" s="269">
        <v>358</v>
      </c>
      <c r="I18" s="270">
        <v>125</v>
      </c>
      <c r="J18" s="271">
        <f>G18*I18</f>
        <v>1250</v>
      </c>
      <c r="L18" s="245"/>
      <c r="M18" s="245"/>
      <c r="N18" s="245"/>
      <c r="O18" s="245"/>
      <c r="P18" s="245"/>
      <c r="Q18" s="245"/>
    </row>
    <row r="19" ht="20.15" customHeight="true">
      <c r="A19" s="263"/>
      <c r="B19" s="263"/>
      <c r="C19" s="264"/>
      <c r="D19" t="s" s="272">
        <v>359</v>
      </c>
      <c r="E19" s="273"/>
      <c r="F19" s="274"/>
      <c r="G19" s="275">
        <v>3</v>
      </c>
      <c r="H19" t="s" s="276">
        <v>360</v>
      </c>
      <c r="I19" s="277">
        <v>145</v>
      </c>
      <c r="J19" s="278">
        <f ref="J19:J27" t="shared" si="2">G19*I19</f>
        <v>435</v>
      </c>
      <c r="L19" s="245"/>
      <c r="M19" s="245"/>
      <c r="N19" s="245"/>
      <c r="O19" s="245"/>
      <c r="P19" s="245"/>
      <c r="Q19" s="245"/>
    </row>
    <row r="20" ht="20.15" customHeight="true">
      <c r="A20" s="263"/>
      <c r="B20" s="263"/>
      <c r="C20" s="264"/>
      <c r="D20" s="279"/>
      <c r="E20" s="273"/>
      <c r="F20" s="274"/>
      <c r="G20" s="275"/>
      <c r="H20" s="275"/>
      <c r="I20" s="277"/>
      <c r="J20" s="278">
        <f t="shared" si="2"/>
        <v>0</v>
      </c>
      <c r="L20" s="245"/>
      <c r="M20" s="245"/>
      <c r="N20" s="245"/>
      <c r="O20" s="245"/>
      <c r="P20" s="245"/>
      <c r="Q20" s="245"/>
    </row>
    <row r="21" ht="20.15" customHeight="true">
      <c r="A21" s="263"/>
      <c r="B21" s="263"/>
      <c r="C21" s="264"/>
      <c r="D21" s="279"/>
      <c r="E21" s="273"/>
      <c r="F21" s="274"/>
      <c r="G21" s="275"/>
      <c r="H21" s="275"/>
      <c r="I21" s="277"/>
      <c r="J21" s="278">
        <f t="shared" si="2"/>
        <v>0</v>
      </c>
      <c r="L21" s="245"/>
      <c r="M21" s="245"/>
      <c r="N21" s="245"/>
      <c r="O21" s="245"/>
      <c r="P21" s="245"/>
      <c r="Q21" s="245"/>
    </row>
    <row r="22" ht="20.15" customHeight="true">
      <c r="A22" s="263"/>
      <c r="B22" s="263"/>
      <c r="C22" s="264"/>
      <c r="D22" s="279"/>
      <c r="E22" s="273"/>
      <c r="F22" s="274"/>
      <c r="G22" s="275"/>
      <c r="H22" s="275"/>
      <c r="I22" s="277"/>
      <c r="J22" s="278">
        <f t="shared" si="2"/>
        <v>0</v>
      </c>
      <c r="L22" s="245"/>
      <c r="M22" s="245"/>
      <c r="N22" s="245"/>
      <c r="O22" s="245"/>
      <c r="P22" s="245"/>
      <c r="Q22" s="245"/>
    </row>
    <row r="23" ht="20.15" customHeight="true">
      <c r="A23" s="263"/>
      <c r="B23" s="263"/>
      <c r="C23" s="264"/>
      <c r="D23" s="279"/>
      <c r="E23" s="273"/>
      <c r="F23" s="274"/>
      <c r="G23" s="275"/>
      <c r="H23" s="275"/>
      <c r="I23" s="277"/>
      <c r="J23" s="278">
        <f t="shared" si="2"/>
        <v>0</v>
      </c>
      <c r="L23" s="245"/>
      <c r="M23" s="245"/>
      <c r="N23" s="245"/>
      <c r="O23" s="245"/>
      <c r="P23" s="245"/>
      <c r="Q23" s="245"/>
    </row>
    <row r="24" ht="20.15" customHeight="true">
      <c r="A24" s="263"/>
      <c r="B24" s="263"/>
      <c r="C24" s="264"/>
      <c r="D24" s="279"/>
      <c r="E24" s="273"/>
      <c r="F24" s="274"/>
      <c r="G24" s="275"/>
      <c r="H24" s="275"/>
      <c r="I24" s="277"/>
      <c r="J24" s="278">
        <f t="shared" si="2"/>
        <v>0</v>
      </c>
      <c r="L24" s="245"/>
      <c r="M24" s="245"/>
      <c r="N24" s="245"/>
      <c r="O24" s="245"/>
      <c r="P24" s="245"/>
      <c r="Q24" s="245"/>
    </row>
    <row r="25" ht="20.15" customHeight="true">
      <c r="A25" s="263"/>
      <c r="B25" s="263"/>
      <c r="C25" s="264"/>
      <c r="D25" s="279"/>
      <c r="E25" s="273"/>
      <c r="F25" s="274"/>
      <c r="G25" s="275"/>
      <c r="H25" s="275"/>
      <c r="I25" s="277"/>
      <c r="J25" s="278">
        <f t="shared" si="2"/>
        <v>0</v>
      </c>
      <c r="L25" s="245"/>
      <c r="M25" s="245"/>
      <c r="N25" s="245"/>
      <c r="O25" s="245"/>
      <c r="P25" s="245"/>
      <c r="Q25" s="245"/>
    </row>
    <row r="26" ht="20.15" customHeight="true">
      <c r="A26" s="263"/>
      <c r="B26" s="263"/>
      <c r="C26" s="264"/>
      <c r="D26" s="279"/>
      <c r="E26" s="273"/>
      <c r="F26" s="274"/>
      <c r="G26" s="275"/>
      <c r="H26" s="275"/>
      <c r="I26" s="277"/>
      <c r="J26" s="278">
        <f t="shared" si="2"/>
        <v>0</v>
      </c>
      <c r="L26" s="245"/>
      <c r="M26" s="245"/>
      <c r="N26" s="245"/>
      <c r="O26" s="245"/>
      <c r="P26" s="245"/>
      <c r="Q26" s="245"/>
    </row>
    <row r="27" ht="20.15" customHeight="true">
      <c r="A27" s="263"/>
      <c r="B27" s="263"/>
      <c r="C27" s="264"/>
      <c r="D27" s="280"/>
      <c r="E27" s="281"/>
      <c r="F27" s="282"/>
      <c r="G27" s="283"/>
      <c r="H27" s="283"/>
      <c r="I27" s="284"/>
      <c r="J27" s="285">
        <f t="shared" si="2"/>
        <v>0</v>
      </c>
      <c r="L27" s="245"/>
      <c r="M27" s="245"/>
      <c r="N27" s="245"/>
      <c r="O27" s="245"/>
      <c r="P27" s="245"/>
      <c r="Q27" s="245"/>
    </row>
    <row r="28" ht="20.15" customHeight="true">
      <c r="A28" s="243"/>
      <c r="B28" s="243"/>
      <c r="C28" s="244"/>
      <c r="D28" s="222"/>
      <c r="E28" s="250"/>
      <c r="F28" s="222"/>
      <c r="G28" s="222"/>
      <c r="H28" s="222"/>
      <c r="I28" s="222"/>
      <c r="J28" s="222"/>
      <c r="L28" s="245"/>
      <c r="M28" s="245"/>
      <c r="N28" s="245"/>
      <c r="O28" s="245"/>
      <c r="P28" s="245"/>
      <c r="Q28" s="245"/>
    </row>
    <row r="29" ht="20.15" customHeight="true">
      <c r="A29" s="243"/>
      <c r="B29" s="243"/>
      <c r="C29" s="244"/>
      <c r="D29" t="s" s="286">
        <v>361</v>
      </c>
      <c r="E29" s="250"/>
      <c r="F29" s="222"/>
      <c r="G29" s="222"/>
      <c r="H29" s="222"/>
      <c r="I29" s="222"/>
      <c r="J29" s="222"/>
      <c r="L29" s="245"/>
      <c r="M29" s="245"/>
      <c r="N29" s="245"/>
      <c r="O29" s="245"/>
      <c r="P29" s="245"/>
      <c r="Q29" s="245"/>
    </row>
    <row r="30" ht="20.15" customHeight="true">
      <c r="A30" s="243"/>
      <c r="B30" s="243"/>
      <c r="C30" s="244"/>
      <c r="D30" t="s" s="287">
        <v>362</v>
      </c>
      <c r="E30" s="288"/>
      <c r="F30" s="289"/>
      <c r="G30" s="289"/>
      <c r="H30" s="290"/>
      <c r="I30" t="s" s="291">
        <v>363</v>
      </c>
      <c r="J30" s="292">
        <f>IFERROR(INDEX(Appointments!$G$4:$G$1004,MATCH('Invoice Template'!$J$4,Appointments!$I$4:$I$1004,0))*24,"")</f>
        <v>12.000000000000053</v>
      </c>
      <c r="L30" s="245"/>
      <c r="M30" s="245"/>
      <c r="N30" s="245"/>
      <c r="O30" s="245"/>
      <c r="P30" s="245"/>
      <c r="Q30" s="245"/>
    </row>
    <row r="31" ht="20.15" customHeight="true">
      <c r="A31" s="243"/>
      <c r="B31" s="243"/>
      <c r="C31" s="244"/>
      <c r="D31" s="293"/>
      <c r="E31" s="294"/>
      <c r="F31" s="295"/>
      <c r="G31" s="295"/>
      <c r="H31" s="296"/>
      <c r="I31" t="s" s="291">
        <v>364</v>
      </c>
      <c r="J31" s="297">
        <f>IF(J30&lt;&gt;"",J30*$O$6,"")</f>
        <v>480.0000000000021</v>
      </c>
      <c r="L31" s="245"/>
      <c r="M31" s="245"/>
      <c r="N31" s="245"/>
      <c r="O31" s="245"/>
      <c r="P31" s="245"/>
      <c r="Q31" s="245"/>
    </row>
    <row r="32" ht="20.15" customHeight="true">
      <c r="A32" s="243"/>
      <c r="B32" s="243"/>
      <c r="C32" s="244"/>
      <c r="D32" s="293"/>
      <c r="E32" s="294"/>
      <c r="F32" s="295"/>
      <c r="G32" s="295"/>
      <c r="H32" s="296"/>
      <c r="I32" t="s" s="291">
        <v>365</v>
      </c>
      <c r="J32" s="298">
        <f>SUM(J18:J27)*$O$5</f>
        <v>139.0125</v>
      </c>
      <c r="L32" s="245"/>
      <c r="M32" s="245"/>
      <c r="N32" s="245"/>
      <c r="O32" s="245"/>
      <c r="P32" s="245"/>
      <c r="Q32" s="245"/>
    </row>
    <row r="33" ht="20.15" customHeight="true">
      <c r="A33" s="243"/>
      <c r="B33" s="243"/>
      <c r="C33" s="244"/>
      <c r="D33" s="293"/>
      <c r="E33" s="294"/>
      <c r="F33" s="295"/>
      <c r="G33" s="295"/>
      <c r="H33" s="296"/>
      <c r="I33" t="s" s="291">
        <v>366</v>
      </c>
      <c r="J33" s="299"/>
      <c r="L33" s="257"/>
      <c r="M33" s="257"/>
      <c r="N33" s="257"/>
      <c r="O33" s="257"/>
      <c r="P33" s="257"/>
      <c r="Q33" s="257"/>
      <c r="R33" s="300"/>
      <c r="S33" s="300"/>
      <c r="T33" s="300"/>
      <c r="U33" s="301"/>
      <c r="V33" s="301"/>
      <c r="W33" s="301"/>
      <c r="X33" s="301"/>
      <c r="Y33" s="301"/>
      <c r="Z33" s="301"/>
      <c r="AA33" s="301"/>
      <c r="AB33" s="301"/>
      <c r="AC33" s="301"/>
      <c r="AD33" s="301"/>
      <c r="AE33" s="301"/>
      <c r="AF33" s="301"/>
      <c r="AG33" s="301"/>
      <c r="AH33" s="301"/>
      <c r="AI33" s="301"/>
      <c r="AJ33" s="301"/>
      <c r="AK33" s="301"/>
      <c r="AL33" s="301"/>
      <c r="AM33" s="301"/>
      <c r="AN33" s="301"/>
      <c r="AO33" s="301"/>
      <c r="AP33" s="301"/>
      <c r="AQ33" s="301"/>
    </row>
    <row r="34" ht="20.15" customHeight="true">
      <c r="A34" s="243"/>
      <c r="B34" s="243"/>
      <c r="C34" s="244"/>
      <c r="D34" s="302"/>
      <c r="E34" s="303"/>
      <c r="F34" s="304"/>
      <c r="G34" s="304"/>
      <c r="H34" s="305"/>
      <c r="I34" t="s" s="291">
        <v>367</v>
      </c>
      <c r="J34" s="306">
        <f>SUM(J18:J27)+SUM(J31:J32)-J33</f>
        <v>2304.012500000002</v>
      </c>
      <c r="L34" s="257"/>
      <c r="M34" s="257"/>
      <c r="N34" s="257"/>
      <c r="O34" s="257"/>
      <c r="P34" s="257"/>
      <c r="Q34" s="257"/>
      <c r="R34" s="300"/>
      <c r="S34" s="300"/>
      <c r="T34" s="300"/>
      <c r="U34" s="301"/>
      <c r="V34" s="301"/>
      <c r="W34" s="301"/>
      <c r="X34" s="301"/>
      <c r="Y34" s="301"/>
      <c r="Z34" s="301"/>
      <c r="AA34" s="301"/>
      <c r="AB34" s="301"/>
      <c r="AC34" s="301"/>
      <c r="AD34" s="301"/>
      <c r="AE34" s="301"/>
      <c r="AF34" s="301"/>
      <c r="AG34" s="301"/>
      <c r="AH34" s="301"/>
      <c r="AI34" s="301"/>
      <c r="AJ34" s="301"/>
      <c r="AK34" s="301"/>
      <c r="AL34" s="301"/>
      <c r="AM34" s="301"/>
      <c r="AN34" s="301"/>
      <c r="AO34" s="301"/>
      <c r="AP34" s="301"/>
      <c r="AQ34" s="301"/>
    </row>
    <row r="35" ht="20.15" customHeight="true">
      <c r="A35" s="243"/>
      <c r="B35" s="243"/>
      <c r="C35" s="244"/>
      <c r="D35" s="222"/>
      <c r="E35" s="250"/>
      <c r="F35" s="222"/>
      <c r="G35" s="222"/>
      <c r="H35" s="222"/>
      <c r="I35" s="222"/>
      <c r="J35" s="222"/>
      <c r="L35" s="257"/>
      <c r="M35" s="257"/>
      <c r="N35" s="257"/>
      <c r="O35" s="257"/>
      <c r="P35" s="257"/>
      <c r="Q35" s="257"/>
      <c r="R35" s="300"/>
      <c r="S35" s="300"/>
      <c r="T35" s="300"/>
      <c r="U35" s="301"/>
      <c r="V35" s="301"/>
      <c r="W35" s="301"/>
      <c r="X35" s="301"/>
      <c r="Y35" s="301"/>
      <c r="Z35" s="301"/>
      <c r="AA35" s="301"/>
      <c r="AB35" s="301"/>
      <c r="AC35" s="301"/>
      <c r="AD35" s="301"/>
      <c r="AE35" s="301"/>
      <c r="AF35" s="301"/>
      <c r="AG35" s="301"/>
      <c r="AH35" s="301"/>
      <c r="AI35" s="301"/>
      <c r="AJ35" s="301"/>
      <c r="AK35" s="301"/>
      <c r="AL35" s="301"/>
      <c r="AM35" s="301"/>
      <c r="AN35" s="301"/>
      <c r="AO35" s="301"/>
      <c r="AP35" s="301"/>
      <c r="AQ35" s="301"/>
    </row>
    <row r="36" ht="20.15" customHeight="true">
      <c r="A36" s="243"/>
      <c r="B36" s="243"/>
      <c r="C36" s="244"/>
      <c r="D36" t="s" s="307">
        <v>368</v>
      </c>
      <c r="E36" s="308"/>
      <c r="F36" s="309"/>
      <c r="G36" s="309"/>
      <c r="H36" s="309"/>
      <c r="I36" s="309"/>
      <c r="J36" s="309"/>
      <c r="L36" s="257"/>
      <c r="M36" s="257"/>
      <c r="N36" s="257"/>
      <c r="O36" s="257"/>
      <c r="P36" s="257"/>
      <c r="Q36" s="257"/>
      <c r="R36" s="300"/>
      <c r="S36" s="300"/>
      <c r="T36" s="300"/>
      <c r="U36" s="301"/>
      <c r="V36" s="301"/>
      <c r="W36" s="301"/>
      <c r="X36" s="301"/>
      <c r="Y36" s="301"/>
      <c r="Z36" s="301"/>
      <c r="AA36" s="301"/>
      <c r="AB36" s="301"/>
      <c r="AC36" s="301"/>
      <c r="AD36" s="301"/>
      <c r="AE36" s="301"/>
      <c r="AF36" s="301"/>
      <c r="AG36" s="301"/>
      <c r="AH36" s="301"/>
      <c r="AI36" s="301"/>
      <c r="AJ36" s="301"/>
      <c r="AK36" s="301"/>
      <c r="AL36" s="301"/>
      <c r="AM36" s="301"/>
      <c r="AN36" s="301"/>
      <c r="AO36" s="301"/>
      <c r="AP36" s="301"/>
      <c r="AQ36" s="301"/>
    </row>
    <row r="37" ht="20.15" customHeight="true">
      <c r="A37" s="243"/>
      <c r="B37" s="243"/>
      <c r="C37" s="244"/>
      <c r="D37" s="222"/>
      <c r="E37" s="250"/>
      <c r="F37" s="222"/>
      <c r="G37" s="222"/>
      <c r="H37" s="222"/>
      <c r="I37" s="222"/>
      <c r="J37" s="222"/>
      <c r="L37" s="257"/>
      <c r="M37" s="257"/>
      <c r="N37" s="257"/>
      <c r="O37" s="257"/>
      <c r="P37" s="257"/>
      <c r="Q37" s="257"/>
      <c r="R37" s="300"/>
      <c r="S37" s="300"/>
      <c r="T37" s="300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  <c r="AE37" s="301"/>
      <c r="AF37" s="301"/>
      <c r="AG37" s="301"/>
      <c r="AH37" s="301"/>
      <c r="AI37" s="301"/>
      <c r="AJ37" s="301"/>
      <c r="AK37" s="301"/>
      <c r="AL37" s="301"/>
      <c r="AM37" s="301"/>
      <c r="AN37" s="301"/>
      <c r="AO37" s="301"/>
      <c r="AP37" s="301"/>
      <c r="AQ37" s="301"/>
    </row>
    <row r="38" ht="20.15" customHeight="true">
      <c r="A38" s="243"/>
      <c r="B38" s="243"/>
      <c r="C38" s="243"/>
      <c r="D38" s="245"/>
      <c r="E38" s="310"/>
      <c r="F38" s="245"/>
      <c r="G38" s="245"/>
      <c r="H38" s="245"/>
      <c r="I38" s="245"/>
      <c r="J38" s="245"/>
      <c r="K38" s="245"/>
      <c r="L38" s="257"/>
      <c r="M38" s="257"/>
      <c r="N38" s="257"/>
      <c r="O38" s="257"/>
      <c r="P38" s="257"/>
      <c r="Q38" s="257"/>
      <c r="R38" s="300"/>
      <c r="S38" s="300"/>
      <c r="T38" s="301"/>
      <c r="U38" s="301"/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  <c r="AL38" s="301"/>
      <c r="AM38" s="301"/>
      <c r="AN38" s="301"/>
      <c r="AO38" s="301"/>
      <c r="AP38" s="301"/>
      <c r="AQ38" s="301"/>
    </row>
    <row r="39" ht="20.15" customHeight="true">
      <c r="A39" s="243"/>
      <c r="B39" s="243"/>
      <c r="C39" s="243"/>
      <c r="D39" s="245"/>
      <c r="E39" s="310"/>
      <c r="F39" s="245"/>
      <c r="G39" s="245"/>
      <c r="H39" s="245"/>
      <c r="I39" s="245"/>
      <c r="J39" s="245"/>
      <c r="K39" s="245"/>
      <c r="L39" s="257"/>
      <c r="M39" s="257"/>
      <c r="N39" s="257"/>
      <c r="O39" s="257"/>
      <c r="P39" s="257"/>
      <c r="Q39" s="257"/>
      <c r="R39" s="300"/>
      <c r="S39" s="300"/>
      <c r="T39" s="301"/>
      <c r="U39" s="301"/>
      <c r="V39" s="301"/>
      <c r="W39" s="301"/>
      <c r="X39" s="301"/>
      <c r="Y39" s="301"/>
      <c r="Z39" s="301"/>
      <c r="AA39" s="301"/>
      <c r="AB39" s="301"/>
      <c r="AC39" s="301"/>
      <c r="AD39" s="301"/>
      <c r="AE39" s="301"/>
      <c r="AF39" s="301"/>
      <c r="AG39" s="301"/>
      <c r="AH39" s="301"/>
      <c r="AI39" s="301"/>
      <c r="AJ39" s="301"/>
      <c r="AK39" s="301"/>
      <c r="AL39" s="301"/>
      <c r="AM39" s="301"/>
      <c r="AN39" s="301"/>
      <c r="AO39" s="301"/>
      <c r="AP39" s="301"/>
      <c r="AQ39" s="301"/>
    </row>
    <row r="40" ht="20.15" customHeight="true">
      <c r="A40" s="243"/>
      <c r="B40" s="243"/>
      <c r="C40" s="243"/>
      <c r="D40" s="245"/>
      <c r="E40" s="310"/>
      <c r="F40" s="245"/>
      <c r="G40" s="245"/>
      <c r="H40" s="245"/>
      <c r="I40" s="245"/>
      <c r="J40" s="245"/>
      <c r="K40" s="245"/>
      <c r="L40" s="257"/>
      <c r="M40" s="257"/>
      <c r="N40" s="257"/>
      <c r="O40" s="257"/>
      <c r="P40" s="257"/>
      <c r="Q40" s="257"/>
      <c r="R40" s="300"/>
      <c r="S40" s="300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301"/>
      <c r="AI40" s="301"/>
      <c r="AJ40" s="301"/>
      <c r="AK40" s="301"/>
      <c r="AL40" s="301"/>
      <c r="AM40" s="301"/>
      <c r="AN40" s="301"/>
      <c r="AO40" s="301"/>
      <c r="AP40" s="301"/>
      <c r="AQ40" s="301"/>
    </row>
    <row r="41" ht="20.15" customHeight="true">
      <c r="A41" s="243"/>
      <c r="B41" s="243"/>
      <c r="C41" s="243"/>
      <c r="D41" s="245"/>
      <c r="E41" s="310"/>
      <c r="F41" s="245"/>
      <c r="G41" s="245"/>
      <c r="H41" s="245"/>
      <c r="I41" s="245"/>
      <c r="J41" s="245"/>
      <c r="K41" s="245"/>
      <c r="L41" s="257"/>
      <c r="M41" s="257"/>
      <c r="N41" s="257"/>
      <c r="O41" s="257"/>
      <c r="P41" s="257"/>
      <c r="Q41" s="257"/>
      <c r="R41" s="300"/>
      <c r="S41" s="300"/>
      <c r="T41" s="301"/>
      <c r="U41" s="301"/>
      <c r="V41" s="301"/>
      <c r="W41" s="301"/>
      <c r="X41" s="301"/>
      <c r="Y41" s="301"/>
      <c r="Z41" s="301"/>
      <c r="AA41" s="301"/>
      <c r="AB41" s="301"/>
      <c r="AC41" s="301"/>
      <c r="AD41" s="301"/>
      <c r="AE41" s="301"/>
      <c r="AF41" s="301"/>
      <c r="AG41" s="301"/>
      <c r="AH41" s="301"/>
      <c r="AI41" s="301"/>
      <c r="AJ41" s="301"/>
      <c r="AK41" s="301"/>
      <c r="AL41" s="301"/>
      <c r="AM41" s="301"/>
      <c r="AN41" s="301"/>
      <c r="AO41" s="301"/>
      <c r="AP41" s="301"/>
      <c r="AQ41" s="301"/>
    </row>
    <row r="42" ht="20.15" customHeight="true">
      <c r="A42" s="243"/>
      <c r="B42" s="243"/>
      <c r="C42" s="243"/>
      <c r="D42" s="245"/>
      <c r="E42" s="310"/>
      <c r="F42" s="245"/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300"/>
      <c r="S42" s="300"/>
      <c r="T42" s="301"/>
      <c r="U42" s="301"/>
      <c r="V42" s="301"/>
      <c r="W42" s="301"/>
      <c r="X42" s="301"/>
      <c r="Y42" s="301"/>
      <c r="Z42" s="301"/>
      <c r="AA42" s="301"/>
      <c r="AB42" s="301"/>
      <c r="AC42" s="301"/>
      <c r="AD42" s="301"/>
      <c r="AE42" s="301"/>
      <c r="AF42" s="301"/>
      <c r="AG42" s="301"/>
      <c r="AH42" s="301"/>
      <c r="AI42" s="301"/>
      <c r="AJ42" s="301"/>
      <c r="AK42" s="301"/>
      <c r="AL42" s="301"/>
      <c r="AM42" s="301"/>
      <c r="AN42" s="301"/>
      <c r="AO42" s="301"/>
      <c r="AP42" s="301"/>
      <c r="AQ42" s="301"/>
    </row>
    <row r="43" ht="20.15" customHeight="true">
      <c r="A43" s="243"/>
      <c r="B43" s="243"/>
      <c r="C43" s="243"/>
      <c r="D43" s="245"/>
      <c r="E43" s="246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300"/>
      <c r="S43" s="300"/>
      <c r="T43" s="301"/>
      <c r="U43" s="301"/>
      <c r="V43" s="301"/>
      <c r="W43" s="301"/>
      <c r="X43" s="301"/>
      <c r="Y43" s="301"/>
      <c r="Z43" s="301"/>
      <c r="AA43" s="301"/>
      <c r="AB43" s="301"/>
      <c r="AC43" s="301"/>
      <c r="AD43" s="301"/>
      <c r="AE43" s="301"/>
      <c r="AF43" s="301"/>
      <c r="AG43" s="301"/>
      <c r="AH43" s="301"/>
      <c r="AI43" s="301"/>
      <c r="AJ43" s="301"/>
      <c r="AK43" s="301"/>
      <c r="AL43" s="301"/>
      <c r="AM43" s="301"/>
      <c r="AN43" s="301"/>
      <c r="AO43" s="301"/>
      <c r="AP43" s="301"/>
      <c r="AQ43" s="301"/>
    </row>
    <row r="44" ht="20.15" customHeight="true">
      <c r="A44" s="243"/>
      <c r="B44" s="243"/>
      <c r="C44" s="243"/>
      <c r="D44" s="245"/>
      <c r="E44" s="246"/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245"/>
      <c r="Q44" s="245"/>
      <c r="R44" s="300"/>
      <c r="S44" s="300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301"/>
      <c r="AI44" s="301"/>
      <c r="AJ44" s="301"/>
      <c r="AK44" s="301"/>
      <c r="AL44" s="301"/>
      <c r="AM44" s="301"/>
      <c r="AN44" s="301"/>
      <c r="AO44" s="301"/>
      <c r="AP44" s="301"/>
      <c r="AQ44" s="301"/>
    </row>
    <row r="45" ht="20.15" customHeight="true">
      <c r="A45" s="243"/>
      <c r="B45" s="243"/>
      <c r="C45" s="243"/>
      <c r="D45" s="245"/>
      <c r="E45" s="246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300"/>
      <c r="S45" s="300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  <c r="AD45" s="301"/>
      <c r="AE45" s="301"/>
      <c r="AF45" s="301"/>
      <c r="AG45" s="301"/>
      <c r="AH45" s="301"/>
      <c r="AI45" s="301"/>
      <c r="AJ45" s="301"/>
      <c r="AK45" s="301"/>
      <c r="AL45" s="301"/>
      <c r="AM45" s="301"/>
      <c r="AN45" s="301"/>
      <c r="AO45" s="301"/>
      <c r="AP45" s="301"/>
      <c r="AQ45" s="301"/>
    </row>
    <row r="46" ht="20.15" customHeight="true">
      <c r="A46" s="243"/>
      <c r="B46" s="243"/>
      <c r="C46" s="243"/>
      <c r="D46" s="245"/>
      <c r="E46" s="310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300"/>
      <c r="S46" s="300"/>
      <c r="T46" s="301"/>
      <c r="U46" s="301"/>
      <c r="V46" s="301"/>
      <c r="W46" s="301"/>
      <c r="X46" s="301"/>
      <c r="Y46" s="301"/>
      <c r="Z46" s="301"/>
      <c r="AA46" s="301"/>
      <c r="AB46" s="301"/>
      <c r="AC46" s="301"/>
      <c r="AD46" s="301"/>
      <c r="AE46" s="301"/>
      <c r="AF46" s="301"/>
      <c r="AG46" s="301"/>
      <c r="AH46" s="301"/>
      <c r="AI46" s="301"/>
      <c r="AJ46" s="301"/>
      <c r="AK46" s="301"/>
      <c r="AL46" s="301"/>
      <c r="AM46" s="301"/>
      <c r="AN46" s="301"/>
      <c r="AO46" s="301"/>
      <c r="AP46" s="301"/>
      <c r="AQ46" s="301"/>
    </row>
    <row r="47" ht="20.15" customHeight="true">
      <c r="A47" s="243"/>
      <c r="B47" s="243"/>
      <c r="C47" s="243"/>
      <c r="D47" s="245"/>
      <c r="E47" s="310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</row>
    <row r="48" ht="20.15" customHeight="true">
      <c r="A48" s="243"/>
      <c r="B48" s="243"/>
      <c r="C48" s="243"/>
      <c r="D48" s="245"/>
      <c r="E48" s="310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</row>
    <row r="49" ht="20.15" customHeight="true">
      <c r="A49" s="243"/>
      <c r="B49" s="243"/>
      <c r="C49" s="243"/>
      <c r="D49" s="245"/>
      <c r="E49" s="310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</row>
    <row r="50" ht="20.15" customHeight="true">
      <c r="A50" s="243"/>
      <c r="B50" s="243"/>
      <c r="C50" s="243"/>
      <c r="D50" s="245"/>
      <c r="E50" s="310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</row>
  </sheetData>
  <mergeCells count="13">
    <mergeCell ref="D36:J36"/>
    <mergeCell ref="D20:F20"/>
    <mergeCell ref="D21:F21"/>
    <mergeCell ref="D22:F22"/>
    <mergeCell ref="D23:F23"/>
    <mergeCell ref="D24:F24"/>
    <mergeCell ref="D25:F25"/>
    <mergeCell ref="D19:F19"/>
    <mergeCell ref="D17:F17"/>
    <mergeCell ref="D18:F18"/>
    <mergeCell ref="D30:H34"/>
    <mergeCell ref="D26:F26"/>
    <mergeCell ref="D27:F27"/>
  </mergeCells>
  <phoneticPr fontId="0" type="noConversion"/>
  <dataValidations count="1">
    <dataValidation type="list" allowBlank="true" showInputMessage="1" showErrorMessage="1" sqref="J6">
      <formula1>"Due on Receipt, Net 10, Net 30, Net 60, Net 90"</formula1>
    </dataValidation>
  </dataValidations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33CC"/>
  </sheetPr>
  <dimension ref="A1"/>
  <sheetViews>
    <sheetView showGridLines="0" tabSelected="0" workbookViewId="0">
      <selection activeCell="A1" sqref="A1"/>
    </sheetView>
  </sheetViews>
  <sheetFormatPr defaultRowHeight="20.15" customHeight="1" defaultColWidth="7.36"/>
  <cols>
    <col min="1" max="1" width="2.93" customWidth="1" hidden="0"/>
    <col min="2" max="2" width="2.93" customWidth="1" hidden="1"/>
    <col min="3" max="3" width="10.29" customWidth="1" hidden="0"/>
    <col min="4" max="4" width="20.10" customWidth="1" hidden="0"/>
    <col min="5" max="12" width="13.56" customWidth="1" hidden="0"/>
    <col min="13" max="13" width="20.10" customWidth="1" hidden="0"/>
    <col min="14" max="14" width="29.30" customWidth="1" hidden="0"/>
    <col min="15" max="16" width="3.34" customWidth="1" hidden="0"/>
    <col min="17" max="17" width="7.36" customWidth="1" hidden="0"/>
    <col min="18" max="18" width="12.47" customWidth="1" hidden="0"/>
  </cols>
  <sheetData>
    <row r="1" ht="40.00" customHeight="true">
      <c r="A1" s="311"/>
      <c r="B1" s="311"/>
      <c r="C1" t="s" s="312">
        <v>369</v>
      </c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3"/>
    </row>
    <row r="2" ht="20.15" customHeight="true">
      <c r="A2" s="314"/>
      <c r="B2" s="314"/>
      <c r="C2" s="315">
        <f>TODAY()</f>
        <v>46173</v>
      </c>
      <c r="D2" s="315"/>
      <c r="E2" s="316"/>
      <c r="F2" s="316"/>
      <c r="G2" s="316"/>
      <c r="H2" s="316"/>
      <c r="I2" s="316"/>
      <c r="J2" s="316"/>
      <c r="K2" s="316"/>
      <c r="L2" s="317"/>
      <c r="M2" s="317"/>
      <c r="N2" s="317"/>
      <c r="O2" s="314"/>
      <c r="P2" s="314"/>
      <c r="Q2" s="314"/>
      <c r="R2" s="314"/>
      <c r="S2" s="318"/>
    </row>
    <row r="3" ht="20.15" customHeight="true">
      <c r="A3" s="319"/>
      <c r="B3" s="319"/>
      <c r="C3" s="320"/>
      <c r="D3" s="321"/>
      <c r="E3" s="316"/>
      <c r="F3" s="321"/>
      <c r="G3" s="317"/>
      <c r="H3" s="316"/>
      <c r="I3" t="s" s="322">
        <v>370</v>
      </c>
      <c r="J3" s="316"/>
      <c r="K3" s="317"/>
      <c r="L3" s="317"/>
      <c r="M3" s="317"/>
      <c r="N3" s="317"/>
      <c r="O3" s="319"/>
      <c r="P3" s="319"/>
      <c r="Q3" s="319"/>
      <c r="R3" s="319"/>
      <c r="S3" s="323"/>
    </row>
    <row r="4" ht="20.15" customHeight="true">
      <c r="A4" s="319"/>
      <c r="B4" s="319"/>
      <c r="C4" s="316"/>
      <c r="D4" t="s" s="322">
        <v>371</v>
      </c>
      <c r="E4" s="316"/>
      <c r="F4" t="s" s="322">
        <v>372</v>
      </c>
      <c r="G4" s="321"/>
      <c r="H4" s="321"/>
      <c r="I4" t="s" s="324">
        <v>373</v>
      </c>
      <c r="J4" s="316"/>
      <c r="K4" t="s" s="325">
        <v>374</v>
      </c>
      <c r="L4" t="s" s="325">
        <v>375</v>
      </c>
      <c r="M4" t="s" s="325">
        <v>376</v>
      </c>
      <c r="N4" s="317"/>
      <c r="O4" s="319"/>
      <c r="P4" s="319"/>
      <c r="Q4" s="319"/>
      <c r="R4" s="319"/>
      <c r="S4" s="323"/>
    </row>
    <row r="5" ht="20.15" customHeight="true">
      <c r="A5" s="326"/>
      <c r="B5" s="326"/>
      <c r="C5" s="327"/>
      <c r="D5" s="328" t="s">
        <f>IFERROR("INVOICES: "&amp;COUNTIFS(T_INV3[Status],"CURRENT",T_INV3[Selected],1)+COUNTIFS(T_INV3[Status],"DUE TODAY",T_INV3[Selected],1),"")</f>
      </c>
      <c r="E5" s="327"/>
      <c r="F5" s="328" t="s">
        <f>IFERROR("INVOICES: "&amp;COUNTIFS(T_INV3[Status],"PAST DUE",T_INV3[Selected],1),"")</f>
      </c>
      <c r="G5" s="329"/>
      <c r="H5" s="329"/>
      <c r="I5" s="330" t="s">
        <f>IFERROR(SUMIFS(T_INV3[Outstanding Amount],T_INV3[Due Date],"&gt;="&amp;TD,T_INV3[Due Date],"&lt;="&amp;(TD+6),T_INV3[Selected],1),"")</f>
      </c>
      <c r="J5" s="328"/>
      <c r="K5" s="331"/>
      <c r="L5" s="331"/>
      <c r="M5" s="331"/>
      <c r="N5" s="332"/>
      <c r="O5" s="326"/>
      <c r="P5" s="326"/>
      <c r="Q5" s="326"/>
      <c r="R5" s="326"/>
      <c r="S5" s="333"/>
    </row>
    <row r="6" ht="20.15" customHeight="true">
      <c r="A6" s="319"/>
      <c r="B6" s="319"/>
      <c r="C6" s="316"/>
      <c r="D6" s="334" t="s">
        <f>IFERROR(SUMIFS(T_INV3[Outstanding Amount],T_INV3[Status],"CURRENT",T_INV3[Selected],1)+SUMIFS(T_INV3[Outstanding Amount],T_INV3[Status],"DUE TODAY",T_INV3[Selected],1),"")</f>
      </c>
      <c r="E6" s="316"/>
      <c r="F6" s="334" t="s">
        <f>IFERROR(SUMIFS(T_INV3[Outstanding Amount],T_INV3[Status],"PAST DUE",T_INV3[Selected],1),"")</f>
      </c>
      <c r="G6" s="316"/>
      <c r="H6" s="316"/>
      <c r="I6" s="316"/>
      <c r="J6" s="316"/>
      <c r="K6" t="s" s="335">
        <v>377</v>
      </c>
      <c r="L6" s="336" t="s">
        <f>IFERROR(COUNTIFS(T_INV3[Past Due Age],K6,T_INV3[Selected],1),"")</f>
      </c>
      <c r="M6" s="337" t="s">
        <f>IFERROR(SUMIFS(T_INV3[Outstanding Amount],T_INV3[Past Due Age],K6,T_INV3[Selected],1),"")</f>
      </c>
      <c r="N6" s="317"/>
      <c r="O6" s="319"/>
      <c r="P6" s="319"/>
      <c r="Q6" s="319"/>
      <c r="R6" s="319"/>
      <c r="S6" s="323"/>
    </row>
    <row r="7" ht="20.15" customHeight="true">
      <c r="A7" s="319"/>
      <c r="B7" s="319"/>
      <c r="C7" s="316"/>
      <c r="D7" s="316"/>
      <c r="E7" s="316"/>
      <c r="F7" s="316"/>
      <c r="G7" s="316"/>
      <c r="H7" s="316"/>
      <c r="I7" t="s" s="324">
        <v>378</v>
      </c>
      <c r="J7" s="316"/>
      <c r="K7" t="s" s="335">
        <v>379</v>
      </c>
      <c r="L7" s="336" t="s">
        <f>IFERROR(COUNTIFS(T_INV3[Past Due Age],K7,T_INV3[Selected],1),"")</f>
      </c>
      <c r="M7" s="337" t="s">
        <f>IFERROR(SUMIFS(T_INV3[Outstanding Amount],T_INV3[Past Due Age],K7,T_INV3[Selected],1),"")</f>
      </c>
      <c r="N7" s="317"/>
      <c r="O7" s="319"/>
      <c r="P7" s="319"/>
      <c r="Q7" s="319"/>
      <c r="R7" s="319"/>
      <c r="S7" s="323"/>
    </row>
    <row r="8" ht="20.15" customHeight="true">
      <c r="A8" s="319"/>
      <c r="B8" s="319"/>
      <c r="C8" s="316"/>
      <c r="D8" s="338"/>
      <c r="E8" s="316"/>
      <c r="F8" s="338"/>
      <c r="G8" s="316"/>
      <c r="H8" s="316"/>
      <c r="I8" s="339" t="s">
        <f>IFERROR(SUMIFS(T_INV3[Outstanding Amount],T_INV3[Due Date],"&gt;="&amp;TD,T_INV3[Due Date],"&lt;="&amp;(TD+29),T_INV3[Selected],1),"")</f>
      </c>
      <c r="J8" s="316"/>
      <c r="K8" t="s" s="335">
        <v>380</v>
      </c>
      <c r="L8" s="336" t="s">
        <f>IFERROR(COUNTIFS(T_INV3[Past Due Age],K8,T_INV3[Selected],1),"")</f>
      </c>
      <c r="M8" s="337" t="s">
        <f>IFERROR(SUMIFS(T_INV3[Outstanding Amount],T_INV3[Past Due Age],K8,T_INV3[Selected],1),"")</f>
      </c>
      <c r="N8" s="317"/>
      <c r="O8" s="319"/>
      <c r="P8" s="319"/>
      <c r="Q8" s="319"/>
      <c r="R8" s="319"/>
      <c r="S8" s="323"/>
    </row>
    <row r="9" ht="20.15" customHeight="true">
      <c r="A9" s="319"/>
      <c r="B9" s="319"/>
      <c r="C9" s="316"/>
      <c r="D9" s="316"/>
      <c r="E9" s="316"/>
      <c r="F9" s="316"/>
      <c r="G9" s="316"/>
      <c r="H9" s="316"/>
      <c r="I9" s="316"/>
      <c r="J9" s="316"/>
      <c r="K9" t="s" s="340">
        <v>381</v>
      </c>
      <c r="L9" s="336" t="s">
        <f>IFERROR(COUNTIFS(T_INV3[Past Due Age],K9,T_INV3[Selected],1),"")</f>
      </c>
      <c r="M9" s="337" t="s">
        <f>IFERROR(SUMIFS(T_INV3[Outstanding Amount],T_INV3[Past Due Age],K9,T_INV3[Selected],1),"")</f>
      </c>
      <c r="N9" s="317"/>
      <c r="O9" s="319"/>
      <c r="P9" s="319"/>
      <c r="Q9" s="319"/>
      <c r="R9" s="319"/>
      <c r="S9" s="323"/>
    </row>
    <row r="10" ht="20.15" customHeight="true">
      <c r="A10" s="319"/>
      <c r="B10" s="319"/>
      <c r="C10" t="s" s="341">
        <v>382</v>
      </c>
      <c r="D10" s="316"/>
      <c r="E10" s="316"/>
      <c r="F10" s="316"/>
      <c r="G10" s="316"/>
      <c r="H10" s="316"/>
      <c r="I10" s="316"/>
      <c r="J10" s="316"/>
      <c r="K10" s="316"/>
      <c r="L10" s="316"/>
      <c r="M10" s="316"/>
      <c r="N10" s="316"/>
      <c r="O10" s="319"/>
      <c r="P10" s="319"/>
      <c r="Q10" s="319"/>
      <c r="R10" s="319"/>
      <c r="S10" s="323"/>
    </row>
    <row r="11" ht="30.00" customHeight="true">
      <c r="A11" s="319"/>
      <c r="B11" s="319"/>
      <c r="C11" s="316"/>
      <c r="D11" s="316"/>
      <c r="E11" s="316"/>
      <c r="F11" s="316"/>
      <c r="G11" s="316"/>
      <c r="H11" s="316"/>
      <c r="I11" s="316"/>
      <c r="J11" s="316"/>
      <c r="K11" s="316"/>
      <c r="L11" s="316"/>
      <c r="M11" s="316"/>
      <c r="N11" s="316"/>
      <c r="O11" s="319"/>
      <c r="P11" s="319"/>
      <c r="Q11" s="319"/>
      <c r="R11" s="319"/>
      <c r="S11" s="323"/>
    </row>
    <row r="12" ht="30.00" customHeight="true">
      <c r="A12" s="319"/>
      <c r="B12" s="319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9"/>
      <c r="P12" s="319"/>
      <c r="Q12" s="319"/>
      <c r="R12" s="319"/>
      <c r="S12" s="323"/>
    </row>
    <row r="13" ht="30.00" customHeight="true">
      <c r="A13" s="319"/>
      <c r="B13" s="319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316"/>
      <c r="O13" s="319"/>
      <c r="P13" s="319"/>
      <c r="Q13" s="319"/>
      <c r="R13" s="319"/>
      <c r="S13" s="323"/>
    </row>
    <row r="14" ht="30.00" customHeight="true">
      <c r="A14" s="319"/>
      <c r="B14" s="319"/>
      <c r="C14" s="316"/>
      <c r="D14" s="316"/>
      <c r="E14" s="316"/>
      <c r="F14" s="316"/>
      <c r="G14" s="316"/>
      <c r="H14" s="316"/>
      <c r="I14" t="s" s="342">
        <v>383</v>
      </c>
      <c r="J14" s="316"/>
      <c r="K14" s="316"/>
      <c r="L14" s="316"/>
      <c r="M14" s="316"/>
      <c r="N14" s="316"/>
      <c r="O14" s="319"/>
      <c r="P14" s="319"/>
      <c r="Q14" s="319"/>
      <c r="R14" s="319"/>
      <c r="S14" s="323"/>
    </row>
    <row r="15" ht="29.25" customHeight="true">
      <c r="A15" s="343"/>
      <c r="B15" s="343"/>
      <c r="C15" t="s" s="344">
        <v>384</v>
      </c>
      <c r="D15" t="s" s="344">
        <v>385</v>
      </c>
      <c r="E15" t="s" s="344">
        <v>386</v>
      </c>
      <c r="F15" t="s" s="344">
        <v>387</v>
      </c>
      <c r="G15" t="s" s="344">
        <v>388</v>
      </c>
      <c r="H15" t="s" s="344">
        <v>389</v>
      </c>
      <c r="I15" t="s" s="344">
        <v>390</v>
      </c>
      <c r="J15" t="s" s="344">
        <v>391</v>
      </c>
      <c r="K15" t="s" s="344">
        <v>392</v>
      </c>
      <c r="L15" t="s" s="344">
        <v>393</v>
      </c>
      <c r="M15" t="s" s="344">
        <v>394</v>
      </c>
      <c r="N15" t="s" s="344">
        <v>395</v>
      </c>
      <c r="O15" s="343"/>
      <c r="P15" s="343"/>
      <c r="Q15" s="343"/>
      <c r="R15" s="343"/>
      <c r="S15" s="345"/>
    </row>
    <row r="16" ht="20.15" customHeight="true">
      <c r="A16" s="319"/>
      <c r="B16" s="319"/>
      <c r="C16" s="346">
        <v>1001</v>
      </c>
      <c r="D16" t="s" s="347">
        <v>396</v>
      </c>
      <c r="E16" s="348">
        <v>45010</v>
      </c>
      <c r="F16" s="348">
        <v>45020</v>
      </c>
      <c r="G16" s="349">
        <v>200</v>
      </c>
      <c r="H16" s="350">
        <v>200</v>
      </c>
      <c r="I16" s="349" t="s">
        <f>IFERROR(T_INV3[[#This Row],[Invoice Amount]]-T_INV3[[#This Row],[Paid Amount]],"")</f>
      </c>
      <c r="J16" s="351" t="s">
        <f>IFERROR(IF(OR(T_INV3[[#This Row],[Invoice Amount]]="",T_INV3[[#This Row],[Invoice Date]]="",T_INV3[[#This Row],[Due Date]]="",T_INV3[[#This Row],[Due Date]]&lt;T_INV3[[#This Row],[Invoice Date]]),"ERROR",IF(T_INV3[[#This Row],[Outstanding Amount]]=0,"PAID IN FULL", IF(T_INV3[[#This Row],[Outstanding Amount]]&gt;0,IF(TD&lt;T_INV3[[#This Row],[Due Date]],"CURRENT",IF(TD=T_INV3[[#This Row],[Due Date]],"DUE TODAY",IF(TD&gt;T_INV3[[#This Row],[Due Date]],"PAST DUE"))),IF(T_INV3[[#This Row],[Outstanding Amount]]&lt;0,"OVERPAID")))),"")</f>
      </c>
      <c r="K16" s="346" t="s">
        <f>IFERROR(IF(T_INV3[[#This Row],[Status]]="PAST DUE",IF(TD-T_INV3[[#This Row],[Due Date]]&lt;30,"1 - 30 Days",IF(TD-T_INV3[[#This Row],[Due Date]]&lt;60,"31 - 60 Days",IF(TD-T_INV3[[#This Row],[Due Date]]&lt;90,"61 - 90 Days","91+ Days"))),""),"")</f>
      </c>
      <c r="L16" s="346" t="s">
        <f>IFERROR(IF(AGGREGATE(3,5,T_INV3[[#This Row],[Outstanding Amount]])=1,1,0),"")</f>
      </c>
      <c r="M16" s="352"/>
      <c r="N16" s="353"/>
      <c r="O16" s="319"/>
      <c r="P16" s="319"/>
      <c r="Q16" s="319"/>
      <c r="R16" s="319"/>
      <c r="S16" s="323"/>
    </row>
    <row r="17" ht="20.15" customHeight="true">
      <c r="A17" s="319"/>
      <c r="B17" s="319"/>
      <c r="C17" s="346">
        <v>1002</v>
      </c>
      <c r="D17" t="s" s="347">
        <v>397</v>
      </c>
      <c r="E17" s="348">
        <v>44986</v>
      </c>
      <c r="F17" s="348">
        <v>45016</v>
      </c>
      <c r="G17" s="349">
        <v>400</v>
      </c>
      <c r="H17" s="350"/>
      <c r="I17" s="349" t="s">
        <f>IFERROR(T_INV3[[#This Row],[Invoice Amount]]-T_INV3[[#This Row],[Paid Amount]],"")</f>
      </c>
      <c r="J17" s="351" t="s">
        <f>IFERROR(IF(OR(T_INV3[[#This Row],[Invoice Amount]]="",T_INV3[[#This Row],[Invoice Date]]="",T_INV3[[#This Row],[Due Date]]="",T_INV3[[#This Row],[Due Date]]&lt;T_INV3[[#This Row],[Invoice Date]]),"ERROR",IF(T_INV3[[#This Row],[Outstanding Amount]]=0,"PAID IN FULL", IF(T_INV3[[#This Row],[Outstanding Amount]]&gt;0,IF(TD&lt;T_INV3[[#This Row],[Due Date]],"CURRENT",IF(TD=T_INV3[[#This Row],[Due Date]],"DUE TODAY",IF(TD&gt;T_INV3[[#This Row],[Due Date]],"PAST DUE"))),IF(T_INV3[[#This Row],[Outstanding Amount]]&lt;0,"OVERPAID")))),"")</f>
      </c>
      <c r="K17" s="346" t="s">
        <f>IFERROR(IF(T_INV3[[#This Row],[Status]]="PAST DUE",IF(TD-T_INV3[[#This Row],[Due Date]]&lt;30,"1 - 30 Days",IF(TD-T_INV3[[#This Row],[Due Date]]&lt;60,"31 - 60 Days",IF(TD-T_INV3[[#This Row],[Due Date]]&lt;90,"61 - 90 Days","91+ Days"))),""),"")</f>
      </c>
      <c r="L17" s="346" t="s">
        <f>IFERROR(IF(AGGREGATE(3,5,T_INV3[[#This Row],[Outstanding Amount]])=1,1,0),"")</f>
      </c>
      <c r="M17" s="352"/>
      <c r="N17" s="353"/>
      <c r="O17" s="319"/>
      <c r="P17" s="319"/>
      <c r="Q17" s="319"/>
      <c r="R17" s="319"/>
      <c r="S17" s="323"/>
    </row>
    <row r="18" ht="20.15" customHeight="true">
      <c r="A18" s="319"/>
      <c r="B18" s="319"/>
      <c r="C18" s="346">
        <v>1003</v>
      </c>
      <c r="D18" t="s" s="347">
        <v>398</v>
      </c>
      <c r="E18" s="348">
        <v>45010</v>
      </c>
      <c r="F18" s="348">
        <v>45040</v>
      </c>
      <c r="G18" s="349">
        <v>76.040000000000006</v>
      </c>
      <c r="H18" s="350"/>
      <c r="I18" s="349" t="s">
        <f>IFERROR(T_INV3[[#This Row],[Invoice Amount]]-T_INV3[[#This Row],[Paid Amount]],"")</f>
      </c>
      <c r="J18" s="351" t="s">
        <f>IFERROR(IF(OR(T_INV3[[#This Row],[Invoice Amount]]="",T_INV3[[#This Row],[Invoice Date]]="",T_INV3[[#This Row],[Due Date]]="",T_INV3[[#This Row],[Due Date]]&lt;T_INV3[[#This Row],[Invoice Date]]),"ERROR",IF(T_INV3[[#This Row],[Outstanding Amount]]=0,"PAID IN FULL", IF(T_INV3[[#This Row],[Outstanding Amount]]&gt;0,IF(TD&lt;T_INV3[[#This Row],[Due Date]],"CURRENT",IF(TD=T_INV3[[#This Row],[Due Date]],"DUE TODAY",IF(TD&gt;T_INV3[[#This Row],[Due Date]],"PAST DUE"))),IF(T_INV3[[#This Row],[Outstanding Amount]]&lt;0,"OVERPAID")))),"")</f>
      </c>
      <c r="K18" s="346" t="s">
        <f>IFERROR(IF(T_INV3[[#This Row],[Status]]="PAST DUE",IF(TD-T_INV3[[#This Row],[Due Date]]&lt;30,"1 - 30 Days",IF(TD-T_INV3[[#This Row],[Due Date]]&lt;60,"31 - 60 Days",IF(TD-T_INV3[[#This Row],[Due Date]]&lt;90,"61 - 90 Days","91+ Days"))),""),"")</f>
      </c>
      <c r="L18" s="346" t="s">
        <f>IFERROR(IF(AGGREGATE(3,5,T_INV3[[#This Row],[Outstanding Amount]])=1,1,0),"")</f>
      </c>
      <c r="M18" t="s" s="354">
        <v>399</v>
      </c>
      <c r="N18" s="353"/>
      <c r="O18" s="319"/>
      <c r="P18" s="319"/>
      <c r="Q18" s="319"/>
      <c r="R18" s="319"/>
      <c r="S18" s="323"/>
    </row>
    <row r="19" ht="20.15" customHeight="true">
      <c r="A19" s="319"/>
      <c r="B19" s="319"/>
      <c r="C19" s="346">
        <v>1004</v>
      </c>
      <c r="D19" t="s" s="347">
        <v>400</v>
      </c>
      <c r="E19" s="348">
        <v>45010</v>
      </c>
      <c r="F19" s="348">
        <v>45010</v>
      </c>
      <c r="G19" s="349">
        <v>98.97</v>
      </c>
      <c r="H19" s="350">
        <v>98.97</v>
      </c>
      <c r="I19" s="349" t="s">
        <f>IFERROR(T_INV3[[#This Row],[Invoice Amount]]-T_INV3[[#This Row],[Paid Amount]],"")</f>
      </c>
      <c r="J19" s="351" t="s">
        <f>IFERROR(IF(OR(T_INV3[[#This Row],[Invoice Amount]]="",T_INV3[[#This Row],[Invoice Date]]="",T_INV3[[#This Row],[Due Date]]="",T_INV3[[#This Row],[Due Date]]&lt;T_INV3[[#This Row],[Invoice Date]]),"ERROR",IF(T_INV3[[#This Row],[Outstanding Amount]]=0,"PAID IN FULL", IF(T_INV3[[#This Row],[Outstanding Amount]]&gt;0,IF(TD&lt;T_INV3[[#This Row],[Due Date]],"CURRENT",IF(TD=T_INV3[[#This Row],[Due Date]],"DUE TODAY",IF(TD&gt;T_INV3[[#This Row],[Due Date]],"PAST DUE"))),IF(T_INV3[[#This Row],[Outstanding Amount]]&lt;0,"OVERPAID")))),"")</f>
      </c>
      <c r="K19" s="346" t="s">
        <f>IFERROR(IF(T_INV3[[#This Row],[Status]]="PAST DUE",IF(TD-T_INV3[[#This Row],[Due Date]]&lt;30,"1 - 30 Days",IF(TD-T_INV3[[#This Row],[Due Date]]&lt;60,"31 - 60 Days",IF(TD-T_INV3[[#This Row],[Due Date]]&lt;90,"61 - 90 Days","91+ Days"))),""),"")</f>
      </c>
      <c r="L19" s="346" t="s">
        <f>IFERROR(IF(AGGREGATE(3,5,T_INV3[[#This Row],[Outstanding Amount]])=1,1,0),"")</f>
      </c>
      <c r="M19" t="s" s="354">
        <v>401</v>
      </c>
      <c r="N19" s="353"/>
      <c r="O19" s="319"/>
      <c r="P19" s="319"/>
      <c r="Q19" s="319"/>
      <c r="R19" s="319"/>
      <c r="S19" s="323"/>
    </row>
    <row r="20" ht="20.15" customHeight="true">
      <c r="A20" s="319"/>
      <c r="B20" s="319"/>
      <c r="C20" s="346">
        <v>1005</v>
      </c>
      <c r="D20" t="s" s="347">
        <v>402</v>
      </c>
      <c r="E20" s="348">
        <v>45010</v>
      </c>
      <c r="F20" s="348">
        <v>45010</v>
      </c>
      <c r="G20" s="349">
        <v>130</v>
      </c>
      <c r="H20" s="350"/>
      <c r="I20" s="349" t="s">
        <f>IFERROR(T_INV3[[#This Row],[Invoice Amount]]-T_INV3[[#This Row],[Paid Amount]],"")</f>
      </c>
      <c r="J20" s="351" t="s">
        <f>IFERROR(IF(OR(T_INV3[[#This Row],[Invoice Amount]]="",T_INV3[[#This Row],[Invoice Date]]="",T_INV3[[#This Row],[Due Date]]="",T_INV3[[#This Row],[Due Date]]&lt;T_INV3[[#This Row],[Invoice Date]]),"ERROR",IF(T_INV3[[#This Row],[Outstanding Amount]]=0,"PAID IN FULL", IF(T_INV3[[#This Row],[Outstanding Amount]]&gt;0,IF(TD&lt;T_INV3[[#This Row],[Due Date]],"CURRENT",IF(TD=T_INV3[[#This Row],[Due Date]],"DUE TODAY",IF(TD&gt;T_INV3[[#This Row],[Due Date]],"PAST DUE"))),IF(T_INV3[[#This Row],[Outstanding Amount]]&lt;0,"OVERPAID")))),"")</f>
      </c>
      <c r="K20" s="346" t="s">
        <f>IFERROR(IF(T_INV3[[#This Row],[Status]]="PAST DUE",IF(TD-T_INV3[[#This Row],[Due Date]]&lt;30,"1 - 30 Days",IF(TD-T_INV3[[#This Row],[Due Date]]&lt;60,"31 - 60 Days",IF(TD-T_INV3[[#This Row],[Due Date]]&lt;90,"61 - 90 Days","91+ Days"))),""),"")</f>
      </c>
      <c r="L20" s="346" t="s">
        <f>IFERROR(IF(AGGREGATE(3,5,T_INV3[[#This Row],[Outstanding Amount]])=1,1,0),"")</f>
      </c>
      <c r="M20" t="s" s="354">
        <v>403</v>
      </c>
      <c r="N20" s="353"/>
      <c r="O20" s="319"/>
      <c r="P20" s="319"/>
      <c r="Q20" s="319"/>
      <c r="R20" s="319"/>
      <c r="S20" s="323"/>
    </row>
    <row r="21" ht="20.15" customHeight="true">
      <c r="A21" s="319"/>
      <c r="B21" s="319"/>
      <c r="C21" s="346">
        <v>1006</v>
      </c>
      <c r="D21" t="s" s="347">
        <v>404</v>
      </c>
      <c r="E21" s="348">
        <v>45010</v>
      </c>
      <c r="F21" s="348">
        <v>45010</v>
      </c>
      <c r="G21" s="349">
        <v>150</v>
      </c>
      <c r="H21" s="350"/>
      <c r="I21" s="349" t="s">
        <f>IFERROR(T_INV3[[#This Row],[Invoice Amount]]-T_INV3[[#This Row],[Paid Amount]],"")</f>
      </c>
      <c r="J21" s="351" t="s">
        <f>IFERROR(IF(OR(T_INV3[[#This Row],[Invoice Amount]]="",T_INV3[[#This Row],[Invoice Date]]="",T_INV3[[#This Row],[Due Date]]="",T_INV3[[#This Row],[Due Date]]&lt;T_INV3[[#This Row],[Invoice Date]]),"ERROR",IF(T_INV3[[#This Row],[Outstanding Amount]]=0,"PAID IN FULL", IF(T_INV3[[#This Row],[Outstanding Amount]]&gt;0,IF(TD&lt;T_INV3[[#This Row],[Due Date]],"CURRENT",IF(TD=T_INV3[[#This Row],[Due Date]],"DUE TODAY",IF(TD&gt;T_INV3[[#This Row],[Due Date]],"PAST DUE"))),IF(T_INV3[[#This Row],[Outstanding Amount]]&lt;0,"OVERPAID")))),"")</f>
      </c>
      <c r="K21" s="346" t="s">
        <f>IFERROR(IF(T_INV3[[#This Row],[Status]]="PAST DUE",IF(TD-T_INV3[[#This Row],[Due Date]]&lt;30,"1 - 30 Days",IF(TD-T_INV3[[#This Row],[Due Date]]&lt;60,"31 - 60 Days",IF(TD-T_INV3[[#This Row],[Due Date]]&lt;90,"61 - 90 Days","91+ Days"))),""),"")</f>
      </c>
      <c r="L21" s="346" t="s">
        <f>IFERROR(IF(AGGREGATE(3,5,T_INV3[[#This Row],[Outstanding Amount]])=1,1,0),"")</f>
      </c>
      <c r="M21" t="s" s="354">
        <v>405</v>
      </c>
      <c r="N21" s="353"/>
      <c r="O21" s="319"/>
      <c r="P21" s="319"/>
      <c r="Q21" s="319"/>
      <c r="R21" s="319"/>
      <c r="S21" s="323"/>
    </row>
    <row r="22" ht="20.15" customHeight="true">
      <c r="A22" s="319"/>
      <c r="B22" s="319"/>
      <c r="C22" s="346">
        <v>1008</v>
      </c>
      <c r="D22" t="s" s="347">
        <v>406</v>
      </c>
      <c r="E22" s="348">
        <v>45016</v>
      </c>
      <c r="F22" s="348">
        <v>45026</v>
      </c>
      <c r="G22" s="349">
        <v>90</v>
      </c>
      <c r="H22" s="350"/>
      <c r="I22" s="349" t="s">
        <f>IFERROR(T_INV3[[#This Row],[Invoice Amount]]-T_INV3[[#This Row],[Paid Amount]],"")</f>
      </c>
      <c r="J22" s="351" t="s">
        <f>IFERROR(IF(OR(T_INV3[[#This Row],[Invoice Amount]]="",T_INV3[[#This Row],[Invoice Date]]="",T_INV3[[#This Row],[Due Date]]="",T_INV3[[#This Row],[Due Date]]&lt;T_INV3[[#This Row],[Invoice Date]]),"ERROR",IF(T_INV3[[#This Row],[Outstanding Amount]]=0,"PAID IN FULL", IF(T_INV3[[#This Row],[Outstanding Amount]]&gt;0,IF(TD&lt;T_INV3[[#This Row],[Due Date]],"CURRENT",IF(TD=T_INV3[[#This Row],[Due Date]],"DUE TODAY",IF(TD&gt;T_INV3[[#This Row],[Due Date]],"PAST DUE"))),IF(T_INV3[[#This Row],[Outstanding Amount]]&lt;0,"OVERPAID")))),"")</f>
      </c>
      <c r="K22" s="346" t="s">
        <f>IFERROR(IF(T_INV3[[#This Row],[Status]]="PAST DUE",IF(TD-T_INV3[[#This Row],[Due Date]]&lt;30,"1 - 30 Days",IF(TD-T_INV3[[#This Row],[Due Date]]&lt;60,"31 - 60 Days",IF(TD-T_INV3[[#This Row],[Due Date]]&lt;90,"61 - 90 Days","91+ Days"))),""),"")</f>
      </c>
      <c r="L22" s="346" t="s">
        <f>IFERROR(IF(AGGREGATE(3,5,T_INV3[[#This Row],[Outstanding Amount]])=1,1,0),"")</f>
      </c>
      <c r="M22" t="s" s="354">
        <v>407</v>
      </c>
      <c r="N22" s="353"/>
      <c r="O22" s="319"/>
      <c r="P22" s="319"/>
      <c r="Q22" s="319"/>
      <c r="R22" s="319"/>
      <c r="S22" s="323"/>
    </row>
    <row r="23" ht="20.15" customHeight="true">
      <c r="A23" s="319"/>
      <c r="B23" s="319"/>
      <c r="C23" s="346">
        <v>1008</v>
      </c>
      <c r="D23" t="s" s="347">
        <v>408</v>
      </c>
      <c r="E23" s="348">
        <v>45016</v>
      </c>
      <c r="F23" s="348">
        <v>45026</v>
      </c>
      <c r="G23" s="349">
        <v>90</v>
      </c>
      <c r="H23" s="350"/>
      <c r="I23" s="349" t="s">
        <f>IFERROR(T_INV3[[#This Row],[Invoice Amount]]-T_INV3[[#This Row],[Paid Amount]],"")</f>
      </c>
      <c r="J23" s="351" t="s">
        <f>IFERROR(IF(OR(T_INV3[[#This Row],[Invoice Amount]]="",T_INV3[[#This Row],[Invoice Date]]="",T_INV3[[#This Row],[Due Date]]="",T_INV3[[#This Row],[Due Date]]&lt;T_INV3[[#This Row],[Invoice Date]]),"ERROR",IF(T_INV3[[#This Row],[Outstanding Amount]]=0,"PAID IN FULL", IF(T_INV3[[#This Row],[Outstanding Amount]]&gt;0,IF(TD&lt;T_INV3[[#This Row],[Due Date]],"CURRENT",IF(TD=T_INV3[[#This Row],[Due Date]],"DUE TODAY",IF(TD&gt;T_INV3[[#This Row],[Due Date]],"PAST DUE"))),IF(T_INV3[[#This Row],[Outstanding Amount]]&lt;0,"OVERPAID")))),"")</f>
      </c>
      <c r="K23" s="346" t="s">
        <f>IFERROR(IF(T_INV3[[#This Row],[Status]]="PAST DUE",IF(TD-T_INV3[[#This Row],[Due Date]]&lt;30,"1 - 30 Days",IF(TD-T_INV3[[#This Row],[Due Date]]&lt;60,"31 - 60 Days",IF(TD-T_INV3[[#This Row],[Due Date]]&lt;90,"61 - 90 Days","91+ Days"))),""),"")</f>
      </c>
      <c r="L23" s="346" t="s">
        <f>IFERROR(IF(AGGREGATE(3,5,T_INV3[[#This Row],[Outstanding Amount]])=1,1,0),"")</f>
      </c>
      <c r="M23" t="s" s="354">
        <v>409</v>
      </c>
      <c r="N23" s="353"/>
      <c r="O23" s="319"/>
      <c r="P23" s="319"/>
      <c r="Q23" s="319"/>
      <c r="R23" s="319"/>
      <c r="S23" s="323"/>
    </row>
    <row r="24" ht="20.15" customHeight="true">
      <c r="A24" s="319"/>
      <c r="B24" s="319"/>
      <c r="C24" s="319"/>
      <c r="D24" s="319"/>
      <c r="E24" s="319"/>
      <c r="F24" s="319"/>
      <c r="G24" s="319"/>
      <c r="H24" s="319"/>
      <c r="I24" s="319"/>
      <c r="J24" s="319"/>
      <c r="K24" s="319"/>
      <c r="L24" s="319"/>
      <c r="M24" s="319"/>
      <c r="N24" s="319"/>
      <c r="O24" s="319"/>
      <c r="P24" s="319"/>
      <c r="Q24" s="319"/>
      <c r="R24" s="319"/>
      <c r="S24" s="323"/>
    </row>
    <row r="25" ht="20.15" customHeight="true">
      <c r="A25" s="319"/>
      <c r="B25" s="319"/>
      <c r="C25" s="319"/>
      <c r="D25" s="319"/>
      <c r="E25" s="319"/>
      <c r="F25" s="319"/>
      <c r="G25" s="319"/>
      <c r="H25" s="319"/>
      <c r="I25" s="319"/>
      <c r="J25" s="319"/>
      <c r="K25" s="319"/>
      <c r="L25" s="319"/>
      <c r="M25" s="319"/>
      <c r="N25" s="319"/>
      <c r="O25" s="319"/>
      <c r="P25" s="319"/>
      <c r="Q25" s="319"/>
      <c r="R25" s="319"/>
      <c r="S25" s="323"/>
    </row>
    <row r="26" ht="20.15" customHeight="true">
      <c r="A26" s="319"/>
      <c r="B26" s="319"/>
      <c r="C26" s="319"/>
      <c r="D26" s="319"/>
      <c r="E26" s="319"/>
      <c r="F26" s="319"/>
      <c r="G26" s="319"/>
      <c r="H26" s="319"/>
      <c r="I26" s="319"/>
      <c r="J26" s="319"/>
      <c r="K26" s="319"/>
      <c r="L26" s="319"/>
      <c r="M26" s="319"/>
      <c r="N26" s="319"/>
      <c r="O26" s="319"/>
      <c r="P26" s="319"/>
      <c r="Q26" s="319"/>
      <c r="R26" s="319"/>
      <c r="S26" s="323"/>
    </row>
    <row r="27" ht="20.15" customHeight="true">
      <c r="A27" s="319"/>
      <c r="B27" s="319"/>
      <c r="C27" s="319"/>
      <c r="D27" s="319"/>
      <c r="E27" s="319"/>
      <c r="F27" s="319"/>
      <c r="G27" s="319"/>
      <c r="H27" s="319"/>
      <c r="I27" s="319"/>
      <c r="J27" s="319"/>
      <c r="K27" s="319"/>
      <c r="L27" s="319"/>
      <c r="M27" s="319"/>
      <c r="N27" s="319"/>
      <c r="O27" s="319"/>
      <c r="P27" s="319"/>
      <c r="Q27" s="319"/>
      <c r="R27" s="319"/>
      <c r="S27" s="323"/>
    </row>
    <row r="28" ht="20.15" customHeight="true">
      <c r="A28" s="319"/>
      <c r="B28" s="319"/>
      <c r="C28" s="319"/>
      <c r="D28" s="319"/>
      <c r="E28" s="319"/>
      <c r="F28" s="319"/>
      <c r="G28" s="319"/>
      <c r="H28" s="319"/>
      <c r="I28" s="319"/>
      <c r="J28" s="319"/>
      <c r="K28" s="319"/>
      <c r="L28" s="319"/>
      <c r="M28" s="319"/>
      <c r="N28" s="319"/>
      <c r="O28" s="319"/>
      <c r="P28" s="319"/>
      <c r="Q28" s="319"/>
      <c r="R28" s="319"/>
      <c r="S28" s="323"/>
    </row>
    <row r="29" ht="20.15" customHeight="true">
      <c r="A29" s="319"/>
      <c r="B29" s="319"/>
      <c r="C29" s="319"/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319"/>
      <c r="S29" s="323"/>
    </row>
    <row r="30" ht="20.15" customHeight="true">
      <c r="A30" s="319"/>
      <c r="B30" s="319"/>
      <c r="C30" s="319"/>
      <c r="D30" s="319"/>
      <c r="E30" s="319"/>
      <c r="F30" s="319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23"/>
    </row>
    <row r="31" ht="20.15" customHeight="true">
      <c r="A31" s="319"/>
      <c r="B31" s="319"/>
      <c r="C31" s="319"/>
      <c r="D31" s="319"/>
      <c r="E31" s="319"/>
      <c r="F31" s="319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23"/>
    </row>
    <row r="32" ht="20.15" customHeight="true">
      <c r="A32" s="319"/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23"/>
    </row>
    <row r="33" ht="20.15" customHeight="true">
      <c r="A33" s="319"/>
      <c r="B33" s="319"/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23"/>
    </row>
    <row r="34" ht="20.15" customHeight="true">
      <c r="A34" s="319"/>
      <c r="B34" s="319"/>
      <c r="C34" s="319"/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319"/>
      <c r="R34" s="319"/>
      <c r="S34" s="323"/>
    </row>
    <row r="35" ht="20.15" customHeight="true">
      <c r="A35" s="319"/>
      <c r="B35" s="319"/>
      <c r="C35" s="319"/>
      <c r="D35" s="319"/>
      <c r="E35" s="319"/>
      <c r="F35" s="319"/>
      <c r="G35" s="319"/>
      <c r="H35" s="319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23"/>
    </row>
    <row r="36" ht="20.15" customHeight="true">
      <c r="A36" s="319"/>
      <c r="B36" s="319"/>
      <c r="C36" s="319"/>
      <c r="D36" s="319"/>
      <c r="E36" s="319"/>
      <c r="F36" s="319"/>
      <c r="G36" s="319"/>
      <c r="H36" s="319"/>
      <c r="I36" s="319"/>
      <c r="J36" s="319"/>
      <c r="K36" s="319"/>
      <c r="L36" s="319"/>
      <c r="M36" s="319"/>
      <c r="N36" s="319"/>
      <c r="O36" s="319"/>
      <c r="P36" s="319"/>
      <c r="Q36" s="319"/>
      <c r="R36" s="319"/>
      <c r="S36" s="323"/>
    </row>
    <row r="37" ht="20.15" customHeight="true">
      <c r="A37" s="319"/>
      <c r="B37" s="319"/>
      <c r="C37" s="319"/>
      <c r="D37" s="319"/>
      <c r="E37" s="319"/>
      <c r="F37" s="319"/>
      <c r="G37" s="319"/>
      <c r="H37" s="319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23"/>
    </row>
    <row r="38" ht="20.15" customHeight="true">
      <c r="A38" s="319"/>
      <c r="B38" s="319"/>
      <c r="C38" s="319"/>
      <c r="D38" s="319"/>
      <c r="E38" s="319"/>
      <c r="F38" s="319"/>
      <c r="G38" s="319"/>
      <c r="H38" s="319"/>
      <c r="I38" s="319"/>
      <c r="J38" s="319"/>
      <c r="K38" s="319"/>
      <c r="L38" s="319"/>
      <c r="M38" s="319"/>
      <c r="N38" s="319"/>
      <c r="O38" s="319"/>
      <c r="P38" s="319"/>
      <c r="Q38" s="319"/>
      <c r="R38" s="319"/>
      <c r="S38" s="323"/>
    </row>
    <row r="39" ht="20.15" customHeight="true">
      <c r="A39" s="319"/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23"/>
    </row>
    <row r="40" ht="20.15" customHeight="true">
      <c r="A40" s="319"/>
      <c r="B40" s="319"/>
      <c r="C40" s="319"/>
      <c r="D40" s="319"/>
      <c r="E40" s="319"/>
      <c r="F40" s="319"/>
      <c r="G40" s="319"/>
      <c r="H40" s="319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23"/>
    </row>
    <row r="41" ht="20.15" customHeight="true">
      <c r="A41" s="319"/>
      <c r="B41" s="319"/>
      <c r="C41" s="319"/>
      <c r="D41" s="319"/>
      <c r="E41" s="319"/>
      <c r="F41" s="319"/>
      <c r="G41" s="319"/>
      <c r="H41" s="31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23"/>
    </row>
    <row r="42" ht="20.15" customHeight="true">
      <c r="A42" s="319"/>
      <c r="B42" s="319"/>
      <c r="C42" s="319"/>
      <c r="D42" s="319"/>
      <c r="E42" s="319"/>
      <c r="F42" s="319"/>
      <c r="G42" s="319"/>
      <c r="H42" s="319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23"/>
    </row>
    <row r="43" ht="20.15" customHeight="true">
      <c r="A43" s="319"/>
      <c r="B43" s="319"/>
      <c r="C43" s="319"/>
      <c r="D43" s="319"/>
      <c r="E43" s="319"/>
      <c r="F43" s="319"/>
      <c r="G43" s="319"/>
      <c r="H43" s="319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23"/>
    </row>
    <row r="44" ht="20.15" customHeight="true">
      <c r="A44" s="319"/>
      <c r="B44" s="319"/>
      <c r="C44" s="319"/>
      <c r="D44" s="319"/>
      <c r="E44" s="319"/>
      <c r="F44" s="319"/>
      <c r="G44" s="319"/>
      <c r="H44" s="319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23"/>
    </row>
    <row r="45" ht="20.15" customHeight="true">
      <c r="A45" s="319"/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23"/>
    </row>
    <row r="46" ht="20.15" customHeight="true">
      <c r="A46" s="319"/>
      <c r="B46" s="319"/>
      <c r="C46" s="319"/>
      <c r="D46" s="319"/>
      <c r="E46" s="319"/>
      <c r="F46" s="319"/>
      <c r="G46" s="319"/>
      <c r="H46" s="319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23"/>
    </row>
    <row r="47" ht="20.15" customHeight="true">
      <c r="A47" s="319"/>
      <c r="B47" s="319"/>
      <c r="C47" s="319"/>
      <c r="D47" s="319"/>
      <c r="E47" s="319"/>
      <c r="F47" s="319"/>
      <c r="G47" s="319"/>
      <c r="H47" s="319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23"/>
    </row>
    <row r="48" ht="20.15" customHeight="true">
      <c r="A48" s="319"/>
      <c r="B48" s="319"/>
      <c r="C48" s="319"/>
      <c r="D48" s="319"/>
      <c r="E48" s="319"/>
      <c r="F48" s="319"/>
      <c r="G48" s="319"/>
      <c r="H48" s="319"/>
      <c r="I48" s="319"/>
      <c r="J48" s="319"/>
      <c r="K48" s="319"/>
      <c r="L48" s="319"/>
      <c r="M48" s="319"/>
      <c r="N48" s="319"/>
      <c r="O48" s="319"/>
      <c r="P48" s="319"/>
      <c r="Q48" s="319"/>
      <c r="R48" s="319"/>
      <c r="S48" s="323"/>
    </row>
    <row r="49" ht="20.15" customHeight="true">
      <c r="A49" s="319"/>
      <c r="B49" s="319"/>
      <c r="C49" s="319"/>
      <c r="D49" s="319"/>
      <c r="E49" s="319"/>
      <c r="F49" s="319"/>
      <c r="G49" s="319"/>
      <c r="H49" s="319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23"/>
    </row>
    <row r="50" ht="20.15" customHeight="true">
      <c r="A50" s="319"/>
      <c r="B50" s="319"/>
      <c r="C50" s="319"/>
      <c r="D50" s="319"/>
      <c r="E50" s="319"/>
      <c r="F50" s="319"/>
      <c r="G50" s="319"/>
      <c r="H50" s="319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23"/>
    </row>
    <row r="51" ht="20.15" customHeight="true">
      <c r="A51" s="319"/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23"/>
    </row>
    <row r="52" ht="20.15" customHeight="true">
      <c r="A52" s="319"/>
      <c r="B52" s="319"/>
      <c r="C52" s="319"/>
      <c r="D52" s="319"/>
      <c r="E52" s="319"/>
      <c r="F52" s="319"/>
      <c r="G52" s="319"/>
      <c r="H52" s="319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23"/>
    </row>
    <row r="53" ht="20.15" customHeight="true">
      <c r="A53" s="319"/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23"/>
    </row>
    <row r="54" ht="20.15" customHeight="true">
      <c r="A54" s="319"/>
      <c r="B54" s="319"/>
      <c r="C54" s="319"/>
      <c r="D54" s="319"/>
      <c r="E54" s="319"/>
      <c r="F54" s="319"/>
      <c r="G54" s="319"/>
      <c r="H54" s="319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23"/>
    </row>
    <row r="55" ht="20.15" customHeight="true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23"/>
    </row>
    <row r="56" ht="20.15" customHeight="true">
      <c r="A56" s="319"/>
      <c r="B56" s="319"/>
      <c r="C56" s="319"/>
      <c r="D56" s="319"/>
      <c r="E56" s="319"/>
      <c r="F56" s="319"/>
      <c r="G56" s="319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23"/>
    </row>
    <row r="57" ht="20.15" customHeight="true">
      <c r="A57" s="319"/>
      <c r="B57" s="319"/>
      <c r="C57" s="319"/>
      <c r="D57" s="319"/>
      <c r="E57" s="319"/>
      <c r="F57" s="319"/>
      <c r="G57" s="319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23"/>
    </row>
    <row r="58" ht="20.15" customHeight="true">
      <c r="A58" s="319"/>
      <c r="B58" s="319"/>
      <c r="C58" s="319"/>
      <c r="D58" s="319"/>
      <c r="E58" s="319"/>
      <c r="F58" s="319"/>
      <c r="G58" s="319"/>
      <c r="H58" s="319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23"/>
    </row>
    <row r="59" ht="20.15" customHeight="true">
      <c r="A59" s="319"/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23"/>
    </row>
    <row r="60" ht="20.15" customHeight="true">
      <c r="A60" s="319"/>
      <c r="B60" s="319"/>
      <c r="C60" s="319"/>
      <c r="D60" s="319"/>
      <c r="E60" s="319"/>
      <c r="F60" s="319"/>
      <c r="G60" s="319"/>
      <c r="H60" s="319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23"/>
    </row>
    <row r="61" ht="20.15" customHeight="true">
      <c r="A61" s="319"/>
      <c r="B61" s="319"/>
      <c r="C61" s="319"/>
      <c r="D61" s="319"/>
      <c r="E61" s="319"/>
      <c r="F61" s="319"/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23"/>
    </row>
    <row r="62" ht="20.15" customHeight="true">
      <c r="A62" s="319"/>
      <c r="B62" s="319"/>
      <c r="C62" s="319"/>
      <c r="D62" s="319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23"/>
    </row>
    <row r="63" ht="20.15" customHeight="true">
      <c r="A63" s="319"/>
      <c r="B63" s="319"/>
      <c r="C63" s="319"/>
      <c r="D63" s="319"/>
      <c r="E63" s="319"/>
      <c r="F63" s="319"/>
      <c r="G63" s="319"/>
      <c r="H63" s="31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23"/>
    </row>
    <row r="64" ht="20.15" customHeight="true">
      <c r="A64" s="319"/>
      <c r="B64" s="319"/>
      <c r="C64" s="319"/>
      <c r="D64" s="319"/>
      <c r="E64" s="319"/>
      <c r="F64" s="319"/>
      <c r="G64" s="319"/>
      <c r="H64" s="319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23"/>
    </row>
    <row r="65" ht="20.15" customHeight="true">
      <c r="A65" s="319"/>
      <c r="B65" s="319"/>
      <c r="C65" s="319"/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19"/>
      <c r="R65" s="319"/>
      <c r="S65" s="323"/>
    </row>
    <row r="66" ht="20.15" customHeight="true">
      <c r="A66" s="319"/>
      <c r="B66" s="319"/>
      <c r="C66" s="319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319"/>
      <c r="R66" s="319"/>
      <c r="S66" s="323"/>
    </row>
    <row r="67" ht="20.15" customHeight="true">
      <c r="A67" s="319"/>
      <c r="B67" s="319"/>
      <c r="C67" s="319"/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23"/>
    </row>
    <row r="68" ht="20.15" customHeight="true">
      <c r="A68" s="319"/>
      <c r="B68" s="319"/>
      <c r="C68" s="319"/>
      <c r="D68" s="319"/>
      <c r="E68" s="319"/>
      <c r="F68" s="319"/>
      <c r="G68" s="319"/>
      <c r="H68" s="319"/>
      <c r="I68" s="319"/>
      <c r="J68" s="319"/>
      <c r="K68" s="319"/>
      <c r="L68" s="319"/>
      <c r="M68" s="319"/>
      <c r="N68" s="319"/>
      <c r="O68" s="319"/>
      <c r="P68" s="319"/>
      <c r="Q68" s="319"/>
      <c r="R68" s="319"/>
      <c r="S68" s="323"/>
    </row>
    <row r="69" ht="20.15" customHeight="true">
      <c r="A69" s="319"/>
      <c r="B69" s="319"/>
      <c r="C69" s="319"/>
      <c r="D69" s="319"/>
      <c r="E69" s="319"/>
      <c r="F69" s="319"/>
      <c r="G69" s="319"/>
      <c r="H69" s="319"/>
      <c r="I69" s="319"/>
      <c r="J69" s="319"/>
      <c r="K69" s="319"/>
      <c r="L69" s="319"/>
      <c r="M69" s="319"/>
      <c r="N69" s="319"/>
      <c r="O69" s="319"/>
      <c r="P69" s="319"/>
      <c r="Q69" s="319"/>
      <c r="R69" s="319"/>
      <c r="S69" s="323"/>
    </row>
    <row r="70" ht="20.15" customHeight="true">
      <c r="A70" s="319"/>
      <c r="B70" s="319"/>
      <c r="O70" s="319"/>
      <c r="P70" s="319"/>
      <c r="Q70" s="319"/>
      <c r="R70" s="319"/>
      <c r="S70" s="319"/>
    </row>
    <row r="71" ht="20.15" customHeight="true">
      <c r="A71" s="319"/>
      <c r="B71" s="319"/>
      <c r="O71" s="319"/>
      <c r="P71" s="319"/>
      <c r="Q71" s="319"/>
      <c r="R71" s="319"/>
      <c r="S71" s="319"/>
    </row>
    <row r="72" ht="20.15" customHeight="true">
      <c r="A72" s="319"/>
      <c r="B72" s="319"/>
      <c r="O72" s="319"/>
      <c r="P72" s="319"/>
      <c r="Q72" s="319"/>
      <c r="R72" s="319"/>
      <c r="S72" s="319"/>
    </row>
  </sheetData>
  <mergeCells count="4">
    <mergeCell ref="K4:K5"/>
    <mergeCell ref="L4:L5"/>
    <mergeCell ref="M4:M5"/>
    <mergeCell ref="C2:D2"/>
  </mergeCells>
  <phoneticPr fontId="0" type="noConversion"/>
  <conditionalFormatting sqref="J16:J23">
    <cfRule priority="1" type="expression" dxfId="9">
      <formula>J16="PAST DUE"</formula>
    </cfRule>
  </conditionalFormatting>
  <conditionalFormatting sqref="C16:H23">
    <cfRule priority="2" type="expression" dxfId="10">
      <formula>$J16="ERROR"</formula>
    </cfRule>
  </conditionalFormatting>
  <hyperlinks>
    <hyperlink ref="M21" xr:uid="{352DDB13-9D5D-4DCD-AE18-E5856021B80C}" r:id="rId2"/>
    <hyperlink ref="M22" xr:uid="{51C29B2E-CAC3-410C-8C55-93A2AE116656}" r:id="rId3"/>
    <hyperlink ref="M19" xr:uid="{EB288813-5FC4-470F-ABCA-A05BE15B93FD}" r:id="rId4"/>
    <hyperlink ref="M18" xr:uid="{9C1A1171-6357-4CD4-8636-92B97E35AA5E}" r:id="rId5"/>
    <hyperlink ref="M20" xr:uid="{22EB5BF2-882F-49CB-A835-553F41B9D863}" r:id="rId6"/>
    <hyperlink ref="M23" xr:uid="{72035464-496E-472F-B418-353C48BB31CD}" r:id="rId7"/>
  </hyperlinks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A1"/>
  <sheetViews>
    <sheetView showGridLines="0" tabSelected="0" workbookViewId="0">
      <pane ySplit="2" topLeftCell="A3" activePane="bottomRight" state="frozen"/>
      <selection activeCell="A1" sqref="A1"/>
    </sheetView>
  </sheetViews>
  <sheetFormatPr defaultRowHeight="20.15" customHeight="1" defaultColWidth="7.36"/>
  <cols>
    <col min="1" max="7" width="16.83" customWidth="1" hidden="0"/>
    <col min="8" max="39" width="7.36" customWidth="1" hidden="0"/>
  </cols>
  <sheetData>
    <row r="1" ht="20.15" customHeight="true">
      <c r="A1" t="s" s="355">
        <v>410</v>
      </c>
      <c r="B1" s="356"/>
      <c r="C1" s="356"/>
      <c r="D1" s="356"/>
      <c r="E1" s="357"/>
      <c r="F1" s="356"/>
      <c r="G1" s="356"/>
      <c r="H1" s="358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</row>
    <row r="2" ht="20.15" customHeight="true">
      <c r="A2" t="s" s="359">
        <v>411</v>
      </c>
      <c r="B2" t="s" s="359">
        <v>412</v>
      </c>
      <c r="C2" t="s" s="359">
        <v>413</v>
      </c>
      <c r="D2" t="s" s="359">
        <v>414</v>
      </c>
      <c r="E2" t="s" s="360">
        <v>415</v>
      </c>
      <c r="F2" t="s" s="359">
        <v>416</v>
      </c>
      <c r="G2" t="s" s="359">
        <v>417</v>
      </c>
      <c r="H2" s="358"/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</row>
    <row r="3" ht="20.15" customHeight="true">
      <c r="A3" s="361">
        <v>1009</v>
      </c>
      <c r="B3" s="361">
        <v>1010</v>
      </c>
      <c r="C3" s="362">
        <v>45016</v>
      </c>
      <c r="D3" t="s" s="361">
        <v>418</v>
      </c>
      <c r="E3" s="363">
        <v>45046</v>
      </c>
      <c r="F3" s="361"/>
      <c r="G3" s="361">
        <v>2304.0100000000002</v>
      </c>
      <c r="H3" s="358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8"/>
      <c r="AL3" s="358"/>
      <c r="AM3" s="358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A1"/>
  <sheetViews>
    <sheetView showGridLines="0" tabSelected="0" workbookViewId="0">
      <selection activeCell="A1" sqref="A1"/>
    </sheetView>
  </sheetViews>
  <sheetFormatPr defaultRowHeight="20.15" customHeight="1" defaultColWidth="7.36"/>
  <cols>
    <col min="1" max="7" width="16.83" customWidth="1" hidden="0"/>
    <col min="8" max="39" width="7.36" customWidth="1" hidden="0"/>
  </cols>
  <sheetData>
    <row r="1" ht="20.15" customHeight="true">
      <c r="A1" t="s" s="355">
        <v>419</v>
      </c>
      <c r="B1" s="364"/>
      <c r="C1" s="356"/>
      <c r="D1" s="356"/>
      <c r="E1" s="357"/>
      <c r="F1" s="365"/>
      <c r="G1" s="365"/>
      <c r="H1" s="358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</row>
    <row r="2" ht="20.15" customHeight="true">
      <c r="A2" t="s" s="359">
        <v>420</v>
      </c>
      <c r="B2" t="s" s="360">
        <v>421</v>
      </c>
      <c r="C2" t="s" s="359">
        <v>422</v>
      </c>
      <c r="D2" t="s" s="359">
        <v>423</v>
      </c>
      <c r="E2" t="s" s="360">
        <v>424</v>
      </c>
      <c r="F2" t="s" s="366">
        <v>425</v>
      </c>
      <c r="G2" t="s" s="366">
        <v>426</v>
      </c>
      <c r="H2" s="358"/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</row>
    <row r="3" ht="20.15" customHeight="true">
      <c r="A3" s="107">
        <v>1009</v>
      </c>
      <c r="B3" s="367">
        <v>45016</v>
      </c>
      <c r="C3" t="s" s="368">
        <v>427</v>
      </c>
      <c r="D3" s="107">
        <v>10</v>
      </c>
      <c r="E3" t="s" s="344">
        <v>428</v>
      </c>
      <c r="F3" s="369">
        <v>125</v>
      </c>
      <c r="G3" s="370">
        <v>1250</v>
      </c>
      <c r="H3" s="371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8"/>
      <c r="AL3" s="358"/>
      <c r="AM3" s="358"/>
    </row>
    <row r="4" ht="20.15" customHeight="true">
      <c r="A4" s="107">
        <v>1009</v>
      </c>
      <c r="B4" s="367">
        <v>45016</v>
      </c>
      <c r="C4" t="s" s="108">
        <v>429</v>
      </c>
      <c r="D4" s="107">
        <v>3</v>
      </c>
      <c r="E4" t="s" s="344">
        <v>428</v>
      </c>
      <c r="F4" s="369">
        <v>145</v>
      </c>
      <c r="G4" s="370">
        <v>435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8</vt:i4>
      </vt:variant>
    </vt:vector>
  </HeadingPairs>
  <TitlesOfParts>
    <vt:vector size="8" baseType="lpstr">
      <vt:lpstr>Invoice Payments</vt:lpstr>
      <vt:lpstr>Invoice List</vt:lpstr>
      <vt:lpstr>Invoice Items</vt:lpstr>
      <vt:lpstr>Admin &amp; Settings</vt:lpstr>
      <vt:lpstr>Schedule</vt:lpstr>
      <vt:lpstr>Customers</vt:lpstr>
      <vt:lpstr>Appointments</vt:lpstr>
      <vt:lpstr>Invoice Template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2026-05-31T15:52:26Z</dcterms:created>
  <dcterms:modified xsi:type="dcterms:W3CDTF">2026-05-31T15:52:26Z</dcterms:modified>
</cp:coreProperties>
</file>