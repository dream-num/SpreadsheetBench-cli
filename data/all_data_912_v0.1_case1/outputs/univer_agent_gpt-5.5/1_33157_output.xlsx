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07D542B-EB60-40C2-8ADB-95DED943639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/>
  <c r="G3" i="1"/>
  <c r="C3" i="1"/>
  <c r="J3" i="1"/>
  <c r="E3" i="1"/>
  <c r="I4" i="1"/>
  <c r="G4" i="1"/>
  <c r="C4" i="1"/>
  <c r="E4" i="1"/>
  <c r="J4" i="1"/>
  <c r="G6" i="1"/>
  <c r="I6" i="1"/>
  <c r="C6" i="1"/>
  <c r="E6" i="1"/>
  <c r="J6" i="1"/>
  <c r="G2" i="1"/>
  <c r="E2" i="1"/>
  <c r="I2" i="1"/>
  <c r="C2" i="1"/>
  <c r="J2" i="1"/>
  <c r="I5" i="1"/>
  <c r="G5" i="1"/>
  <c r="E5" i="1"/>
  <c r="C5" i="1"/>
  <c r="J5" i="1"/>
</calcChain>
</file>

<file path=xl/sharedStrings.xml><?xml version="1.0" encoding="utf-8"?>
<sst xmlns="http://schemas.openxmlformats.org/spreadsheetml/2006/main" count="39" uniqueCount="23">
  <si>
    <t>Name</t>
  </si>
  <si>
    <t>Activity 1</t>
  </si>
  <si>
    <r>
      <rPr>
        <rFont val="等线"/>
        <sz val="11.00"/>
        <b/>
        <color rgb="FF000000"/>
        <family val="2"/>
      </rPr>
      <t>Activity 1
Date</t>
    </r>
  </si>
  <si>
    <t>Activity 2</t>
  </si>
  <si>
    <r>
      <rPr>
        <rFont val="等线"/>
        <sz val="11.00"/>
        <b/>
        <color rgb="FF000000"/>
        <family val="2"/>
      </rPr>
      <t>Activity 2
Date</t>
    </r>
  </si>
  <si>
    <t>Activity 3</t>
  </si>
  <si>
    <r>
      <rPr>
        <rFont val="等线"/>
        <sz val="11.00"/>
        <b/>
        <color rgb="FF000000"/>
        <family val="2"/>
      </rPr>
      <t>Activity 3
Date</t>
    </r>
  </si>
  <si>
    <t>Activity 4</t>
  </si>
  <si>
    <r>
      <rPr>
        <rFont val="等线"/>
        <sz val="11.00"/>
        <b/>
        <color rgb="FF000000"/>
        <family val="2"/>
      </rPr>
      <t>Activity 4
Date</t>
    </r>
  </si>
  <si>
    <r>
      <rPr>
        <rFont val="等线"/>
        <sz val="11.00"/>
        <b/>
        <color rgb="FF000000"/>
        <family val="2"/>
      </rPr>
      <t>Earliest
Date 
Attended</t>
    </r>
  </si>
  <si>
    <t>Earliest Activity Attended</t>
  </si>
  <si>
    <t>Mr A</t>
  </si>
  <si>
    <t>15/08/2004 - Electrical - Venus</t>
  </si>
  <si>
    <t>11/05/1999 -WoodWork - Saturn</t>
  </si>
  <si>
    <t>16/01/2009 - Plumbing - Pluto</t>
  </si>
  <si>
    <t>Mr B</t>
  </si>
  <si>
    <t>Miss D</t>
  </si>
  <si>
    <t>17/12/2008 - Basket Weaving - Mars</t>
  </si>
  <si>
    <t>18/04/2018 - Electrical - Earth</t>
  </si>
  <si>
    <t>Mrs E</t>
  </si>
  <si>
    <t>24/09/2021 - Plumbing - Venus</t>
  </si>
  <si>
    <t>Mrs F</t>
  </si>
  <si>
    <t>Activity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</si>
</sst>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YYYY-M-D"/>
    <numFmt numFmtId="2" formatCode="General"/>
    <numFmt numFmtId="3" formatCode="dd/mm/yyyy;@"/>
    <numFmt numFmtId="4" formatCode="dd/mm/yy;;;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  <font>
      <name val="等线"/>
      <sz val="9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c5e0b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 horizontal="left"/>
    </xf>
    <xf numFmtId="2" applyNumberFormat="1" fontId="1" applyFont="1" fillId="2" applyFill="1" borderId="1" applyBorder="1" applyAlignment="1">
      <alignment/>
    </xf>
    <xf numFmtId="2" applyNumberFormat="1" fontId="2" applyFont="1" borderId="1" applyBorder="1" applyAlignment="1">
      <alignment vertical="center"/>
    </xf>
    <xf numFmtId="2" applyNumberFormat="1" fontId="2" applyFont="1" applyAlignment="1">
      <alignment/>
    </xf>
    <xf numFmtId="2" applyNumberFormat="1" fontId="1" applyFont="1" applyAlignment="1">
      <alignment/>
    </xf>
    <xf numFmtId="2" applyNumberFormat="1" fontId="1" applyFont="1" borderId="1" applyBorder="1" applyAlignment="1">
      <alignment/>
    </xf>
    <xf numFmtId="3" applyNumberFormat="1" fontId="3" applyFont="1" fillId="3" applyFill="1" borderId="1" applyBorder="1" applyAlignment="1">
      <alignment horizontal="left"/>
    </xf>
    <xf numFmtId="3" applyNumberFormat="1" fontId="3" applyFont="1" fillId="4" applyFill="1" borderId="1" applyBorder="1" applyAlignment="1">
      <alignment horizontal="left"/>
    </xf>
    <xf numFmtId="2" applyNumberFormat="1" fontId="2" applyFont="1" fillId="3" applyFill="1" borderId="1" applyBorder="1" applyAlignment="1">
      <alignment vertical="center" horizontal="left"/>
    </xf>
    <xf numFmtId="2" applyNumberFormat="1" fontId="2" applyFont="1" applyAlignment="1">
      <alignment vertical="center"/>
    </xf>
    <xf numFmtId="2" applyNumberFormat="1" fontId="3" applyFont="1" fillId="3" applyFill="1" borderId="1" applyBorder="1" applyAlignment="1">
      <alignment horizontal="left"/>
    </xf>
    <xf numFmtId="2" applyNumberFormat="1" fontId="2" applyFont="1" borderId="1" applyBorder="1" applyAlignment="1">
      <alignment vertical="center" wrapText="1"/>
    </xf>
    <xf numFmtId="2" applyNumberFormat="1" fontId="2" applyFont="1" fillId="3" applyFill="1" borderId="1" applyBorder="1" applyAlignment="1">
      <alignment vertical="center" horizontal="left" wrapText="1"/>
    </xf>
    <xf numFmtId="2" applyNumberFormat="1" fontId="3" applyFont="1" fillId="4" applyFill="1" borderId="1" applyBorder="1" applyAlignment="1">
      <alignment horizontal="left"/>
    </xf>
    <xf numFmtId="4" applyNumberFormat="1" fontId="3" applyFont="1" borderId="1" applyBorder="1" applyAlignment="1">
      <alignment/>
    </xf>
    <xf numFmtId="2" applyNumberFormat="1" fontId="2" applyFont="1" fillId="4" applyFill="1" borderId="1" applyBorder="1" applyAlignment="1">
      <alignment vertical="center" horizontal="left" wrapText="1"/>
    </xf>
    <xf numFmtId="2" applyNumberFormat="1" fontId="2" applyFont="1" fillId="4" applyFill="1" borderId="1" applyBorder="1" applyAlignment="1">
      <alignment vertical="center" horizontal="left"/>
    </xf>
  </cellStyleXfs>
  <cellXfs count="16">
    <xf numFmtId="0" fontId="0" fillId="0" borderId="0" xfId="0"/>
    <xf xfId="4" quotePrefix="0" pivotButton="0" numFmtId="2" applyNumberFormat="1" fontId="2" applyFont="1" borderId="1" applyBorder="1" applyAlignment="1">
      <alignment vertical="center"/>
    </xf>
    <xf xfId="10" quotePrefix="0" pivotButton="0" numFmtId="2" applyNumberFormat="1" fontId="2" applyFont="1" fillId="3" applyFill="1" borderId="1" applyBorder="1" applyAlignment="1">
      <alignment vertical="center" horizontal="left"/>
    </xf>
    <xf xfId="14" quotePrefix="0" pivotButton="0" numFmtId="2" applyNumberFormat="1" fontId="2" applyFont="1" fillId="3" applyFill="1" borderId="1" applyBorder="1" applyAlignment="1">
      <alignment vertical="center" horizontal="left" wrapText="1"/>
    </xf>
    <xf xfId="18" quotePrefix="0" pivotButton="0" numFmtId="2" applyNumberFormat="1" fontId="2" applyFont="1" fillId="4" applyFill="1" borderId="1" applyBorder="1" applyAlignment="1">
      <alignment vertical="center" horizontal="left"/>
    </xf>
    <xf xfId="17" quotePrefix="0" pivotButton="0" numFmtId="2" applyNumberFormat="1" fontId="2" applyFont="1" fillId="4" applyFill="1" borderId="1" applyBorder="1" applyAlignment="1">
      <alignment vertical="center" horizontal="left" wrapText="1"/>
    </xf>
    <xf xfId="13" quotePrefix="0" pivotButton="0" numFmtId="2" applyNumberFormat="1" fontId="2" applyFont="1" borderId="1" applyBorder="1" applyAlignment="1">
      <alignment vertical="center" wrapText="1"/>
    </xf>
    <xf xfId="7" quotePrefix="0" pivotButton="0" numFmtId="2" applyNumberFormat="1" fontId="1" applyFont="1" borderId="1" applyBorder="1" applyAlignment="1">
      <alignment/>
    </xf>
    <xf xfId="12" quotePrefix="0" pivotButton="0" numFmtId="2" applyNumberFormat="1" fontId="3" applyFont="1" fillId="3" applyFill="1" borderId="1" applyBorder="1" applyAlignment="1">
      <alignment horizontal="left"/>
    </xf>
    <xf xfId="8" quotePrefix="0" pivotButton="0" numFmtId="3" applyNumberFormat="1" fontId="3" applyFont="1" fillId="3" applyFill="1" borderId="1" applyBorder="1" applyAlignment="1">
      <alignment horizontal="left"/>
    </xf>
    <xf xfId="15" quotePrefix="0" pivotButton="0" numFmtId="2" applyNumberFormat="1" fontId="3" applyFont="1" fillId="4" applyFill="1" borderId="1" applyBorder="1" applyAlignment="1">
      <alignment horizontal="left"/>
    </xf>
    <xf xfId="9" quotePrefix="0" pivotButton="0" numFmtId="3" applyNumberFormat="1" fontId="3" applyFont="1" fillId="4" applyFill="1" borderId="1" applyBorder="1" applyAlignment="1">
      <alignment horizontal="left"/>
    </xf>
    <xf xfId="16" quotePrefix="0" pivotButton="0" numFmtId="4" applyNumberFormat="1" fontId="3" applyFont="1" borderId="1" applyBorder="1" applyAlignment="1">
      <alignment/>
    </xf>
    <xf xfId="3" quotePrefix="0" pivotButton="0" numFmtId="2" applyNumberFormat="1" fontId="1" applyFont="1" fillId="2" applyFill="1" borderId="1" applyBorder="1" applyAlignment="1">
      <alignment/>
    </xf>
    <xf xfId="5" quotePrefix="0" pivotButton="0" numFmtId="2" applyNumberFormat="1" fontId="2" applyFont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20.38" customWidth="1" hidden="0"/>
    <col min="2" max="2" width="24.86" customWidth="1" hidden="0"/>
    <col min="3" max="3" width="10.02" customWidth="1" hidden="0"/>
    <col min="4" max="4" width="24.86" customWidth="1" hidden="0"/>
    <col min="5" max="5" width="10.02" customWidth="1" hidden="0"/>
    <col min="6" max="6" width="24.86" customWidth="1" hidden="0"/>
    <col min="7" max="7" width="10.02" customWidth="1" hidden="0"/>
    <col min="8" max="8" width="24.86" customWidth="1" hidden="0"/>
    <col min="9" max="9" width="10.02" customWidth="1" hidden="0"/>
    <col min="10" max="10" width="10.25" customWidth="1" hidden="0"/>
    <col min="11" max="11" width="30.63" customWidth="1" hidden="0"/>
  </cols>
  <sheetData>
    <row r="1" ht="42.00" customHeight="true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2">
        <v>5</v>
      </c>
      <c r="G1" t="s" s="3">
        <v>6</v>
      </c>
      <c r="H1" t="s" s="4">
        <v>7</v>
      </c>
      <c r="I1" t="s" s="5">
        <v>8</v>
      </c>
      <c r="J1" t="s" s="6">
        <v>9</v>
      </c>
      <c r="K1" t="s" s="1">
        <v>10</v>
      </c>
    </row>
    <row r="2" ht="14.00" customHeight="true">
      <c r="A2" t="s" s="7">
        <v>11</v>
      </c>
      <c r="B2" t="s" s="8">
        <v>12</v>
      </c>
      <c r="C2" s="9" t="s">
        <f>IFERROR(VALUE(REPLACE(B2,11,500,"")),"")</f>
      </c>
      <c r="D2" t="s" s="10">
        <v>13</v>
      </c>
      <c r="E2" s="11">
        <f>IFERROR(VALUE(REPLACE(D2,11,500,"")),"")</f>
        <v>36469</v>
      </c>
      <c r="F2" t="s" s="8">
        <v>14</v>
      </c>
      <c r="G2" s="9" t="s">
        <f>IFERROR(VALUE(REPLACE(F2,11,500,"")),"")</f>
      </c>
      <c r="H2" s="10"/>
      <c r="I2" s="11" t="s">
        <f>IFERROR(VALUE(REPLACE(H2,11,500,"")),"")</f>
      </c>
      <c r="J2" s="12">
        <f>VALUE(MIN(C2,E2,G2,I2))</f>
        <v>36469</v>
      </c>
      <c r="K2" t="s" s="13">
        <v>13</v>
      </c>
    </row>
    <row r="3" ht="14.00" customHeight="true">
      <c r="A3" t="s" s="7">
        <v>15</v>
      </c>
      <c r="B3" t="s" s="8">
        <v>14</v>
      </c>
      <c r="C3" s="9" t="s">
        <f ref="C3:E6" t="shared" si="0">IFERROR(VALUE(REPLACE(B3,11,500,"")),"")</f>
      </c>
      <c r="D3" s="10"/>
      <c r="E3" s="11" t="s">
        <f t="shared" si="0"/>
      </c>
      <c r="F3" s="8"/>
      <c r="G3" s="9" t="s">
        <f>IFERROR(VALUE(REPLACE(F3,11,500,"")),"")</f>
      </c>
      <c r="H3" s="10"/>
      <c r="I3" s="11" t="s">
        <f>IFERROR(VALUE(REPLACE(H3,11,500,"")),"")</f>
      </c>
      <c r="J3" s="12">
        <f ref="J3:J6" t="shared" si="1">VALUE(MIN(C3,E3,G3,I3))</f>
        <v>0</v>
      </c>
      <c r="K3" s="13"/>
    </row>
    <row r="4" ht="14.00" customHeight="true">
      <c r="A4" t="s" s="7">
        <v>16</v>
      </c>
      <c r="B4" t="s" s="8">
        <v>17</v>
      </c>
      <c r="C4" s="9">
        <f t="shared" si="0"/>
        <v>39799</v>
      </c>
      <c r="D4" t="s" s="10">
        <v>18</v>
      </c>
      <c r="E4" s="11">
        <f t="shared" si="0"/>
        <v>43208</v>
      </c>
      <c r="F4" s="8"/>
      <c r="G4" s="9" t="s">
        <f>IFERROR(VALUE(REPLACE(F4,11,500,"")),"")</f>
      </c>
      <c r="H4" s="10"/>
      <c r="I4" s="11" t="s">
        <f>IFERROR(VALUE(REPLACE(H4,11,500,"")),"")</f>
      </c>
      <c r="J4" s="12">
        <f t="shared" si="1"/>
        <v>39799</v>
      </c>
      <c r="K4" t="s" s="13">
        <v>17</v>
      </c>
    </row>
    <row r="5" ht="14.00" customHeight="true">
      <c r="A5" t="s" s="7">
        <v>19</v>
      </c>
      <c r="B5" t="s" s="8">
        <v>18</v>
      </c>
      <c r="C5" s="9">
        <f t="shared" si="0"/>
        <v>43208</v>
      </c>
      <c r="D5" t="s" s="10">
        <v>17</v>
      </c>
      <c r="E5" s="11">
        <f t="shared" si="0"/>
        <v>39799</v>
      </c>
      <c r="F5" t="s" s="8">
        <v>20</v>
      </c>
      <c r="G5" s="9" t="s">
        <f>IFERROR(VALUE(REPLACE(F5,11,500,"")),"")</f>
      </c>
      <c r="H5" t="s" s="10">
        <v>14</v>
      </c>
      <c r="I5" s="11" t="s">
        <f>IFERROR(VALUE(REPLACE(H5,11,500,"")),"")</f>
      </c>
      <c r="J5" s="12">
        <f t="shared" si="1"/>
        <v>39799</v>
      </c>
      <c r="K5" t="s" s="13">
        <v>17</v>
      </c>
    </row>
    <row r="6" ht="14.00" customHeight="true">
      <c r="A6" t="s" s="7">
        <v>21</v>
      </c>
      <c r="B6" t="s" s="8">
        <v>13</v>
      </c>
      <c r="C6" s="9">
        <f t="shared" si="0"/>
        <v>36291</v>
      </c>
      <c r="D6" t="s" s="10">
        <v>12</v>
      </c>
      <c r="E6" s="11">
        <f t="shared" si="0"/>
        <v>38214</v>
      </c>
      <c r="F6" s="8"/>
      <c r="G6" s="9" t="s">
        <f>IFERROR(VALUE(REPLACE(F6,11,500,"")),"")</f>
      </c>
      <c r="H6" s="10"/>
      <c r="I6" s="11" t="s">
        <f>IFERROR(VALUE(REPLACE(H6,11,500,"")),"")</f>
      </c>
      <c r="J6" s="12">
        <f t="shared" si="1"/>
        <v>36291</v>
      </c>
      <c r="K6" t="s" s="13">
        <v>13</v>
      </c>
    </row>
  </sheetData>
  <phoneticPr fontId="0" type="noConversion"/>
  <dataValidations count="1">
    <dataValidation type="list" allowBlank="true" showInputMessage="1" showErrorMessage="1" sqref="B2:B6 D2:D6 F2:F6 H2:H6">
      <formula1>"=list!$A$2:$A$7"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49.71" customWidth="1" hidden="0"/>
  </cols>
  <sheetData>
    <row r="1" ht="14.00" customHeight="true">
      <c r="A1" t="s" s="14">
        <v>22</v>
      </c>
    </row>
    <row r="2" ht="14.00" customHeight="true">
      <c r="A2" t="s" s="15">
        <v>13</v>
      </c>
    </row>
    <row r="3" ht="14.00" customHeight="true">
      <c r="A3" t="s" s="15">
        <v>12</v>
      </c>
    </row>
    <row r="4" ht="14.00" customHeight="true">
      <c r="A4" t="s" s="15">
        <v>17</v>
      </c>
    </row>
    <row r="5" ht="14.00" customHeight="true">
      <c r="A5" t="s" s="15">
        <v>20</v>
      </c>
    </row>
    <row r="6" ht="14.00" customHeight="true">
      <c r="A6" t="s" s="15">
        <v>18</v>
      </c>
    </row>
    <row r="7" ht="14.00" customHeight="true">
      <c r="A7" t="s" s="15">
        <v>14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list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2026-05-31T22:19:16Z</dcterms:created>
  <dcterms:modified xsi:type="dcterms:W3CDTF">2026-05-31T22:19:16Z</dcterms:modified>
</cp:coreProperties>
</file>