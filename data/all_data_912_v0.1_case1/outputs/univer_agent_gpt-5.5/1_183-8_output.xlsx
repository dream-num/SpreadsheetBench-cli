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EE0E37E-FD18-4838-AFC1-86BF94B1902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/>
  <c r="E43" i="1"/>
  <c r="C43" i="1"/>
  <c r="F43" i="1"/>
  <c r="D43" i="1"/>
  <c r="I6" i="1"/>
  <c r="F37" i="1"/>
  <c r="C37" i="1"/>
  <c r="D37" i="1"/>
  <c r="E37" i="1"/>
  <c r="F7" i="1"/>
  <c r="D7" i="1"/>
  <c r="E7" i="1"/>
  <c r="C7" i="1"/>
  <c r="I7" i="1"/>
  <c r="C25" i="1"/>
  <c r="D25" i="1"/>
  <c r="F25" i="1"/>
  <c r="E25" i="1"/>
  <c r="I4" i="1"/>
  <c r="E19" i="1"/>
  <c r="C19" i="1"/>
  <c r="D19" i="1"/>
  <c r="F19" i="1"/>
  <c r="I3" i="1"/>
  <c r="C13" i="1"/>
  <c r="D13" i="1"/>
  <c r="E13" i="1"/>
  <c r="F13" i="1"/>
  <c r="F31" i="1"/>
  <c r="D31" i="1"/>
  <c r="C31" i="1"/>
  <c r="E31" i="1"/>
</calcChain>
</file>

<file path=xl/sharedStrings.xml><?xml version="1.0" encoding="utf-8"?>
<sst xmlns="http://schemas.openxmlformats.org/spreadsheetml/2006/main" count="49" uniqueCount="18">
  <si>
    <t>OEM</t>
  </si>
  <si>
    <t>FY</t>
  </si>
  <si>
    <t>Sum of Gen. (kwh) DAY</t>
  </si>
  <si>
    <t>Average of %PLF DAY</t>
  </si>
  <si>
    <t>Average of M/C Avail.%</t>
  </si>
  <si>
    <t>Average of Grid Avail.%</t>
  </si>
  <si>
    <t>Wagited Average of %PLF DAY</t>
  </si>
  <si>
    <t>a</t>
  </si>
  <si>
    <t>2021-2022</t>
  </si>
  <si>
    <t>2020-2021</t>
  </si>
  <si>
    <t>2019-2020</t>
  </si>
  <si>
    <t>2018-2019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</si>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</sst>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8">
    <numFmt numFmtId="1" formatCode="General"/>
    <numFmt numFmtId="2" formatCode="0.00"/>
    <numFmt numFmtId="3" formatCode="0.0"/>
    <numFmt numFmtId="4" formatCode="_ * #,##0.00_ ;_ * \-#,##0.00_ ;_ * &quot;-&quot;??_ ;_ @_ "/>
    <numFmt numFmtId="5" formatCode="_(* #,##0.00_);_(* \(#,##0.00\);_(* &quot;-&quot;??_);_(@_)"/>
    <numFmt numFmtId="6" formatCode="#,##0"/>
    <numFmt numFmtId="7" formatCode="0.00%"/>
    <numFmt numFmtId="8" formatCode="0%"/>
  </numFmts>
  <fonts count="6">
    <font>
      <sz val="11"/>
      <color theme="1"/>
      <name val="Arial"/>
      <family val="2"/>
      <scheme val="minor"/>
    </font>
    <font>
      <name val="Calibri"/>
      <sz val="11.00"/>
      <color rgb="FFFFFFFF"/>
      <family val="2"/>
    </font>
    <font>
      <name val="Calibri"/>
      <sz val="11.00"/>
      <b/>
      <color rgb="FF000000"/>
      <family val="2"/>
    </font>
    <font>
      <name val="Calibri"/>
      <sz val="11.00"/>
      <color rgb="FF000000"/>
      <family val="2"/>
    </font>
    <font>
      <name val="Calibri"/>
      <sz val="11.00"/>
      <b/>
      <color rgb="FFFFFFFF"/>
      <family val="2"/>
    </font>
    <font>
      <name val="Arial"/>
      <sz val="10.00"/>
      <b/>
      <color rgb="FFFFFFFF"/>
      <family val="2"/>
    </font>
  </fonts>
  <fills count="1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38572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a9d18e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84">
    <xf numFmtId="0" fontId="0" fillId="0" borderId="0"/>
    <xf numFmtId="1" applyNumberFormat="1" fontId="1" applyFont="1" fillId="2" applyFill="1" borderId="1" applyBorder="1" applyAlignment="1">
      <alignment/>
    </xf>
    <xf numFmtId="1" applyNumberFormat="1" fontId="1" applyFont="1" fillId="3" applyFill="1" borderId="2" applyBorder="1" applyAlignment="1">
      <alignment/>
    </xf>
    <xf numFmtId="1" applyNumberFormat="1" fontId="2" applyFont="1" borderId="3" applyBorder="1" applyAlignment="1">
      <alignment/>
    </xf>
    <xf numFmtId="1" applyNumberFormat="1" fontId="3" applyFont="1" fillId="4" applyFill="1" borderId="1" applyBorder="1" applyAlignment="1">
      <alignment horizontal="center"/>
    </xf>
    <xf numFmtId="1" applyNumberFormat="1" fontId="3" applyFont="1" borderId="1" applyBorder="1" applyAlignment="1">
      <alignment/>
    </xf>
    <xf numFmtId="1" applyNumberFormat="1" fontId="1" applyFont="1" fillId="2" applyFill="1" borderId="2" applyBorder="1" applyAlignment="1">
      <alignment/>
    </xf>
    <xf numFmtId="2" applyNumberFormat="1" fontId="2" applyFont="1" fillId="5" applyFill="1" borderId="4" applyBorder="1" applyAlignment="1">
      <alignment horizontal="right"/>
    </xf>
    <xf numFmtId="1" applyNumberFormat="1" fontId="3" applyFont="1" fillId="4" applyFill="1" borderId="5" applyBorder="1" applyAlignment="1">
      <alignment/>
    </xf>
    <xf numFmtId="1" applyNumberFormat="1" fontId="1" applyFont="1" fillId="2" applyFill="1" applyAlignment="1">
      <alignment/>
    </xf>
    <xf numFmtId="1" applyNumberFormat="1" fontId="3" applyFont="1" fillId="6" applyFill="1" borderId="6" applyBorder="1" applyAlignment="1">
      <alignment/>
    </xf>
    <xf numFmtId="2" applyNumberFormat="1" fontId="2" applyFont="1" fillId="5" applyFill="1" borderId="7" applyBorder="1" applyAlignment="1">
      <alignment vertical="center" horizontal="right"/>
    </xf>
    <xf numFmtId="1" applyNumberFormat="1" fontId="2" applyFont="1" fillId="7" applyFill="1" borderId="8" applyBorder="1" applyAlignment="1">
      <alignment vertical="center" horizontal="center"/>
    </xf>
    <xf numFmtId="1" applyNumberFormat="1" fontId="4" applyFont="1" borderId="3" applyBorder="1" applyAlignment="1">
      <alignment/>
    </xf>
    <xf numFmtId="2" applyNumberFormat="1" fontId="2" applyFont="1" fillId="5" applyFill="1" borderId="7" applyBorder="1" applyAlignment="1">
      <alignment horizontal="right"/>
    </xf>
    <xf numFmtId="1" applyNumberFormat="1" fontId="2" applyFont="1" borderId="7" applyBorder="1" applyAlignment="1">
      <alignment horizontal="right"/>
    </xf>
    <xf numFmtId="1" applyNumberFormat="1" fontId="1" applyFont="1" fillId="3" applyFill="1" borderId="6" applyBorder="1" applyAlignment="1">
      <alignment/>
    </xf>
    <xf numFmtId="2" applyNumberFormat="1" fontId="2" applyFont="1" fillId="8" applyFill="1" borderId="1" applyBorder="1" applyAlignment="1">
      <alignment horizontal="right"/>
    </xf>
    <xf numFmtId="1" applyNumberFormat="1" fontId="3" applyFont="1" fillId="4" applyFill="1" borderId="6" applyBorder="1" applyAlignment="1">
      <alignment/>
    </xf>
    <xf numFmtId="3" applyNumberFormat="1" fontId="2" applyFont="1" fillId="5" applyFill="1" borderId="1" applyBorder="1" applyAlignment="1">
      <alignment horizontal="right"/>
    </xf>
    <xf numFmtId="1" applyNumberFormat="1" fontId="2" applyFont="1" fillId="5" applyFill="1" borderId="7" applyBorder="1" applyAlignment="1">
      <alignment horizontal="right"/>
    </xf>
    <xf numFmtId="4" applyNumberFormat="1" fontId="2" applyFont="1" fillId="8" applyFill="1" applyAlignment="1">
      <alignment horizontal="right"/>
    </xf>
    <xf numFmtId="2" applyNumberFormat="1" fontId="2" applyFont="1" borderId="1" applyBorder="1" applyAlignment="1">
      <alignment horizontal="right"/>
    </xf>
    <xf numFmtId="4" applyNumberFormat="1" fontId="2" applyFont="1" fillId="5" applyFill="1" borderId="5" applyBorder="1" applyAlignment="1">
      <alignment horizontal="right"/>
    </xf>
    <xf numFmtId="1" applyNumberFormat="1" fontId="3" applyFont="1" fillId="9" applyFill="1" borderId="6" applyBorder="1" applyAlignment="1">
      <alignment/>
    </xf>
    <xf numFmtId="1" applyNumberFormat="1" fontId="2" applyFont="1" fillId="10" applyFill="1" borderId="9" applyBorder="1" applyAlignment="1">
      <alignment vertical="center" horizontal="center"/>
    </xf>
    <xf numFmtId="1" applyNumberFormat="1" fontId="2" applyFont="1" fillId="11" applyFill="1" borderId="9" applyBorder="1" applyAlignment="1">
      <alignment vertical="center" horizontal="center"/>
    </xf>
    <xf numFmtId="1" applyNumberFormat="1" fontId="3" applyFont="1" borderId="1" applyBorder="1" applyAlignment="1">
      <alignment horizontal="center"/>
    </xf>
    <xf numFmtId="1" applyNumberFormat="1" fontId="2" applyFont="1" fillId="11" applyFill="1" borderId="8" applyBorder="1" applyAlignment="1">
      <alignment vertical="center" horizontal="center"/>
    </xf>
    <xf numFmtId="2" applyNumberFormat="1" fontId="2" applyFont="1" fillId="8" applyFill="1" borderId="6" applyBorder="1" applyAlignment="1">
      <alignment horizontal="right"/>
    </xf>
    <xf numFmtId="4" applyNumberFormat="1" fontId="2" applyFont="1" fillId="5" applyFill="1" borderId="6" applyBorder="1" applyAlignment="1">
      <alignment horizontal="right"/>
    </xf>
    <xf numFmtId="5" applyNumberFormat="1" fontId="3" applyFont="1" borderId="1" applyBorder="1" applyAlignment="1">
      <alignment horizontal="center"/>
    </xf>
    <xf numFmtId="1" applyNumberFormat="1" fontId="2" applyFont="1" fillId="7" applyFill="1" borderId="9" applyBorder="1" applyAlignment="1">
      <alignment vertical="center" horizontal="center"/>
    </xf>
    <xf numFmtId="1" applyNumberFormat="1" fontId="3" applyFont="1" fillId="6" applyFill="1" borderId="2" applyBorder="1" applyAlignment="1">
      <alignment/>
    </xf>
    <xf numFmtId="4" applyNumberFormat="1" fontId="2" applyFont="1" fillId="5" applyFill="1" borderId="4" applyBorder="1" applyAlignment="1">
      <alignment horizontal="right"/>
    </xf>
    <xf numFmtId="1" applyNumberFormat="1" fontId="4" applyFont="1" fillId="12" applyFill="1" borderId="10" applyBorder="1" applyAlignment="1">
      <alignment vertical="center" horizontal="center"/>
    </xf>
    <xf numFmtId="1" applyNumberFormat="1" fontId="4" applyFont="1" fillId="13" applyFill="1" borderId="10" applyBorder="1" applyAlignment="1">
      <alignment vertical="center" horizontal="center"/>
    </xf>
    <xf numFmtId="1" applyNumberFormat="1" fontId="1" applyFont="1" borderId="1" applyBorder="1" applyAlignment="1">
      <alignment/>
    </xf>
    <xf numFmtId="2" applyNumberFormat="1" fontId="2" applyFont="1" fillId="5" applyFill="1" borderId="11" applyBorder="1" applyAlignment="1">
      <alignment horizontal="right"/>
    </xf>
    <xf numFmtId="2" applyNumberFormat="1" fontId="2" applyFont="1" fillId="5" applyFill="1" borderId="12" applyBorder="1" applyAlignment="1">
      <alignment horizontal="right"/>
    </xf>
    <xf numFmtId="6" applyNumberFormat="1" fontId="3" applyFont="1" applyAlignment="1">
      <alignment/>
    </xf>
    <xf numFmtId="7" applyNumberFormat="1" fontId="3" applyFont="1" applyAlignment="1">
      <alignment/>
    </xf>
    <xf numFmtId="3" applyNumberFormat="1" fontId="2" applyFont="1" borderId="1" applyBorder="1" applyAlignment="1">
      <alignment horizontal="right"/>
    </xf>
    <xf numFmtId="2" applyNumberFormat="1" fontId="3" applyFont="1" borderId="1" applyBorder="1" applyAlignment="1">
      <alignment horizontal="center"/>
    </xf>
    <xf numFmtId="2" applyNumberFormat="1" fontId="2" applyFont="1" fillId="5" applyFill="1" borderId="6" applyBorder="1" applyAlignment="1">
      <alignment horizontal="right"/>
    </xf>
    <xf numFmtId="1" applyNumberFormat="1" fontId="2" applyFont="1" fillId="5" applyFill="1" borderId="1" applyBorder="1" applyAlignment="1">
      <alignment horizontal="right"/>
    </xf>
    <xf numFmtId="3" applyNumberFormat="1" fontId="2" applyFont="1" fillId="5" applyFill="1" borderId="7" applyBorder="1" applyAlignment="1">
      <alignment horizontal="right"/>
    </xf>
    <xf numFmtId="2" applyNumberFormat="1" fontId="2" applyFont="1" fillId="8" applyFill="1" applyAlignment="1">
      <alignment horizontal="right"/>
    </xf>
    <xf numFmtId="1" applyNumberFormat="1" fontId="5" applyFont="1" fillId="14" applyFill="1" borderId="13" applyBorder="1" applyAlignment="1">
      <alignment vertical="center" horizontal="center"/>
    </xf>
    <xf numFmtId="1" applyNumberFormat="1" fontId="3" applyFont="1" fillId="9" applyFill="1" borderId="2" applyBorder="1" applyAlignment="1">
      <alignment/>
    </xf>
    <xf numFmtId="4" applyNumberFormat="1" fontId="2" applyFont="1" fillId="8" applyFill="1" borderId="6" applyBorder="1" applyAlignment="1">
      <alignment horizontal="right"/>
    </xf>
    <xf numFmtId="8" applyNumberFormat="1" fontId="3" applyFont="1" applyAlignment="1">
      <alignment/>
    </xf>
    <xf numFmtId="1" applyNumberFormat="1" fontId="2" applyFont="1" fillId="15" applyFill="1" borderId="9" applyBorder="1" applyAlignment="1">
      <alignment vertical="center" horizontal="center"/>
    </xf>
    <xf numFmtId="1" applyNumberFormat="1" fontId="2" applyFont="1" fillId="11" applyFill="1" borderId="10" applyBorder="1" applyAlignment="1">
      <alignment vertical="center" horizontal="center"/>
    </xf>
    <xf numFmtId="1" applyNumberFormat="1" fontId="4" applyFont="1" fillId="12" applyFill="1" borderId="8" applyBorder="1" applyAlignment="1">
      <alignment vertical="center" horizontal="center"/>
    </xf>
    <xf numFmtId="1" applyNumberFormat="1" fontId="4" applyFont="1" fillId="12" applyFill="1" borderId="9" applyBorder="1" applyAlignment="1">
      <alignment vertical="center" horizontal="center"/>
    </xf>
    <xf numFmtId="1" applyNumberFormat="1" fontId="1" applyFont="1" fillId="16" applyFill="1" borderId="6" applyBorder="1" applyAlignment="1">
      <alignment/>
    </xf>
    <xf numFmtId="1" applyNumberFormat="1" fontId="1" applyFont="1" fillId="16" applyFill="1" borderId="2" applyBorder="1" applyAlignment="1">
      <alignment/>
    </xf>
    <xf numFmtId="4" applyNumberFormat="1" fontId="2" applyFont="1" fillId="8" applyFill="1" borderId="1" applyBorder="1" applyAlignment="1">
      <alignment horizontal="right"/>
    </xf>
    <xf numFmtId="1" applyNumberFormat="1" fontId="2" applyFont="1" fillId="7" applyFill="1" borderId="10" applyBorder="1" applyAlignment="1">
      <alignment vertical="center" horizontal="center"/>
    </xf>
    <xf numFmtId="1" applyNumberFormat="1" fontId="3" applyFont="1" fillId="4" applyFill="1" borderId="1" applyBorder="1" applyAlignment="1">
      <alignment/>
    </xf>
    <xf numFmtId="2" applyNumberFormat="1" fontId="2" applyFont="1" fillId="5" applyFill="1" borderId="5" applyBorder="1" applyAlignment="1">
      <alignment horizontal="right"/>
    </xf>
    <xf numFmtId="1" applyNumberFormat="1" fontId="4" applyFont="1" fillId="13" applyFill="1" borderId="8" applyBorder="1" applyAlignment="1">
      <alignment vertical="center" horizontal="center"/>
    </xf>
    <xf numFmtId="2" applyNumberFormat="1" fontId="2" applyFont="1" fillId="5" applyFill="1" borderId="1" applyBorder="1" applyAlignment="1">
      <alignment horizontal="right"/>
    </xf>
    <xf numFmtId="4" applyNumberFormat="1" fontId="2" applyFont="1" fillId="5" applyFill="1" borderId="1" applyBorder="1" applyAlignment="1">
      <alignment horizontal="right"/>
    </xf>
    <xf numFmtId="1" applyNumberFormat="1" fontId="3" applyFont="1" borderId="1" applyBorder="1" applyAlignment="1">
      <alignment vertical="center" horizontal="center" wrapText="1"/>
    </xf>
    <xf numFmtId="1" applyNumberFormat="1" fontId="2" applyFont="1" fillId="10" applyFill="1" borderId="10" applyBorder="1" applyAlignment="1">
      <alignment vertical="center" horizontal="center"/>
    </xf>
    <xf numFmtId="1" applyNumberFormat="1" fontId="5" applyFont="1" fillId="14" applyFill="1" borderId="14" applyBorder="1" applyAlignment="1">
      <alignment vertical="center" horizontal="center"/>
    </xf>
    <xf numFmtId="1" applyNumberFormat="1" fontId="3" applyFont="1" fillId="17" applyFill="1" borderId="1" applyBorder="1" applyAlignment="1">
      <alignment/>
    </xf>
    <xf numFmtId="1" applyNumberFormat="1" fontId="3" applyFont="1" fillId="6" applyFill="1" borderId="1" applyBorder="1" applyAlignment="1">
      <alignment/>
    </xf>
    <xf numFmtId="1" applyNumberFormat="1" fontId="1" applyFont="1" fillId="16" applyFill="1" borderId="1" applyBorder="1" applyAlignment="1">
      <alignment/>
    </xf>
    <xf numFmtId="1" applyNumberFormat="1" fontId="2" applyFont="1" fillId="10" applyFill="1" borderId="15" applyBorder="1" applyAlignment="1">
      <alignment vertical="center" horizontal="center"/>
    </xf>
    <xf numFmtId="1" applyNumberFormat="1" fontId="2" applyFont="1" borderId="1" applyBorder="1" applyAlignment="1">
      <alignment horizontal="right"/>
    </xf>
    <xf numFmtId="1" applyNumberFormat="1" fontId="4" applyFont="1" fillId="13" applyFill="1" borderId="9" applyBorder="1" applyAlignment="1">
      <alignment vertical="center" horizontal="center"/>
    </xf>
    <xf numFmtId="1" applyNumberFormat="1" fontId="3" applyFont="1" fillId="9" applyFill="1" borderId="1" applyBorder="1" applyAlignment="1">
      <alignment/>
    </xf>
    <xf numFmtId="1" applyNumberFormat="1" fontId="1" applyFont="1" fillId="2" applyFill="1" borderId="16" applyBorder="1" applyAlignment="1">
      <alignment/>
    </xf>
    <xf numFmtId="1" applyNumberFormat="1" fontId="1" applyFont="1" fillId="3" applyFill="1" borderId="1" applyBorder="1" applyAlignment="1">
      <alignment/>
    </xf>
    <xf numFmtId="1" applyNumberFormat="1" fontId="5" applyFont="1" fillId="14" applyFill="1" borderId="17" applyBorder="1" applyAlignment="1">
      <alignment vertical="center" horizontal="center"/>
    </xf>
    <xf numFmtId="1" applyNumberFormat="1" fontId="2" applyFont="1" fillId="15" applyFill="1" borderId="8" applyBorder="1" applyAlignment="1">
      <alignment vertical="center" horizontal="center"/>
    </xf>
    <xf numFmtId="1" applyNumberFormat="1" fontId="2" applyFont="1" fillId="15" applyFill="1" borderId="10" applyBorder="1" applyAlignment="1">
      <alignment vertical="center" horizontal="center"/>
    </xf>
    <xf numFmtId="1" applyNumberFormat="1" fontId="4" applyFont="1" fillId="2" applyFill="1" borderId="18" applyBorder="1" applyAlignment="1">
      <alignment vertical="center" horizontal="center"/>
    </xf>
    <xf numFmtId="1" applyNumberFormat="1" fontId="4" applyFont="1" fillId="2" applyFill="1" applyAlignment="1">
      <alignment vertical="center" horizontal="center"/>
    </xf>
    <xf numFmtId="1" applyNumberFormat="1" fontId="3" applyFont="1" fillId="17" applyFill="1" borderId="6" applyBorder="1" applyAlignment="1">
      <alignment/>
    </xf>
    <xf numFmtId="3" applyNumberFormat="1" fontId="2" applyFont="1" fillId="8" applyFill="1" borderId="1" applyBorder="1" applyAlignment="1">
      <alignment horizontal="right"/>
    </xf>
  </cellStyleXfs>
  <cellXfs count="84">
    <xf numFmtId="0" fontId="0" fillId="0" borderId="0" xfId="0"/>
    <xf xfId="48" quotePrefix="0" pivotButton="0" numFmtId="1" applyNumberFormat="1" fontId="5" applyFont="1" fillId="14" applyFill="1" borderId="13" applyBorder="1" applyAlignment="1">
      <alignment vertical="center" horizontal="center"/>
    </xf>
    <xf xfId="67" quotePrefix="0" pivotButton="0" numFmtId="1" applyNumberFormat="1" fontId="5" applyFont="1" fillId="14" applyFill="1" borderId="14" applyBorder="1" applyAlignment="1">
      <alignment vertical="center" horizontal="center"/>
    </xf>
    <xf xfId="77" quotePrefix="0" pivotButton="0" numFmtId="1" applyNumberFormat="1" fontId="5" applyFont="1" fillId="14" applyFill="1" borderId="17" applyBorder="1" applyAlignment="1">
      <alignment vertical="center" horizontal="center"/>
    </xf>
    <xf xfId="65" quotePrefix="0" pivotButton="0" numFmtId="1" applyNumberFormat="1" fontId="3" applyFont="1" borderId="1" applyBorder="1" applyAlignment="1">
      <alignment vertical="center" horizontal="center" wrapText="1"/>
    </xf>
    <xf xfId="71" quotePrefix="0" pivotButton="0" numFmtId="1" applyNumberFormat="1" fontId="2" applyFont="1" fillId="10" applyFill="1" borderId="15" applyBorder="1" applyAlignment="1">
      <alignment vertical="center" horizontal="center"/>
    </xf>
    <xf xfId="8" quotePrefix="0" pivotButton="0" numFmtId="1" applyNumberFormat="1" fontId="3" applyFont="1" fillId="4" applyFill="1" borderId="5" applyBorder="1" applyAlignment="1">
      <alignment/>
    </xf>
    <xf xfId="23" quotePrefix="0" pivotButton="0" numFmtId="4" applyNumberFormat="1" fontId="2" applyFont="1" fillId="5" applyFill="1" borderId="5" applyBorder="1" applyAlignment="1">
      <alignment horizontal="right"/>
    </xf>
    <xf xfId="61" quotePrefix="0" pivotButton="0" numFmtId="2" applyNumberFormat="1" fontId="2" applyFont="1" fillId="5" applyFill="1" borderId="5" applyBorder="1" applyAlignment="1">
      <alignment horizontal="right"/>
    </xf>
    <xf xfId="4" quotePrefix="0" pivotButton="0" numFmtId="1" applyNumberFormat="1" fontId="3" applyFont="1" fillId="4" applyFill="1" borderId="1" applyBorder="1" applyAlignment="1">
      <alignment horizontal="center"/>
    </xf>
    <xf xfId="31" quotePrefix="0" pivotButton="0" numFmtId="5" applyNumberFormat="1" fontId="3" applyFont="1" borderId="1" applyBorder="1" applyAlignment="1">
      <alignment horizontal="center"/>
    </xf>
    <xf xfId="43" quotePrefix="0" pivotButton="0" numFmtId="2" applyNumberFormat="1" fontId="3" applyFont="1" borderId="1" applyBorder="1" applyAlignment="1">
      <alignment horizontal="center"/>
    </xf>
    <xf xfId="25" quotePrefix="0" pivotButton="0" numFmtId="1" applyNumberFormat="1" fontId="2" applyFont="1" fillId="10" applyFill="1" borderId="9" applyBorder="1" applyAlignment="1">
      <alignment vertical="center" horizontal="center"/>
    </xf>
    <xf xfId="60" quotePrefix="0" pivotButton="0" numFmtId="1" applyNumberFormat="1" fontId="3" applyFont="1" fillId="4" applyFill="1" borderId="1" applyBorder="1" applyAlignment="1">
      <alignment/>
    </xf>
    <xf xfId="64" quotePrefix="0" pivotButton="0" numFmtId="4" applyNumberFormat="1" fontId="2" applyFont="1" fillId="5" applyFill="1" borderId="1" applyBorder="1" applyAlignment="1">
      <alignment horizontal="right"/>
    </xf>
    <xf xfId="63" quotePrefix="0" pivotButton="0" numFmtId="2" applyNumberFormat="1" fontId="2" applyFont="1" fillId="5" applyFill="1" borderId="1" applyBorder="1" applyAlignment="1">
      <alignment horizontal="right"/>
    </xf>
    <xf xfId="14" quotePrefix="0" pivotButton="0" numFmtId="2" applyNumberFormat="1" fontId="2" applyFont="1" fillId="5" applyFill="1" borderId="7" applyBorder="1" applyAlignment="1">
      <alignment horizontal="right"/>
    </xf>
    <xf xfId="18" quotePrefix="0" pivotButton="0" numFmtId="1" applyNumberFormat="1" fontId="3" applyFont="1" fillId="4" applyFill="1" borderId="6" applyBorder="1" applyAlignment="1">
      <alignment/>
    </xf>
    <xf xfId="30" quotePrefix="0" pivotButton="0" numFmtId="4" applyNumberFormat="1" fontId="2" applyFont="1" fillId="5" applyFill="1" borderId="6" applyBorder="1" applyAlignment="1">
      <alignment horizontal="right"/>
    </xf>
    <xf xfId="44" quotePrefix="0" pivotButton="0" numFmtId="2" applyNumberFormat="1" fontId="2" applyFont="1" fillId="5" applyFill="1" borderId="6" applyBorder="1" applyAlignment="1">
      <alignment horizontal="right"/>
    </xf>
    <xf xfId="38" quotePrefix="0" pivotButton="0" numFmtId="2" applyNumberFormat="1" fontId="2" applyFont="1" fillId="5" applyFill="1" borderId="11" applyBorder="1" applyAlignment="1">
      <alignment horizontal="right"/>
    </xf>
    <xf xfId="66" quotePrefix="0" pivotButton="0" numFmtId="1" applyNumberFormat="1" fontId="2" applyFont="1" fillId="10" applyFill="1" borderId="10" applyBorder="1" applyAlignment="1">
      <alignment vertical="center" horizontal="center"/>
    </xf>
    <xf xfId="50" quotePrefix="0" pivotButton="0" numFmtId="4" applyNumberFormat="1" fontId="2" applyFont="1" fillId="8" applyFill="1" borderId="6" applyBorder="1" applyAlignment="1">
      <alignment horizontal="right"/>
    </xf>
    <xf xfId="29" quotePrefix="0" pivotButton="0" numFmtId="2" applyNumberFormat="1" fontId="2" applyFont="1" fillId="8" applyFill="1" borderId="6" applyBorder="1" applyAlignment="1">
      <alignment horizontal="right"/>
    </xf>
    <xf xfId="27" quotePrefix="0" pivotButton="0" numFmtId="1" applyNumberFormat="1" fontId="3" applyFont="1" borderId="1" applyBorder="1" applyAlignment="1">
      <alignment horizontal="center"/>
    </xf>
    <xf xfId="3" quotePrefix="0" pivotButton="0" numFmtId="1" applyNumberFormat="1" fontId="2" applyFont="1" borderId="3" applyBorder="1" applyAlignment="1">
      <alignment/>
    </xf>
    <xf xfId="5" quotePrefix="0" pivotButton="0" numFmtId="1" applyNumberFormat="1" fontId="3" applyFont="1" borderId="1" applyBorder="1" applyAlignment="1">
      <alignment/>
    </xf>
    <xf xfId="72" quotePrefix="0" pivotButton="0" numFmtId="1" applyNumberFormat="1" fontId="2" applyFont="1" borderId="1" applyBorder="1" applyAlignment="1">
      <alignment horizontal="right"/>
    </xf>
    <xf xfId="15" quotePrefix="0" pivotButton="0" numFmtId="1" applyNumberFormat="1" fontId="2" applyFont="1" borderId="7" applyBorder="1" applyAlignment="1">
      <alignment horizontal="right"/>
    </xf>
    <xf xfId="78" quotePrefix="0" pivotButton="0" numFmtId="1" applyNumberFormat="1" fontId="2" applyFont="1" fillId="15" applyFill="1" borderId="8" applyBorder="1" applyAlignment="1">
      <alignment vertical="center" horizontal="center"/>
    </xf>
    <xf xfId="49" quotePrefix="0" pivotButton="0" numFmtId="1" applyNumberFormat="1" fontId="3" applyFont="1" fillId="9" applyFill="1" borderId="2" applyBorder="1" applyAlignment="1">
      <alignment/>
    </xf>
    <xf xfId="52" quotePrefix="0" pivotButton="0" numFmtId="1" applyNumberFormat="1" fontId="2" applyFont="1" fillId="15" applyFill="1" borderId="9" applyBorder="1" applyAlignment="1">
      <alignment vertical="center" horizontal="center"/>
    </xf>
    <xf xfId="74" quotePrefix="0" pivotButton="0" numFmtId="1" applyNumberFormat="1" fontId="3" applyFont="1" fillId="9" applyFill="1" borderId="1" applyBorder="1" applyAlignment="1">
      <alignment/>
    </xf>
    <xf xfId="45" quotePrefix="0" pivotButton="0" numFmtId="1" applyNumberFormat="1" fontId="2" applyFont="1" fillId="5" applyFill="1" borderId="1" applyBorder="1" applyAlignment="1">
      <alignment horizontal="right"/>
    </xf>
    <xf xfId="24" quotePrefix="0" pivotButton="0" numFmtId="1" applyNumberFormat="1" fontId="3" applyFont="1" fillId="9" applyFill="1" borderId="6" applyBorder="1" applyAlignment="1">
      <alignment/>
    </xf>
    <xf xfId="79" quotePrefix="0" pivotButton="0" numFmtId="1" applyNumberFormat="1" fontId="2" applyFont="1" fillId="15" applyFill="1" borderId="10" applyBorder="1" applyAlignment="1">
      <alignment vertical="center" horizontal="center"/>
    </xf>
    <xf xfId="58" quotePrefix="0" pivotButton="0" numFmtId="4" applyNumberFormat="1" fontId="2" applyFont="1" fillId="8" applyFill="1" borderId="1" applyBorder="1" applyAlignment="1">
      <alignment horizontal="right"/>
    </xf>
    <xf xfId="17" quotePrefix="0" pivotButton="0" numFmtId="2" applyNumberFormat="1" fontId="2" applyFont="1" fillId="8" applyFill="1" borderId="1" applyBorder="1" applyAlignment="1">
      <alignment horizontal="right"/>
    </xf>
    <xf xfId="12" quotePrefix="0" pivotButton="0" numFmtId="1" applyNumberFormat="1" fontId="2" applyFont="1" fillId="7" applyFill="1" borderId="8" applyBorder="1" applyAlignment="1">
      <alignment vertical="center" horizontal="center"/>
    </xf>
    <xf xfId="42" quotePrefix="0" pivotButton="0" numFmtId="3" applyNumberFormat="1" fontId="2" applyFont="1" borderId="1" applyBorder="1" applyAlignment="1">
      <alignment horizontal="right"/>
    </xf>
    <xf xfId="19" quotePrefix="0" pivotButton="0" numFmtId="3" applyNumberFormat="1" fontId="2" applyFont="1" fillId="5" applyFill="1" borderId="1" applyBorder="1" applyAlignment="1">
      <alignment horizontal="right"/>
    </xf>
    <xf xfId="46" quotePrefix="0" pivotButton="0" numFmtId="3" applyNumberFormat="1" fontId="2" applyFont="1" fillId="5" applyFill="1" borderId="7" applyBorder="1" applyAlignment="1">
      <alignment horizontal="right"/>
    </xf>
    <xf xfId="32" quotePrefix="0" pivotButton="0" numFmtId="1" applyNumberFormat="1" fontId="2" applyFont="1" fillId="7" applyFill="1" borderId="9" applyBorder="1" applyAlignment="1">
      <alignment vertical="center" horizontal="center"/>
    </xf>
    <xf xfId="68" quotePrefix="0" pivotButton="0" numFmtId="1" applyNumberFormat="1" fontId="3" applyFont="1" fillId="17" applyFill="1" borderId="1" applyBorder="1" applyAlignment="1">
      <alignment/>
    </xf>
    <xf xfId="82" quotePrefix="0" pivotButton="0" numFmtId="1" applyNumberFormat="1" fontId="3" applyFont="1" fillId="17" applyFill="1" borderId="6" applyBorder="1" applyAlignment="1">
      <alignment/>
    </xf>
    <xf xfId="59" quotePrefix="0" pivotButton="0" numFmtId="1" applyNumberFormat="1" fontId="2" applyFont="1" fillId="7" applyFill="1" borderId="10" applyBorder="1" applyAlignment="1">
      <alignment vertical="center" horizontal="center"/>
    </xf>
    <xf xfId="83" quotePrefix="0" pivotButton="0" numFmtId="3" applyNumberFormat="1" fontId="2" applyFont="1" fillId="8" applyFill="1" borderId="1" applyBorder="1" applyAlignment="1">
      <alignment horizontal="right"/>
    </xf>
    <xf xfId="28" quotePrefix="0" pivotButton="0" numFmtId="1" applyNumberFormat="1" fontId="2" applyFont="1" fillId="11" applyFill="1" borderId="8" applyBorder="1" applyAlignment="1">
      <alignment vertical="center" horizontal="center"/>
    </xf>
    <xf xfId="33" quotePrefix="0" pivotButton="0" numFmtId="1" applyNumberFormat="1" fontId="3" applyFont="1" fillId="6" applyFill="1" borderId="2" applyBorder="1" applyAlignment="1">
      <alignment/>
    </xf>
    <xf xfId="22" quotePrefix="0" pivotButton="0" numFmtId="2" applyNumberFormat="1" fontId="2" applyFont="1" borderId="1" applyBorder="1" applyAlignment="1">
      <alignment horizontal="right"/>
    </xf>
    <xf xfId="26" quotePrefix="0" pivotButton="0" numFmtId="1" applyNumberFormat="1" fontId="2" applyFont="1" fillId="11" applyFill="1" borderId="9" applyBorder="1" applyAlignment="1">
      <alignment vertical="center" horizontal="center"/>
    </xf>
    <xf xfId="69" quotePrefix="0" pivotButton="0" numFmtId="1" applyNumberFormat="1" fontId="3" applyFont="1" fillId="6" applyFill="1" borderId="1" applyBorder="1" applyAlignment="1">
      <alignment/>
    </xf>
    <xf xfId="11" quotePrefix="0" pivotButton="0" numFmtId="2" applyNumberFormat="1" fontId="2" applyFont="1" fillId="5" applyFill="1" borderId="7" applyBorder="1" applyAlignment="1">
      <alignment vertical="center" horizontal="right"/>
    </xf>
    <xf xfId="10" quotePrefix="0" pivotButton="0" numFmtId="1" applyNumberFormat="1" fontId="3" applyFont="1" fillId="6" applyFill="1" borderId="6" applyBorder="1" applyAlignment="1">
      <alignment/>
    </xf>
    <xf xfId="40" quotePrefix="0" pivotButton="0" numFmtId="6" applyNumberFormat="1" fontId="3" applyFont="1" applyAlignment="1">
      <alignment/>
    </xf>
    <xf xfId="41" quotePrefix="0" pivotButton="0" numFmtId="7" applyNumberFormat="1" fontId="3" applyFont="1" applyAlignment="1">
      <alignment/>
    </xf>
    <xf xfId="53" quotePrefix="0" pivotButton="0" numFmtId="1" applyNumberFormat="1" fontId="2" applyFont="1" fillId="11" applyFill="1" borderId="10" applyBorder="1" applyAlignment="1">
      <alignment vertical="center" horizontal="center"/>
    </xf>
    <xf xfId="54" quotePrefix="0" pivotButton="0" numFmtId="1" applyNumberFormat="1" fontId="4" applyFont="1" fillId="12" applyFill="1" borderId="8" applyBorder="1" applyAlignment="1">
      <alignment vertical="center" horizontal="center"/>
    </xf>
    <xf xfId="57" quotePrefix="0" pivotButton="0" numFmtId="1" applyNumberFormat="1" fontId="1" applyFont="1" fillId="16" applyFill="1" borderId="2" applyBorder="1" applyAlignment="1">
      <alignment/>
    </xf>
    <xf xfId="20" quotePrefix="0" pivotButton="0" numFmtId="1" applyNumberFormat="1" fontId="2" applyFont="1" fillId="5" applyFill="1" borderId="7" applyBorder="1" applyAlignment="1">
      <alignment horizontal="right"/>
    </xf>
    <xf xfId="55" quotePrefix="0" pivotButton="0" numFmtId="1" applyNumberFormat="1" fontId="4" applyFont="1" fillId="12" applyFill="1" borderId="9" applyBorder="1" applyAlignment="1">
      <alignment vertical="center" horizontal="center"/>
    </xf>
    <xf xfId="70" quotePrefix="0" pivotButton="0" numFmtId="1" applyNumberFormat="1" fontId="1" applyFont="1" fillId="16" applyFill="1" borderId="1" applyBorder="1" applyAlignment="1">
      <alignment/>
    </xf>
    <xf xfId="56" quotePrefix="0" pivotButton="0" numFmtId="1" applyNumberFormat="1" fontId="1" applyFont="1" fillId="16" applyFill="1" borderId="6" applyBorder="1" applyAlignment="1">
      <alignment/>
    </xf>
    <xf xfId="35" quotePrefix="0" pivotButton="0" numFmtId="1" applyNumberFormat="1" fontId="4" applyFont="1" fillId="12" applyFill="1" borderId="10" applyBorder="1" applyAlignment="1">
      <alignment vertical="center" horizontal="center"/>
    </xf>
    <xf xfId="51" quotePrefix="0" pivotButton="0" numFmtId="8" applyNumberFormat="1" fontId="3" applyFont="1" applyAlignment="1">
      <alignment/>
    </xf>
    <xf xfId="13" quotePrefix="0" pivotButton="0" numFmtId="1" applyNumberFormat="1" fontId="4" applyFont="1" borderId="3" applyBorder="1" applyAlignment="1">
      <alignment/>
    </xf>
    <xf xfId="37" quotePrefix="0" pivotButton="0" numFmtId="1" applyNumberFormat="1" fontId="1" applyFont="1" borderId="1" applyBorder="1" applyAlignment="1">
      <alignment/>
    </xf>
    <xf xfId="62" quotePrefix="0" pivotButton="0" numFmtId="1" applyNumberFormat="1" fontId="4" applyFont="1" fillId="13" applyFill="1" borderId="8" applyBorder="1" applyAlignment="1">
      <alignment vertical="center" horizontal="center"/>
    </xf>
    <xf xfId="2" quotePrefix="0" pivotButton="0" numFmtId="1" applyNumberFormat="1" fontId="1" applyFont="1" fillId="3" applyFill="1" borderId="2" applyBorder="1" applyAlignment="1">
      <alignment/>
    </xf>
    <xf xfId="73" quotePrefix="0" pivotButton="0" numFmtId="1" applyNumberFormat="1" fontId="4" applyFont="1" fillId="13" applyFill="1" borderId="9" applyBorder="1" applyAlignment="1">
      <alignment vertical="center" horizontal="center"/>
    </xf>
    <xf xfId="76" quotePrefix="0" pivotButton="0" numFmtId="1" applyNumberFormat="1" fontId="1" applyFont="1" fillId="3" applyFill="1" borderId="1" applyBorder="1" applyAlignment="1">
      <alignment/>
    </xf>
    <xf xfId="16" quotePrefix="0" pivotButton="0" numFmtId="1" applyNumberFormat="1" fontId="1" applyFont="1" fillId="3" applyFill="1" borderId="6" applyBorder="1" applyAlignment="1">
      <alignment/>
    </xf>
    <xf xfId="36" quotePrefix="0" pivotButton="0" numFmtId="1" applyNumberFormat="1" fontId="4" applyFont="1" fillId="13" applyFill="1" borderId="10" applyBorder="1" applyAlignment="1">
      <alignment vertical="center" horizontal="center"/>
    </xf>
    <xf xfId="80" quotePrefix="0" pivotButton="0" numFmtId="1" applyNumberFormat="1" fontId="4" applyFont="1" fillId="2" applyFill="1" borderId="18" applyBorder="1" applyAlignment="1">
      <alignment vertical="center" horizontal="center"/>
    </xf>
    <xf xfId="6" quotePrefix="0" pivotButton="0" numFmtId="1" applyNumberFormat="1" fontId="1" applyFont="1" fillId="2" applyFill="1" borderId="2" applyBorder="1" applyAlignment="1">
      <alignment/>
    </xf>
    <xf xfId="81" quotePrefix="0" pivotButton="0" numFmtId="1" applyNumberFormat="1" fontId="4" applyFont="1" fillId="2" applyFill="1" applyAlignment="1">
      <alignment vertical="center" horizontal="center"/>
    </xf>
    <xf xfId="1" quotePrefix="0" pivotButton="0" numFmtId="1" applyNumberFormat="1" fontId="1" applyFont="1" fillId="2" applyFill="1" borderId="1" applyBorder="1" applyAlignment="1">
      <alignment/>
    </xf>
    <xf xfId="75" quotePrefix="0" pivotButton="0" numFmtId="1" applyNumberFormat="1" fontId="1" applyFont="1" fillId="2" applyFill="1" borderId="16" applyBorder="1" applyAlignment="1">
      <alignment/>
    </xf>
    <xf xfId="34" quotePrefix="0" pivotButton="0" numFmtId="4" applyNumberFormat="1" fontId="2" applyFont="1" fillId="5" applyFill="1" borderId="4" applyBorder="1" applyAlignment="1">
      <alignment horizontal="right"/>
    </xf>
    <xf xfId="7" quotePrefix="0" pivotButton="0" numFmtId="2" applyNumberFormat="1" fontId="2" applyFont="1" fillId="5" applyFill="1" borderId="4" applyBorder="1" applyAlignment="1">
      <alignment horizontal="right"/>
    </xf>
    <xf xfId="39" quotePrefix="0" pivotButton="0" numFmtId="2" applyNumberFormat="1" fontId="2" applyFont="1" fillId="5" applyFill="1" borderId="12" applyBorder="1" applyAlignment="1">
      <alignment horizontal="right"/>
    </xf>
    <xf xfId="9" quotePrefix="0" pivotButton="0" numFmtId="1" applyNumberFormat="1" fontId="1" applyFont="1" fillId="2" applyFill="1" applyAlignment="1">
      <alignment/>
    </xf>
    <xf xfId="21" quotePrefix="0" pivotButton="0" numFmtId="4" applyNumberFormat="1" fontId="2" applyFont="1" fillId="8" applyFill="1" applyAlignment="1">
      <alignment horizontal="right"/>
    </xf>
    <xf xfId="47" quotePrefix="0" pivotButton="0" numFmtId="2" applyNumberFormat="1" fontId="2" applyFont="1" fillId="8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9.89" customWidth="1" hidden="0"/>
    <col min="2" max="2" width="9.38" customWidth="1" hidden="0"/>
    <col min="3" max="3" width="19.53" customWidth="1" hidden="0"/>
    <col min="4" max="4" width="18.50" customWidth="1" hidden="0"/>
    <col min="5" max="5" width="19.40" customWidth="1" hidden="0"/>
    <col min="6" max="6" width="19.79" customWidth="1" hidden="0"/>
    <col min="8" max="8" width="9.51" customWidth="1" hidden="0"/>
    <col min="9" max="9" width="15.80" customWidth="1" hidden="0"/>
    <col min="10" max="10" width="15.55" customWidth="1" hidden="0"/>
    <col min="11" max="11" width="14.26" customWidth="1" hidden="0"/>
    <col min="12" max="12" width="15.55" customWidth="1" hidden="0"/>
    <col min="13" max="13" width="9.25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30.75" customHeight="true">
      <c r="A2" s="2"/>
      <c r="B2" s="3"/>
      <c r="C2" s="3"/>
      <c r="D2" s="3"/>
      <c r="E2" s="3"/>
      <c r="F2" s="3"/>
      <c r="H2" s="4"/>
      <c r="I2" t="s" s="4">
        <v>2</v>
      </c>
      <c r="J2" t="s" s="4">
        <v>6</v>
      </c>
      <c r="K2" t="s" s="4">
        <v>4</v>
      </c>
      <c r="L2" t="s" s="4">
        <v>5</v>
      </c>
    </row>
    <row r="3" ht="15.00" customHeight="true">
      <c r="A3" t="s" s="5">
        <v>7</v>
      </c>
      <c r="B3" t="s" s="6">
        <v>8</v>
      </c>
      <c r="C3" s="7">
        <v>271486433</v>
      </c>
      <c r="D3" s="8">
        <v>18.420000000000002</v>
      </c>
      <c r="E3" s="8">
        <v>96</v>
      </c>
      <c r="F3" s="8">
        <v>97.72</v>
      </c>
      <c r="H3" t="s" s="9">
        <v>8</v>
      </c>
      <c r="I3" s="10">
        <f>+SUMIFS($C$1:$C$43,$B$1:$B$43,$H3)</f>
        <v>788949644</v>
      </c>
      <c r="J3" s="11">
        <v>18.638341933139</v>
      </c>
      <c r="K3" s="11">
        <v>95.052590321848</v>
      </c>
      <c r="L3" s="11">
        <v>98.723048814114</v>
      </c>
    </row>
    <row r="4" ht="15.00" customHeight="true">
      <c r="A4" s="12"/>
      <c r="B4" t="s" s="13">
        <v>9</v>
      </c>
      <c r="C4" s="14">
        <v>263336524</v>
      </c>
      <c r="D4" s="15">
        <v>17.37</v>
      </c>
      <c r="E4" s="15">
        <v>96.98</v>
      </c>
      <c r="F4" s="15">
        <v>98.46</v>
      </c>
      <c r="H4" t="s" s="9">
        <v>9</v>
      </c>
      <c r="I4" s="10">
        <f>+SUMIFS($C$1:$C$43,$B$1:$B$43,$H4)</f>
        <v>737002928</v>
      </c>
      <c r="J4" s="11">
        <v>17.424006924407</v>
      </c>
      <c r="K4" s="11">
        <v>94.175689155932</v>
      </c>
      <c r="L4" s="11">
        <v>98.859342175463</v>
      </c>
    </row>
    <row r="5" ht="15.00" customHeight="true">
      <c r="A5" s="12"/>
      <c r="B5" t="s" s="13">
        <v>10</v>
      </c>
      <c r="C5" s="14">
        <v>310016060</v>
      </c>
      <c r="D5" s="15">
        <v>20.32</v>
      </c>
      <c r="E5" s="15">
        <v>97.16</v>
      </c>
      <c r="F5" s="16">
        <v>98.56</v>
      </c>
      <c r="H5" t="s" s="9">
        <v>10</v>
      </c>
      <c r="I5" s="10">
        <f>+SUMIFS($C$1:$C$43,$B$1:$B$43,$H5)</f>
        <v>897813038</v>
      </c>
      <c r="J5" s="11">
        <v>23.149318139374</v>
      </c>
      <c r="K5" s="11">
        <v>92.466984514475</v>
      </c>
      <c r="L5" s="11">
        <v>98.536505409782</v>
      </c>
    </row>
    <row r="6" ht="15.00" customHeight="true">
      <c r="A6" s="12"/>
      <c r="B6" t="s" s="17">
        <v>11</v>
      </c>
      <c r="C6" s="18">
        <v>331609915</v>
      </c>
      <c r="D6" s="19">
        <v>21.93</v>
      </c>
      <c r="E6" s="19">
        <v>98.31</v>
      </c>
      <c r="F6" s="20">
        <v>98.61</v>
      </c>
      <c r="H6" t="s" s="9">
        <v>11</v>
      </c>
      <c r="I6" s="10">
        <f>+SUMIFS($C$1:$C$43,$B$1:$B$43,$H6)</f>
        <v>933171553</v>
      </c>
      <c r="J6" s="11">
        <v>24.867847232158</v>
      </c>
      <c r="K6" s="11">
        <v>94.095708142648</v>
      </c>
      <c r="L6" s="11">
        <v>98.710963586199</v>
      </c>
    </row>
    <row r="7" ht="15.00" customHeight="true">
      <c r="A7" s="21"/>
      <c r="B7" s="17"/>
      <c r="C7" s="22">
        <f>SUM(C3:C6)</f>
        <v>1176448932</v>
      </c>
      <c r="D7" s="23">
        <f>AVERAGE(D3:D6)</f>
        <v>19.51</v>
      </c>
      <c r="E7" s="23">
        <f>AVERAGE(E3:E6)</f>
        <v>97.1125</v>
      </c>
      <c r="F7" s="23">
        <f>AVERAGE(F3:F6)</f>
        <v>98.3375</v>
      </c>
      <c r="H7" s="24"/>
      <c r="I7" s="10">
        <f>SUM(I3:I6)</f>
        <v>3356937163</v>
      </c>
      <c r="J7" s="11">
        <v>21.309896833902</v>
      </c>
      <c r="K7" s="11">
        <v>93.902552542295</v>
      </c>
      <c r="L7" s="11">
        <v>98.699720976481</v>
      </c>
    </row>
    <row r="8" ht="15.75" customHeight="true">
      <c r="A8" s="25"/>
      <c r="B8" s="26"/>
      <c r="C8" s="27"/>
      <c r="D8" s="27"/>
      <c r="E8" s="27"/>
      <c r="F8" s="28"/>
    </row>
    <row r="9" ht="15.75" customHeight="true">
      <c r="A9" t="s" s="29">
        <v>12</v>
      </c>
      <c r="B9" t="s" s="30">
        <v>8</v>
      </c>
      <c r="C9" s="14">
        <v>3989840</v>
      </c>
      <c r="D9" s="27">
        <v>15.18</v>
      </c>
      <c r="E9" s="15">
        <v>67.55</v>
      </c>
      <c r="F9" s="16">
        <v>92.52</v>
      </c>
    </row>
    <row r="10" ht="15.00" customHeight="true">
      <c r="A10" s="31"/>
      <c r="B10" t="s" s="30">
        <v>9</v>
      </c>
      <c r="C10" s="14">
        <v>4163703</v>
      </c>
      <c r="D10" s="27">
        <v>15.84</v>
      </c>
      <c r="E10" s="15">
        <v>86.06</v>
      </c>
      <c r="F10" s="16">
        <v>90.85</v>
      </c>
    </row>
    <row r="11" ht="15.00" customHeight="true">
      <c r="A11" s="31"/>
      <c r="B11" t="s" s="32">
        <v>10</v>
      </c>
      <c r="C11" s="14">
        <v>6184548</v>
      </c>
      <c r="D11" s="33">
        <v>23.53</v>
      </c>
      <c r="E11" s="15">
        <v>94.57</v>
      </c>
      <c r="F11" s="16">
        <v>98.13</v>
      </c>
    </row>
    <row r="12" ht="15.00" customHeight="true">
      <c r="A12" s="31"/>
      <c r="B12" t="s" s="34">
        <v>11</v>
      </c>
      <c r="C12" s="14">
        <v>6066779</v>
      </c>
      <c r="D12" s="33">
        <v>23.33</v>
      </c>
      <c r="E12" s="15">
        <v>87.39</v>
      </c>
      <c r="F12" s="16">
        <v>94.65</v>
      </c>
    </row>
    <row r="13" ht="15.00" customHeight="true">
      <c r="A13" s="35"/>
      <c r="B13" s="34"/>
      <c r="C13" s="36">
        <f>SUM(C9:C12)</f>
        <v>20404870</v>
      </c>
      <c r="D13" s="37">
        <f>AVERAGE(D9:D12)</f>
        <v>19.47</v>
      </c>
      <c r="E13" s="37">
        <f ref="E13:F13" t="shared" si="3">AVERAGE(E9:E12)</f>
        <v>83.8925</v>
      </c>
      <c r="F13" s="37">
        <f t="shared" si="3"/>
        <v>94.037499999999994</v>
      </c>
    </row>
    <row r="14" ht="15.75" customHeight="true">
      <c r="A14" s="25"/>
      <c r="B14" s="26"/>
      <c r="C14" s="27"/>
      <c r="D14" s="27"/>
      <c r="E14" s="27"/>
      <c r="F14" s="28"/>
    </row>
    <row r="15" ht="15.75" customHeight="true">
      <c r="A15" t="s" s="38">
        <v>13</v>
      </c>
      <c r="B15" t="s" s="30">
        <v>8</v>
      </c>
      <c r="C15" s="14">
        <v>20750626</v>
      </c>
      <c r="D15" s="39">
        <v>15.98</v>
      </c>
      <c r="E15" s="40">
        <v>98.22</v>
      </c>
      <c r="F15" s="41">
        <v>99.31</v>
      </c>
    </row>
    <row r="16" ht="15.00" customHeight="true">
      <c r="A16" s="42"/>
      <c r="B16" t="s" s="30">
        <v>9</v>
      </c>
      <c r="C16" s="14">
        <v>17783965</v>
      </c>
      <c r="D16" s="39">
        <v>13.69</v>
      </c>
      <c r="E16" s="40">
        <v>96.91</v>
      </c>
      <c r="F16" s="41">
        <v>98.46</v>
      </c>
    </row>
    <row r="17" ht="15.00" customHeight="true">
      <c r="A17" s="42"/>
      <c r="B17" t="s" s="43">
        <v>10</v>
      </c>
      <c r="C17" s="14">
        <v>23874411</v>
      </c>
      <c r="D17" s="40">
        <v>18.535</v>
      </c>
      <c r="E17" s="40">
        <v>97.09</v>
      </c>
      <c r="F17" s="41">
        <v>98.015000000000001</v>
      </c>
    </row>
    <row r="18" ht="15.00" customHeight="true">
      <c r="A18" s="42"/>
      <c r="B18" t="s" s="44">
        <v>11</v>
      </c>
      <c r="C18" s="14">
        <v>24681196</v>
      </c>
      <c r="D18" s="40">
        <v>19.295000000000002</v>
      </c>
      <c r="E18" s="40">
        <v>97.615000000000009</v>
      </c>
      <c r="F18" s="41">
        <v>97.91</v>
      </c>
    </row>
    <row r="19" ht="15.00" customHeight="true">
      <c r="A19" s="45"/>
      <c r="B19" s="44"/>
      <c r="C19" s="36">
        <f>SUM(C15:C18)</f>
        <v>87090198</v>
      </c>
      <c r="D19" s="46">
        <f>AVERAGE(D15:D18)</f>
        <v>16.875</v>
      </c>
      <c r="E19" s="46">
        <f ref="E19:F19" t="shared" si="5">AVERAGE(E15:E18)</f>
        <v>97.45875000000001</v>
      </c>
      <c r="F19" s="46">
        <f t="shared" si="5"/>
        <v>98.423749999999984</v>
      </c>
    </row>
    <row r="20" ht="15.75" customHeight="true">
      <c r="A20" s="25"/>
      <c r="B20" s="26"/>
      <c r="C20" s="27"/>
      <c r="D20" s="27"/>
      <c r="E20" s="27"/>
      <c r="F20" s="28"/>
    </row>
    <row r="21" ht="15.75" customHeight="true">
      <c r="A21" t="s" s="47">
        <v>14</v>
      </c>
      <c r="B21" t="s" s="48">
        <v>8</v>
      </c>
      <c r="C21" s="14">
        <v>5556478</v>
      </c>
      <c r="D21" s="49">
        <v>14.92</v>
      </c>
      <c r="E21" s="15">
        <v>98.66</v>
      </c>
      <c r="F21" s="16">
        <v>99.61</v>
      </c>
    </row>
    <row r="22" ht="15.00" customHeight="true">
      <c r="A22" s="50"/>
      <c r="B22" t="s" s="48">
        <v>9</v>
      </c>
      <c r="C22" s="14">
        <v>5374893</v>
      </c>
      <c r="D22" s="49">
        <v>14.44</v>
      </c>
      <c r="E22" s="15">
        <v>99.49</v>
      </c>
      <c r="F22" s="16">
        <v>99.3</v>
      </c>
    </row>
    <row r="23" ht="15.00" customHeight="true">
      <c r="A23" s="50"/>
      <c r="B23" t="s" s="51">
        <v>10</v>
      </c>
      <c r="C23" s="14">
        <v>7204872</v>
      </c>
      <c r="D23" s="15">
        <v>19.29</v>
      </c>
      <c r="E23" s="15">
        <v>98.1</v>
      </c>
      <c r="F23" s="52">
        <v>99.91</v>
      </c>
    </row>
    <row r="24" ht="15.00" customHeight="true">
      <c r="A24" s="50"/>
      <c r="B24" t="s" s="53">
        <v>11</v>
      </c>
      <c r="C24" s="14">
        <v>6944925</v>
      </c>
      <c r="D24" s="15">
        <v>18.649999999999999</v>
      </c>
      <c r="E24" s="15">
        <v>97.25</v>
      </c>
      <c r="F24" s="52">
        <v>99.53</v>
      </c>
      <c r="J24" s="54"/>
      <c r="K24" s="54"/>
      <c r="M24" s="55"/>
      <c r="N24" s="55"/>
    </row>
    <row r="25" ht="15.00" customHeight="true">
      <c r="A25" s="56"/>
      <c r="B25" s="53"/>
      <c r="C25" s="36">
        <f>SUM(C21:C24)</f>
        <v>25081168</v>
      </c>
      <c r="D25" s="37">
        <f>AVERAGE(D21:D24)</f>
        <v>16.825</v>
      </c>
      <c r="E25" s="37">
        <f ref="E25:F25" t="shared" si="0">AVERAGE(E21:E24)</f>
        <v>98.375</v>
      </c>
      <c r="F25" s="37">
        <f t="shared" si="0"/>
        <v>99.587500000000006</v>
      </c>
      <c r="J25" s="54"/>
      <c r="K25" s="54"/>
      <c r="M25" s="55"/>
      <c r="N25" s="55"/>
    </row>
    <row r="26" ht="15.75" customHeight="true">
      <c r="A26" s="25"/>
      <c r="B26" s="26"/>
      <c r="C26" s="27"/>
      <c r="D26" s="27"/>
      <c r="E26" s="27"/>
      <c r="F26" s="28"/>
      <c r="J26" s="54"/>
      <c r="K26" s="54"/>
      <c r="L26" s="54"/>
      <c r="M26" s="55"/>
      <c r="N26" s="55"/>
    </row>
    <row r="27" ht="15.75" customHeight="true">
      <c r="A27" t="s" s="57">
        <v>15</v>
      </c>
      <c r="B27" t="s" s="58">
        <v>8</v>
      </c>
      <c r="C27" s="14">
        <v>73498259</v>
      </c>
      <c r="D27" s="33">
        <v>15.31</v>
      </c>
      <c r="E27" s="33">
        <v>95.55</v>
      </c>
      <c r="F27" s="59">
        <v>99.12</v>
      </c>
      <c r="J27" s="54"/>
      <c r="K27" s="54"/>
      <c r="L27" s="54"/>
      <c r="M27" s="55"/>
      <c r="N27" s="55"/>
    </row>
    <row r="28" ht="15.00" customHeight="true">
      <c r="A28" s="60"/>
      <c r="B28" t="s" s="58">
        <v>9</v>
      </c>
      <c r="C28" s="14">
        <v>53345907</v>
      </c>
      <c r="D28" s="33">
        <v>11.33</v>
      </c>
      <c r="E28" s="33">
        <v>79.930000000000007</v>
      </c>
      <c r="F28" s="59">
        <v>98.71</v>
      </c>
      <c r="J28" s="54"/>
      <c r="K28" s="54"/>
      <c r="L28" s="54"/>
      <c r="M28" s="55"/>
      <c r="N28" s="55"/>
    </row>
    <row r="29" ht="15.00" customHeight="true">
      <c r="A29" s="60"/>
      <c r="B29" t="s" s="61">
        <v>10</v>
      </c>
      <c r="C29" s="14">
        <v>78709006</v>
      </c>
      <c r="D29" s="15">
        <v>16.172499999999999</v>
      </c>
      <c r="E29" s="15">
        <v>84.614999999999995</v>
      </c>
      <c r="F29" s="16">
        <v>97.7</v>
      </c>
      <c r="J29" s="54"/>
      <c r="K29" s="54"/>
      <c r="L29" s="54"/>
      <c r="M29" s="55"/>
      <c r="N29" s="55"/>
    </row>
    <row r="30" ht="15.00" customHeight="true">
      <c r="A30" s="60"/>
      <c r="B30" t="s" s="62">
        <v>11</v>
      </c>
      <c r="C30" s="14">
        <v>87916088</v>
      </c>
      <c r="D30" s="33">
        <v>21.61</v>
      </c>
      <c r="E30" s="33">
        <v>97.15</v>
      </c>
      <c r="F30" s="59">
        <v>99.07</v>
      </c>
      <c r="J30" s="54"/>
      <c r="K30" s="54"/>
      <c r="L30" s="54"/>
      <c r="M30" s="55"/>
      <c r="N30" s="55"/>
    </row>
    <row r="31" ht="15.00" customHeight="true">
      <c r="A31" s="63"/>
      <c r="B31" s="62"/>
      <c r="C31" s="36">
        <f>SUM(C27:C30)</f>
        <v>293469260</v>
      </c>
      <c r="D31" s="37">
        <f>AVERAGE(D27:D30)</f>
        <v>16.105625</v>
      </c>
      <c r="E31" s="37">
        <f ref="E31:F31" t="shared" si="4">AVERAGE(E27:E30)</f>
        <v>89.31125</v>
      </c>
      <c r="F31" s="37">
        <f t="shared" si="4"/>
        <v>98.649999999999991</v>
      </c>
      <c r="J31" s="54"/>
      <c r="K31" s="54"/>
      <c r="L31" s="64"/>
      <c r="M31" s="55"/>
      <c r="N31" s="55"/>
    </row>
    <row r="32" ht="15.75" customHeight="true">
      <c r="A32" s="65"/>
      <c r="B32" s="66"/>
      <c r="C32" s="27"/>
      <c r="D32" s="27"/>
      <c r="E32" s="27"/>
      <c r="F32" s="28"/>
      <c r="J32" s="54"/>
      <c r="K32" s="54"/>
      <c r="L32" s="55"/>
      <c r="M32" s="55"/>
      <c r="N32" s="55"/>
    </row>
    <row r="33" ht="15.75" customHeight="true">
      <c r="A33" t="s" s="67">
        <v>16</v>
      </c>
      <c r="B33" t="s" s="68">
        <v>8</v>
      </c>
      <c r="C33" s="14">
        <v>182867835</v>
      </c>
      <c r="D33" s="15">
        <v>22.25</v>
      </c>
      <c r="E33" s="15">
        <v>98.77</v>
      </c>
      <c r="F33" s="16">
        <v>99.38</v>
      </c>
      <c r="L33" s="55"/>
      <c r="M33" s="55"/>
    </row>
    <row r="34" ht="15.00" customHeight="true">
      <c r="A34" s="69"/>
      <c r="B34" t="s" s="68">
        <v>9</v>
      </c>
      <c r="C34" s="14">
        <v>164654673</v>
      </c>
      <c r="D34" s="15">
        <v>20.03</v>
      </c>
      <c r="E34" s="15">
        <v>97.99</v>
      </c>
      <c r="F34" s="16">
        <v>99.19</v>
      </c>
      <c r="L34" s="55"/>
      <c r="M34" s="55"/>
    </row>
    <row r="35" ht="15.00" customHeight="true">
      <c r="A35" s="69"/>
      <c r="B35" t="s" s="70">
        <v>10</v>
      </c>
      <c r="C35" s="14">
        <v>169183110</v>
      </c>
      <c r="D35" s="15">
        <v>33.365000000000002</v>
      </c>
      <c r="E35" s="15">
        <v>84.953333333333333</v>
      </c>
      <c r="F35" s="16">
        <v>98.983333333333334</v>
      </c>
    </row>
    <row r="36" ht="15.00" customHeight="true">
      <c r="A36" s="69"/>
      <c r="B36" t="s" s="71">
        <v>11</v>
      </c>
      <c r="C36" s="14">
        <v>179219495</v>
      </c>
      <c r="D36" s="15">
        <v>35.693333333333335</v>
      </c>
      <c r="E36" s="15">
        <v>85.64</v>
      </c>
      <c r="F36" s="16">
        <v>99.043333333333337</v>
      </c>
      <c r="L36" s="55"/>
    </row>
    <row r="37" ht="15.00" customHeight="true">
      <c r="A37" s="72"/>
      <c r="B37" s="71"/>
      <c r="C37" s="36">
        <f>SUM(C33:C36)</f>
        <v>695925113</v>
      </c>
      <c r="D37" s="37">
        <f>AVERAGE(D33:D36)</f>
        <v>27.834583333333335</v>
      </c>
      <c r="E37" s="37">
        <f ref="E37:F37" t="shared" si="2">AVERAGE(E33:E36)</f>
        <v>91.83833333333332</v>
      </c>
      <c r="F37" s="37">
        <f t="shared" si="2"/>
        <v>99.149166666666673</v>
      </c>
      <c r="L37" s="55"/>
    </row>
    <row r="38" ht="15.75" customHeight="true">
      <c r="A38" s="25"/>
      <c r="B38" s="26"/>
      <c r="C38" s="27"/>
      <c r="D38" s="27"/>
      <c r="E38" s="27"/>
      <c r="F38" s="28"/>
      <c r="L38" s="55"/>
    </row>
    <row r="39" ht="15.75" customHeight="true">
      <c r="A39" t="s" s="73">
        <v>17</v>
      </c>
      <c r="B39" t="s" s="74">
        <v>8</v>
      </c>
      <c r="C39" s="14">
        <v>230800173</v>
      </c>
      <c r="D39" s="15">
        <v>17.48</v>
      </c>
      <c r="E39" s="15">
        <v>90.94</v>
      </c>
      <c r="F39" s="16">
        <v>99.29</v>
      </c>
      <c r="K39" s="55"/>
      <c r="L39" s="55"/>
    </row>
    <row r="40" ht="15.00" customHeight="true">
      <c r="A40" s="75"/>
      <c r="B40" t="s" s="74">
        <v>9</v>
      </c>
      <c r="C40" s="14">
        <v>228343263</v>
      </c>
      <c r="D40" s="15">
        <v>17.420000000000002</v>
      </c>
      <c r="E40" s="15">
        <v>91.33</v>
      </c>
      <c r="F40" s="16">
        <v>99.28</v>
      </c>
      <c r="K40" s="55"/>
      <c r="L40" s="55"/>
    </row>
    <row r="41" ht="15.00" customHeight="true">
      <c r="A41" s="75"/>
      <c r="B41" t="s" s="76">
        <v>10</v>
      </c>
      <c r="C41" s="14">
        <v>302641031</v>
      </c>
      <c r="D41" s="15">
        <v>22.5975</v>
      </c>
      <c r="E41" s="15">
        <v>93.363749999999996</v>
      </c>
      <c r="F41" s="16">
        <v>98.503749999999997</v>
      </c>
    </row>
    <row r="42" ht="15.75" customHeight="true">
      <c r="A42" s="75"/>
      <c r="B42" t="s" s="77">
        <v>11</v>
      </c>
      <c r="C42" s="78">
        <v>296733155</v>
      </c>
      <c r="D42" s="79">
        <v>23.22</v>
      </c>
      <c r="E42" s="79">
        <v>93.357499999999987</v>
      </c>
      <c r="F42" s="80">
        <v>98.652499999999989</v>
      </c>
    </row>
    <row r="43" ht="15.00" customHeight="true">
      <c r="A43" s="75"/>
      <c r="B43" s="81"/>
      <c r="C43" s="82">
        <f>SUM(C39:C42)</f>
        <v>1058517622</v>
      </c>
      <c r="D43" s="83">
        <f>AVERAGE(D39:D42)</f>
        <v>20.179375</v>
      </c>
      <c r="E43" s="83">
        <f ref="E43:F43" t="shared" si="1">AVERAGE(E39:E42)</f>
        <v>92.2478125</v>
      </c>
      <c r="F43" s="83">
        <f t="shared" si="1"/>
        <v>98.931562499999998</v>
      </c>
    </row>
  </sheetData>
  <mergeCells count="13">
    <mergeCell ref="A9:A13"/>
    <mergeCell ref="A15:A19"/>
    <mergeCell ref="A21:A25"/>
    <mergeCell ref="A27:A31"/>
    <mergeCell ref="A33:A37"/>
    <mergeCell ref="A39:A43"/>
    <mergeCell ref="E1:E2"/>
    <mergeCell ref="F1:F2"/>
    <mergeCell ref="A3:A7"/>
    <mergeCell ref="A1:A2"/>
    <mergeCell ref="B1:B2"/>
    <mergeCell ref="C1:C2"/>
    <mergeCell ref="D1:D2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2026-05-31T16:53:28Z</dcterms:created>
  <dcterms:modified xsi:type="dcterms:W3CDTF">2026-05-31T16:53:28Z</dcterms:modified>
</cp:coreProperties>
</file>