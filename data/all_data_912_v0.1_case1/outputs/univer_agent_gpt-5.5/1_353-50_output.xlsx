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3B3EAB-45C3-4579-80AF-2BF922BC747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" i="1"/>
  <c r="AG14" i="1"/>
  <c r="AJ14" i="1"/>
  <c r="AE14" i="1"/>
  <c r="AI14" i="1"/>
  <c r="AF14" i="1"/>
  <c r="AC14" i="1"/>
  <c r="AH14" i="1"/>
  <c r="AK14" i="1"/>
  <c r="AN15" i="1"/>
  <c r="AO31" i="1"/>
  <c r="AD31" i="1"/>
  <c r="AG31" i="1"/>
  <c r="AK31" i="1"/>
  <c r="AM31" i="1"/>
  <c r="AJ31" i="1"/>
  <c r="AI31" i="1"/>
  <c r="AL31" i="1"/>
  <c r="AF31" i="1"/>
  <c r="AE31" i="1"/>
  <c r="AC31" i="1"/>
  <c r="AH31" i="1"/>
  <c r="AM30" i="1"/>
  <c r="AE30" i="1"/>
  <c r="AF30" i="1"/>
  <c r="AG30" i="1"/>
  <c r="AJ30" i="1"/>
  <c r="AH30" i="1"/>
  <c r="AL30" i="1"/>
  <c r="AD30" i="1"/>
  <c r="AK30" i="1"/>
  <c r="AI30" i="1"/>
  <c r="AC30" i="1"/>
  <c r="AO30" i="1"/>
  <c r="AH11" i="1"/>
  <c r="AI11" i="1"/>
  <c r="AG11" i="1"/>
  <c r="AN11" i="1"/>
  <c r="AE11" i="1"/>
  <c r="AC11" i="1"/>
  <c r="AJ11" i="1"/>
  <c r="AF11" i="1"/>
  <c r="AD11" i="1"/>
  <c r="AK11" i="1"/>
  <c r="AD33" i="1"/>
  <c r="AI33" i="1"/>
  <c r="AK33" i="1"/>
  <c r="AH33" i="1"/>
  <c r="AC33" i="1"/>
  <c r="AL33" i="1"/>
  <c r="AG33" i="1"/>
  <c r="AJ33" i="1"/>
  <c r="AF33" i="1"/>
  <c r="AM33" i="1"/>
  <c r="AE33" i="1"/>
  <c r="AE28" i="1"/>
  <c r="AK28" i="1"/>
  <c r="AL28" i="1"/>
  <c r="AF28" i="1"/>
  <c r="AD28" i="1"/>
  <c r="AI28" i="1"/>
  <c r="AH28" i="1"/>
  <c r="AJ28" i="1"/>
  <c r="AG28" i="1"/>
  <c r="AM28" i="1"/>
  <c r="AK12" i="1"/>
  <c r="AC12" i="1"/>
  <c r="AH12" i="1"/>
  <c r="AE12" i="1"/>
  <c r="AJ12" i="1"/>
  <c r="AF12" i="1"/>
  <c r="AG12" i="1"/>
  <c r="AN12" i="1"/>
  <c r="AI12" i="1"/>
  <c r="AD12" i="1"/>
  <c r="AI9" i="1"/>
  <c r="AD9" i="1"/>
  <c r="AK9" i="1"/>
  <c r="AF9" i="1"/>
  <c r="AG9" i="1"/>
  <c r="AJ9" i="1"/>
  <c r="AE9" i="1"/>
  <c r="AH9" i="1"/>
  <c r="AO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V9" authorId="0" shapeId="0" xr:uid="{5492C434-F48B-445F-86FC-349289D435AA}">
      <text>
        <r>
          <rPr>
            <sz val="9"/>
            <color indexed="81"/>
            <rFont val="Tahoma"/>
            <family val="2"/>
          </rPr>
          <t/>
        </r>
      </text>
    </comment>
    <comment ref="W9" authorId="0" shapeId="0" xr:uid="{4A718906-DD4D-4776-A524-C76BD13209BE}">
      <text>
        <r>
          <rPr>
            <sz val="9"/>
            <color indexed="81"/>
            <rFont val="Tahoma"/>
            <family val="2"/>
          </rPr>
          <t/>
        </r>
      </text>
    </comment>
    <comment ref="W28" authorId="0" shapeId="0" xr:uid="{8BDF83EB-A983-44C7-A48E-0642EB44FB6E}">
      <text>
        <r>
          <rPr>
            <sz val="9"/>
            <color indexed="81"/>
            <rFont val="Tahoma"/>
            <family val="2"/>
          </rPr>
          <t/>
        </r>
      </text>
    </comment>
    <comment ref="V28" authorId="0" shapeId="0" xr:uid="{B7B7BF1E-0D13-4D40-8854-D24371F6D473}">
      <text>
        <r>
          <rPr>
            <sz val="9"/>
            <color indexed="81"/>
            <rFont val="Tahoma"/>
            <family val="2"/>
          </rPr>
          <t/>
        </r>
      </text>
    </comment>
  </commentList>
</comments>
</file>

<file path=xl/sharedStrings.xml><?xml version="1.0" encoding="utf-8"?>
<sst xmlns="http://schemas.openxmlformats.org/spreadsheetml/2006/main" count="30" uniqueCount="16">
  <si>
    <t>Original Data</t>
  </si>
  <si>
    <t>Data</t>
  </si>
  <si>
    <t>Total</t>
  </si>
  <si>
    <t>6 month rolling</t>
  </si>
  <si>
    <t>Data 1</t>
  </si>
  <si>
    <t>Data 2</t>
  </si>
  <si>
    <t>Data 3</t>
  </si>
  <si>
    <t>Data 4</t>
  </si>
  <si>
    <t>Data 7</t>
  </si>
  <si>
    <t>Data 8</t>
  </si>
  <si>
    <t>Data 9</t>
  </si>
  <si>
    <t>Data 10</t>
  </si>
  <si>
    <t>Data 11</t>
  </si>
  <si>
    <t>Data 12</t>
  </si>
  <si>
    <t>Data 13</t>
  </si>
  <si>
    <t>Required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</si>
</sst>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General"/>
    <numFmt numFmtId="2" formatCode="0&quot;h.&quot;"/>
    <numFmt numFmtId="3" formatCode="0%"/>
    <numFmt numFmtId="4" formatCode="0.00%"/>
    <numFmt numFmtId="5" formatCode="m/yy"/>
    <numFmt numFmtId="6" formatCode="0.0%"/>
    <numFmt numFmtId="7" formatCode="0"/>
    <numFmt numFmtId="8" formatCode="0.0&quot;h.&quot;"/>
  </numFmts>
  <fonts count="8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family val="2"/>
    </font>
    <font>
      <name val="Calibri"/>
      <sz val="11.00"/>
      <b/>
      <family val="2"/>
    </font>
    <font>
      <name val="等线"/>
      <sz val="11.00"/>
      <family val="2"/>
    </font>
    <font>
      <name val="Calibri"/>
      <sz val="11.00"/>
      <b/>
      <color rgb="FF000000"/>
      <family val="2"/>
    </font>
    <font>
      <name val="Calibri"/>
      <sz val="11.00"/>
      <b/>
      <color rgb="FFFFFFFF"/>
      <family val="2"/>
    </font>
    <font>
      <name val="等线"/>
      <sz val="22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43">
    <xf numFmtId="0" fontId="0" fillId="0" borderId="0"/>
    <xf numFmtId="1" applyNumberFormat="1" fontId="1" applyFont="1" applyAlignment="1">
      <alignment horizontal="center"/>
    </xf>
    <xf numFmtId="2" applyNumberFormat="1" fontId="2" applyFont="1" applyAlignment="1">
      <alignment vertical="center" horizontal="center"/>
    </xf>
    <xf numFmtId="1" applyNumberFormat="1" fontId="3" applyFont="1" applyAlignment="1">
      <alignment vertical="center"/>
    </xf>
    <xf numFmtId="2" applyNumberFormat="1" fontId="4" applyFont="1" borderId="1" applyBorder="1" applyAlignment="1">
      <alignment vertical="center" horizontal="center"/>
    </xf>
    <xf numFmtId="3" applyNumberFormat="1" fontId="1" applyFont="1" fillId="2" applyFill="1" borderId="2" applyBorder="1" applyAlignment="1">
      <alignment horizontal="center"/>
    </xf>
    <xf numFmtId="4" applyNumberFormat="1" fontId="1" applyFont="1" fillId="2" applyFill="1" borderId="2" applyBorder="1" applyAlignment="1">
      <alignment horizontal="center"/>
    </xf>
    <xf numFmtId="5" applyNumberFormat="1" fontId="5" applyFont="1" fillId="2" applyFill="1" borderId="3" applyBorder="1" applyAlignment="1">
      <alignment vertical="center" horizontal="center"/>
    </xf>
    <xf numFmtId="6" applyNumberFormat="1" fontId="2" applyFont="1" borderId="4" applyBorder="1" applyAlignment="1">
      <alignment vertical="center" horizontal="center"/>
    </xf>
    <xf numFmtId="1" applyNumberFormat="1" fontId="3" applyFont="1" applyAlignment="1">
      <alignment vertical="center"/>
    </xf>
    <xf numFmtId="2" applyNumberFormat="1" fontId="2" applyFont="1" borderId="5" applyBorder="1" applyAlignment="1">
      <alignment vertical="center" horizontal="center"/>
    </xf>
    <xf numFmtId="7" applyNumberFormat="1" fontId="4" applyFont="1" borderId="6" applyBorder="1" applyAlignment="1">
      <alignment vertical="center" horizontal="center"/>
    </xf>
    <xf numFmtId="1" applyNumberFormat="1" fontId="1" applyFont="1" applyAlignment="1">
      <alignment horizontal="center"/>
    </xf>
    <xf numFmtId="7" applyNumberFormat="1" fontId="2" applyFont="1" borderId="7" applyBorder="1" applyAlignment="1">
      <alignment vertical="center" horizontal="center"/>
    </xf>
    <xf numFmtId="1" applyNumberFormat="1" fontId="1" applyFont="1" fillId="2" applyFill="1" borderId="2" applyBorder="1" applyAlignment="1">
      <alignment horizontal="center"/>
    </xf>
    <xf numFmtId="8" applyNumberFormat="1" fontId="2" applyFont="1" borderId="8" applyBorder="1" applyAlignment="1">
      <alignment vertical="center" horizontal="center"/>
    </xf>
    <xf numFmtId="2" applyNumberFormat="1" fontId="1" applyFont="1" fillId="2" applyFill="1" borderId="2" applyBorder="1" applyAlignment="1">
      <alignment horizontal="center"/>
    </xf>
    <xf numFmtId="1" applyNumberFormat="1" fontId="1" applyFont="1" applyAlignment="1">
      <alignment vertical="center"/>
    </xf>
    <xf numFmtId="7" applyNumberFormat="1" fontId="2" applyFont="1" applyAlignment="1">
      <alignment vertical="center" horizontal="center"/>
    </xf>
    <xf numFmtId="1" applyNumberFormat="1" fontId="6" applyFont="1" applyAlignment="1">
      <alignment vertical="center"/>
    </xf>
    <xf numFmtId="6" applyNumberFormat="1" fontId="4" applyFont="1" borderId="6" applyBorder="1" applyAlignment="1">
      <alignment vertical="center" horizontal="center"/>
    </xf>
    <xf numFmtId="4" applyNumberFormat="1" fontId="1" applyFont="1" fillId="2" applyFill="1" borderId="2" applyBorder="1" applyAlignment="1">
      <alignment horizontal="center"/>
    </xf>
    <xf numFmtId="1" applyNumberFormat="1" fontId="7" applyFont="1" fillId="3" applyFill="1" applyAlignment="1">
      <alignment vertical="center" horizontal="center"/>
    </xf>
    <xf numFmtId="5" applyNumberFormat="1" fontId="6" applyFont="1" applyAlignment="1">
      <alignment vertical="center" horizontal="center"/>
    </xf>
    <xf numFmtId="5" applyNumberFormat="1" fontId="6" applyFont="1" fillId="4" applyFill="1" borderId="9" applyBorder="1" applyAlignment="1">
      <alignment vertical="center" horizontal="center"/>
    </xf>
    <xf numFmtId="8" applyNumberFormat="1" fontId="4" applyFont="1" borderId="10" applyBorder="1" applyAlignment="1">
      <alignment vertical="center" horizontal="center"/>
    </xf>
    <xf numFmtId="1" applyNumberFormat="1" fontId="1" applyFont="1" fillId="2" applyFill="1" borderId="2" applyBorder="1" applyAlignment="1">
      <alignment horizontal="center"/>
    </xf>
    <xf numFmtId="5" applyNumberFormat="1" fontId="6" applyFont="1" fillId="4" applyFill="1" borderId="11" applyBorder="1" applyAlignment="1">
      <alignment vertical="center" horizontal="center"/>
    </xf>
    <xf numFmtId="7" applyNumberFormat="1" fontId="2" applyFont="1" borderId="4" applyBorder="1" applyAlignment="1">
      <alignment vertical="center" horizontal="center"/>
    </xf>
    <xf numFmtId="1" applyNumberFormat="1" fontId="1" applyFont="1" borderId="12" applyBorder="1" applyAlignment="1">
      <alignment vertical="center"/>
    </xf>
    <xf numFmtId="8" applyNumberFormat="1" fontId="2" applyFont="1" applyAlignment="1">
      <alignment vertical="center" horizontal="center"/>
    </xf>
    <xf numFmtId="2" applyNumberFormat="1" fontId="2" applyFont="1" borderId="4" applyBorder="1" applyAlignment="1">
      <alignment vertical="center" horizontal="center"/>
    </xf>
    <xf numFmtId="1" applyNumberFormat="1" fontId="1" applyFont="1" applyAlignment="1">
      <alignment/>
    </xf>
    <xf numFmtId="1" applyNumberFormat="1" fontId="1" applyFont="1" borderId="13" applyBorder="1" applyAlignment="1">
      <alignment vertical="center" horizontal="center"/>
    </xf>
    <xf numFmtId="6" applyNumberFormat="1" fontId="2" applyFont="1" applyAlignment="1">
      <alignment vertical="center" horizontal="center"/>
    </xf>
    <xf numFmtId="2" applyNumberFormat="1" fontId="1" applyFont="1" fillId="2" applyFill="1" borderId="2" applyBorder="1" applyAlignment="1">
      <alignment horizontal="center"/>
    </xf>
    <xf numFmtId="1" applyNumberFormat="1" fontId="1" applyFont="1" applyAlignment="1">
      <alignment vertical="center"/>
    </xf>
    <xf numFmtId="3" applyNumberFormat="1" fontId="1" applyFont="1" fillId="2" applyFill="1" borderId="2" applyBorder="1" applyAlignment="1">
      <alignment horizontal="center"/>
    </xf>
    <xf numFmtId="5" applyNumberFormat="1" fontId="6" applyFont="1" fillId="4" applyFill="1" borderId="3" applyBorder="1" applyAlignment="1">
      <alignment vertical="center" horizontal="center"/>
    </xf>
    <xf numFmtId="5" applyNumberFormat="1" fontId="6" applyFont="1" fillId="4" applyFill="1" borderId="11" applyBorder="1" applyAlignment="1">
      <alignment vertical="center" horizontal="center"/>
    </xf>
    <xf numFmtId="2" applyNumberFormat="1" fontId="1" applyFont="1" applyAlignment="1">
      <alignment vertical="center" horizontal="center"/>
    </xf>
    <xf numFmtId="7" applyNumberFormat="1" fontId="4" applyFont="1" borderId="14" applyBorder="1" applyAlignment="1">
      <alignment vertical="center" horizontal="center"/>
    </xf>
    <xf numFmtId="2" applyNumberFormat="1" fontId="4" applyFont="1" borderId="6" applyBorder="1" applyAlignment="1">
      <alignment vertical="center" horizontal="center"/>
    </xf>
  </cellStyleXfs>
  <cellXfs count="42">
    <xf numFmtId="0" fontId="0" fillId="0" borderId="0" xfId="0"/>
    <xf xfId="22" quotePrefix="0" pivotButton="0" numFmtId="1" applyNumberFormat="1" fontId="7" applyFont="1" fillId="3" applyFill="1" applyAlignment="1">
      <alignment vertical="center" horizontal="center"/>
    </xf>
    <xf xfId="1" quotePrefix="0" pivotButton="0" numFmtId="1" applyNumberFormat="1" fontId="1" applyFont="1" applyAlignment="1">
      <alignment horizontal="center"/>
    </xf>
    <xf xfId="12" quotePrefix="0" pivotButton="0" numFmtId="1" applyNumberFormat="1" fontId="1" applyFont="1" applyAlignment="1">
      <alignment horizontal="center"/>
    </xf>
    <xf xfId="19" quotePrefix="0" pivotButton="0" numFmtId="1" applyNumberFormat="1" fontId="6" applyFont="1" applyAlignment="1">
      <alignment vertical="center"/>
    </xf>
    <xf xfId="3" quotePrefix="0" pivotButton="0" numFmtId="1" applyNumberFormat="1" fontId="3" applyFont="1" applyAlignment="1">
      <alignment vertical="center"/>
    </xf>
    <xf xfId="9" quotePrefix="0" pivotButton="0" numFmtId="1" applyNumberFormat="1" fontId="3" applyFont="1" applyAlignment="1">
      <alignment vertical="center"/>
    </xf>
    <xf xfId="17" quotePrefix="0" pivotButton="0" numFmtId="1" applyNumberFormat="1" fontId="1" applyFont="1" applyAlignment="1">
      <alignment vertical="center"/>
    </xf>
    <xf xfId="33" quotePrefix="0" pivotButton="0" numFmtId="1" applyNumberFormat="1" fontId="1" applyFont="1" borderId="13" applyBorder="1" applyAlignment="1">
      <alignment vertical="center" horizontal="center"/>
    </xf>
    <xf xfId="24" quotePrefix="0" pivotButton="0" numFmtId="5" applyNumberFormat="1" fontId="6" applyFont="1" fillId="4" applyFill="1" borderId="9" applyBorder="1" applyAlignment="1">
      <alignment vertical="center" horizontal="center"/>
    </xf>
    <xf xfId="38" quotePrefix="0" pivotButton="0" numFmtId="5" applyNumberFormat="1" fontId="6" applyFont="1" fillId="4" applyFill="1" borderId="3" applyBorder="1" applyAlignment="1">
      <alignment vertical="center" horizontal="center"/>
    </xf>
    <xf xfId="23" quotePrefix="0" pivotButton="0" numFmtId="5" applyNumberFormat="1" fontId="6" applyFont="1" applyAlignment="1">
      <alignment vertical="center" horizontal="center"/>
    </xf>
    <xf xfId="7" quotePrefix="0" pivotButton="0" numFmtId="5" applyNumberFormat="1" fontId="5" applyFont="1" fillId="2" applyFill="1" borderId="3" applyBorder="1" applyAlignment="1">
      <alignment vertical="center" horizontal="center"/>
    </xf>
    <xf xfId="18" quotePrefix="0" pivotButton="0" numFmtId="7" applyNumberFormat="1" fontId="2" applyFont="1" applyAlignment="1">
      <alignment vertical="center" horizontal="center"/>
    </xf>
    <xf xfId="39" quotePrefix="0" pivotButton="0" numFmtId="5" applyNumberFormat="1" fontId="6" applyFont="1" fillId="4" applyFill="1" borderId="11" applyBorder="1" applyAlignment="1">
      <alignment vertical="center" horizontal="center"/>
    </xf>
    <xf xfId="27" quotePrefix="0" pivotButton="0" numFmtId="5" applyNumberFormat="1" fontId="6" applyFont="1" fillId="4" applyFill="1" borderId="11" applyBorder="1" applyAlignment="1">
      <alignment vertical="center" horizontal="center"/>
    </xf>
    <xf xfId="25" quotePrefix="0" pivotButton="0" numFmtId="8" applyNumberFormat="1" fontId="4" applyFont="1" borderId="10" applyBorder="1" applyAlignment="1">
      <alignment vertical="center" horizontal="center"/>
    </xf>
    <xf xfId="15" quotePrefix="0" pivotButton="0" numFmtId="8" applyNumberFormat="1" fontId="2" applyFont="1" borderId="8" applyBorder="1" applyAlignment="1">
      <alignment vertical="center" horizontal="center"/>
    </xf>
    <xf xfId="30" quotePrefix="0" pivotButton="0" numFmtId="8" applyNumberFormat="1" fontId="2" applyFont="1" applyAlignment="1">
      <alignment vertical="center" horizontal="center"/>
    </xf>
    <xf xfId="14" quotePrefix="0" pivotButton="0" numFmtId="1" applyNumberFormat="1" fontId="1" applyFont="1" fillId="2" applyFill="1" borderId="2" applyBorder="1" applyAlignment="1">
      <alignment horizontal="center"/>
    </xf>
    <xf xfId="26" quotePrefix="0" pivotButton="0" numFmtId="1" applyNumberFormat="1" fontId="1" applyFont="1" fillId="2" applyFill="1" borderId="2" applyBorder="1" applyAlignment="1">
      <alignment horizontal="center"/>
    </xf>
    <xf xfId="11" quotePrefix="0" pivotButton="0" numFmtId="7" applyNumberFormat="1" fontId="4" applyFont="1" borderId="6" applyBorder="1" applyAlignment="1">
      <alignment vertical="center" horizontal="center"/>
    </xf>
    <xf xfId="28" quotePrefix="0" pivotButton="0" numFmtId="7" applyNumberFormat="1" fontId="2" applyFont="1" borderId="4" applyBorder="1" applyAlignment="1">
      <alignment vertical="center" horizontal="center"/>
    </xf>
    <xf xfId="41" quotePrefix="0" pivotButton="0" numFmtId="7" applyNumberFormat="1" fontId="4" applyFont="1" borderId="14" applyBorder="1" applyAlignment="1">
      <alignment vertical="center" horizontal="center"/>
    </xf>
    <xf xfId="13" quotePrefix="0" pivotButton="0" numFmtId="7" applyNumberFormat="1" fontId="2" applyFont="1" borderId="7" applyBorder="1" applyAlignment="1">
      <alignment vertical="center" horizontal="center"/>
    </xf>
    <xf xfId="36" quotePrefix="0" pivotButton="0" numFmtId="1" applyNumberFormat="1" fontId="1" applyFont="1" applyAlignment="1">
      <alignment vertical="center"/>
    </xf>
    <xf xfId="29" quotePrefix="0" pivotButton="0" numFmtId="1" applyNumberFormat="1" fontId="1" applyFont="1" borderId="12" applyBorder="1" applyAlignment="1">
      <alignment vertical="center"/>
    </xf>
    <xf xfId="20" quotePrefix="0" pivotButton="0" numFmtId="6" applyNumberFormat="1" fontId="4" applyFont="1" borderId="6" applyBorder="1" applyAlignment="1">
      <alignment vertical="center" horizontal="center"/>
    </xf>
    <xf xfId="8" quotePrefix="0" pivotButton="0" numFmtId="6" applyNumberFormat="1" fontId="2" applyFont="1" borderId="4" applyBorder="1" applyAlignment="1">
      <alignment vertical="center" horizontal="center"/>
    </xf>
    <xf xfId="34" quotePrefix="0" pivotButton="0" numFmtId="6" applyNumberFormat="1" fontId="2" applyFont="1" applyAlignment="1">
      <alignment vertical="center" horizontal="center"/>
    </xf>
    <xf xfId="37" quotePrefix="0" pivotButton="0" numFmtId="3" applyNumberFormat="1" fontId="1" applyFont="1" fillId="2" applyFill="1" borderId="2" applyBorder="1" applyAlignment="1">
      <alignment horizontal="center"/>
    </xf>
    <xf xfId="5" quotePrefix="0" pivotButton="0" numFmtId="3" applyNumberFormat="1" fontId="1" applyFont="1" fillId="2" applyFill="1" borderId="2" applyBorder="1" applyAlignment="1">
      <alignment horizontal="center"/>
    </xf>
    <xf xfId="16" quotePrefix="0" pivotButton="0" numFmtId="2" applyNumberFormat="1" fontId="1" applyFont="1" fillId="2" applyFill="1" borderId="2" applyBorder="1" applyAlignment="1">
      <alignment horizontal="center"/>
    </xf>
    <xf xfId="35" quotePrefix="0" pivotButton="0" numFmtId="2" applyNumberFormat="1" fontId="1" applyFont="1" fillId="2" applyFill="1" borderId="2" applyBorder="1" applyAlignment="1">
      <alignment horizontal="center"/>
    </xf>
    <xf xfId="42" quotePrefix="0" pivotButton="0" numFmtId="2" applyNumberFormat="1" fontId="4" applyFont="1" borderId="6" applyBorder="1" applyAlignment="1">
      <alignment vertical="center" horizontal="center"/>
    </xf>
    <xf xfId="31" quotePrefix="0" pivotButton="0" numFmtId="2" applyNumberFormat="1" fontId="2" applyFont="1" borderId="4" applyBorder="1" applyAlignment="1">
      <alignment vertical="center" horizontal="center"/>
    </xf>
    <xf xfId="2" quotePrefix="0" pivotButton="0" numFmtId="2" applyNumberFormat="1" fontId="2" applyFont="1" applyAlignment="1">
      <alignment vertical="center" horizontal="center"/>
    </xf>
    <xf xfId="40" quotePrefix="0" pivotButton="0" numFmtId="2" applyNumberFormat="1" fontId="1" applyFont="1" applyAlignment="1">
      <alignment vertical="center" horizontal="center"/>
    </xf>
    <xf xfId="6" quotePrefix="0" pivotButton="0" numFmtId="4" applyNumberFormat="1" fontId="1" applyFont="1" fillId="2" applyFill="1" borderId="2" applyBorder="1" applyAlignment="1">
      <alignment horizontal="center"/>
    </xf>
    <xf xfId="21" quotePrefix="0" pivotButton="0" numFmtId="4" applyNumberFormat="1" fontId="1" applyFont="1" fillId="2" applyFill="1" borderId="2" applyBorder="1" applyAlignment="1">
      <alignment horizontal="center"/>
    </xf>
    <xf xfId="4" quotePrefix="0" pivotButton="0" numFmtId="2" applyNumberFormat="1" fontId="4" applyFont="1" borderId="1" applyBorder="1" applyAlignment="1">
      <alignment vertical="center" horizontal="center"/>
    </xf>
    <xf xfId="10" quotePrefix="0" pivotButton="0" numFmtId="2" applyNumberFormat="1" fontId="2" applyFont="1" borderId="5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23.22" customWidth="1" hidden="0"/>
    <col min="39" max="39" width="31.51" customWidth="1" hidden="0"/>
    <col min="40" max="40" width="22.68" customWidth="1" hidden="0"/>
    <col min="41" max="41" width="8.65" customWidth="1" hidden="0"/>
  </cols>
  <sheetData>
    <row r="1" ht="13.80" customHeight="true">
      <c r="AC1" t="s" s="1">
        <v>0</v>
      </c>
    </row>
    <row r="2" ht="13.80" customHeight="true">
      <c r="AM2" s="2"/>
      <c r="AN2" s="3"/>
    </row>
    <row r="3" ht="15.00" customHeight="true">
      <c r="C3" s="4"/>
      <c r="D3" s="5"/>
      <c r="E3" s="6"/>
      <c r="F3" s="6"/>
      <c r="G3" s="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M3" s="2"/>
      <c r="AN3" s="3"/>
    </row>
    <row r="4" ht="15.00" customHeight="true">
      <c r="B4" t="s" s="8">
        <v>1</v>
      </c>
      <c r="C4" s="9">
        <v>43466</v>
      </c>
      <c r="D4" s="10">
        <v>43497</v>
      </c>
      <c r="E4" s="10">
        <v>43525</v>
      </c>
      <c r="F4" s="10">
        <v>43556</v>
      </c>
      <c r="G4" s="10">
        <v>43586</v>
      </c>
      <c r="H4" s="10">
        <v>43617</v>
      </c>
      <c r="I4" s="10">
        <v>43647</v>
      </c>
      <c r="J4" s="10">
        <v>43678</v>
      </c>
      <c r="K4" s="10">
        <v>43709</v>
      </c>
      <c r="L4" s="10">
        <v>43739</v>
      </c>
      <c r="M4" s="10">
        <v>43770</v>
      </c>
      <c r="N4" s="10">
        <v>43800</v>
      </c>
      <c r="O4" t="s" s="10">
        <v>2</v>
      </c>
      <c r="P4" s="11"/>
      <c r="Q4" s="10">
        <v>43831</v>
      </c>
      <c r="R4" s="10">
        <v>43862</v>
      </c>
      <c r="S4" s="10">
        <v>43891</v>
      </c>
      <c r="T4" s="10">
        <v>43922</v>
      </c>
      <c r="U4" s="10">
        <v>43952</v>
      </c>
      <c r="V4" s="10">
        <v>43983</v>
      </c>
      <c r="W4" s="10">
        <v>44013</v>
      </c>
      <c r="X4" s="10">
        <v>44044</v>
      </c>
      <c r="Y4" s="10">
        <v>44075</v>
      </c>
      <c r="Z4" s="10">
        <v>44105</v>
      </c>
      <c r="AA4" s="10">
        <v>44136</v>
      </c>
      <c r="AB4" s="10">
        <v>44166</v>
      </c>
      <c r="AC4" s="12">
        <v>44197</v>
      </c>
      <c r="AD4" s="12">
        <v>44228</v>
      </c>
      <c r="AE4" s="12">
        <v>44256</v>
      </c>
      <c r="AF4" s="12">
        <v>44287</v>
      </c>
      <c r="AG4" s="12">
        <v>44317</v>
      </c>
      <c r="AH4" s="12">
        <v>44348</v>
      </c>
      <c r="AI4" s="12">
        <v>44378</v>
      </c>
      <c r="AJ4" s="12">
        <v>44409</v>
      </c>
      <c r="AK4" s="12">
        <v>44440</v>
      </c>
      <c r="AL4" s="13"/>
      <c r="AM4" s="14"/>
      <c r="AN4" t="s" s="15">
        <v>3</v>
      </c>
    </row>
    <row r="5" ht="14.40" customHeight="true">
      <c r="B5" t="s" s="8">
        <v>4</v>
      </c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>
        <v>22</v>
      </c>
      <c r="AD5" s="17">
        <v>22</v>
      </c>
      <c r="AE5" s="17">
        <v>22</v>
      </c>
      <c r="AF5" s="17">
        <v>22</v>
      </c>
      <c r="AG5" s="17">
        <v>22</v>
      </c>
      <c r="AH5" s="17">
        <v>22</v>
      </c>
      <c r="AI5" s="17">
        <v>22</v>
      </c>
      <c r="AJ5" s="17">
        <v>22</v>
      </c>
      <c r="AK5" s="17">
        <v>22</v>
      </c>
      <c r="AL5" s="18"/>
      <c r="AM5" s="19"/>
      <c r="AN5" s="20"/>
    </row>
    <row r="6" ht="14.40" customHeight="true">
      <c r="B6" t="s" s="8">
        <v>5</v>
      </c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13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13"/>
      <c r="AM6" s="19"/>
      <c r="AN6" s="20"/>
    </row>
    <row r="7" ht="14.40" customHeight="true">
      <c r="B7" t="s" s="8">
        <v>6</v>
      </c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13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13"/>
      <c r="AM7" s="19"/>
      <c r="AN7" s="20"/>
    </row>
    <row r="8" ht="14.40" customHeight="true">
      <c r="B8" t="s" s="8">
        <v>7</v>
      </c>
      <c r="C8" s="2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2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19"/>
      <c r="AN8" s="20"/>
    </row>
    <row r="9" ht="14.40" customHeight="true">
      <c r="B9" t="s" s="8">
        <v>8</v>
      </c>
      <c r="C9" s="21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13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>
        <v>23</v>
      </c>
      <c r="AD9" s="22">
        <f>AC9</f>
        <v>23</v>
      </c>
      <c r="AE9" s="22">
        <f>AD9</f>
        <v>23</v>
      </c>
      <c r="AF9" s="22">
        <f>AE9</f>
        <v>23</v>
      </c>
      <c r="AG9" s="22">
        <f>AF9</f>
        <v>23</v>
      </c>
      <c r="AH9" s="22">
        <f>AG9</f>
        <v>23</v>
      </c>
      <c r="AI9" s="22">
        <f>AH9</f>
        <v>23</v>
      </c>
      <c r="AJ9" s="22">
        <f>AI9</f>
        <v>23</v>
      </c>
      <c r="AK9" s="22">
        <f>AJ9</f>
        <v>23</v>
      </c>
      <c r="AL9" s="13"/>
      <c r="AM9" s="19"/>
      <c r="AN9" s="20"/>
    </row>
    <row r="10" ht="14.40" customHeight="true">
      <c r="B10" t="s" s="8">
        <v>9</v>
      </c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13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13"/>
      <c r="AM10" s="19"/>
      <c r="AN10" s="20"/>
    </row>
    <row r="11" ht="14.40" customHeight="true">
      <c r="B11" t="s" s="8">
        <v>10</v>
      </c>
      <c r="C11" s="27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>
        <f>AC5+AC9</f>
        <v>45</v>
      </c>
      <c r="AD11" s="28">
        <f>AD5+AD9</f>
        <v>45</v>
      </c>
      <c r="AE11" s="28">
        <f>AE5+AE9</f>
        <v>45</v>
      </c>
      <c r="AF11" s="28">
        <f>AF5+AF9</f>
        <v>45</v>
      </c>
      <c r="AG11" s="28">
        <f>AG5+AG9</f>
        <v>45</v>
      </c>
      <c r="AH11" s="28">
        <f>AH5+AH9</f>
        <v>45</v>
      </c>
      <c r="AI11" s="28">
        <f>AI5+AI9</f>
        <v>45</v>
      </c>
      <c r="AJ11" s="28">
        <f>AJ5+AJ9</f>
        <v>45</v>
      </c>
      <c r="AK11" s="28">
        <f>AK5+AK9</f>
        <v>45</v>
      </c>
      <c r="AL11" s="29"/>
      <c r="AM11" s="30"/>
      <c r="AN11" s="31">
        <f>AN12/AN15</f>
        <v>45</v>
      </c>
    </row>
    <row r="12" ht="14.40" customHeight="true">
      <c r="B12" t="s" s="8">
        <v>11</v>
      </c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13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>
        <f>AC15*AC11</f>
        <v>89685</v>
      </c>
      <c r="AD12" s="22">
        <f>AD15*AD11</f>
        <v>108623.25</v>
      </c>
      <c r="AE12" s="22">
        <f>AE15*AE11</f>
        <v>132885</v>
      </c>
      <c r="AF12" s="22">
        <f>AF15*AF11</f>
        <v>135405</v>
      </c>
      <c r="AG12" s="22">
        <f>AG15*AG11</f>
        <v>121545</v>
      </c>
      <c r="AH12" s="22">
        <f>AH15*AH11</f>
        <v>133785</v>
      </c>
      <c r="AI12" s="22">
        <f>AI15*AI11</f>
        <v>110295</v>
      </c>
      <c r="AJ12" s="22">
        <f>AJ15*AJ11</f>
        <v>119115</v>
      </c>
      <c r="AK12" s="22">
        <f>AK15*AK11</f>
        <v>138330</v>
      </c>
      <c r="AL12" s="13"/>
      <c r="AM12" s="32"/>
      <c r="AN12" s="33">
        <f>SUM(AF12:AK12)</f>
        <v>758475</v>
      </c>
    </row>
    <row r="13" ht="14.40" customHeight="true">
      <c r="B13" t="s" s="8">
        <v>12</v>
      </c>
      <c r="C13" s="21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3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>
        <v>4</v>
      </c>
      <c r="AD13" s="22">
        <v>23</v>
      </c>
      <c r="AE13" s="22">
        <v>22</v>
      </c>
      <c r="AF13" s="22">
        <v>51</v>
      </c>
      <c r="AG13" s="22">
        <v>38</v>
      </c>
      <c r="AH13" s="22">
        <v>63</v>
      </c>
      <c r="AI13" s="22">
        <v>94</v>
      </c>
      <c r="AJ13" s="22">
        <v>121</v>
      </c>
      <c r="AK13" s="22">
        <v>32</v>
      </c>
      <c r="AL13" s="13"/>
      <c r="AM13" s="19"/>
      <c r="AN13" s="20"/>
    </row>
    <row r="14" ht="14.40" customHeight="true">
      <c r="B14" t="s" s="8">
        <v>13</v>
      </c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>AC13*AC9</f>
        <v>92</v>
      </c>
      <c r="AD14" s="35">
        <f>AD13*AD9</f>
        <v>529</v>
      </c>
      <c r="AE14" s="35">
        <f>AE13*AE9</f>
        <v>506</v>
      </c>
      <c r="AF14" s="35">
        <f>AF13*AF9</f>
        <v>1173</v>
      </c>
      <c r="AG14" s="35">
        <f>AG13*AG9</f>
        <v>874</v>
      </c>
      <c r="AH14" s="35">
        <f>AH13*AH9</f>
        <v>1449</v>
      </c>
      <c r="AI14" s="35">
        <f>AI13*AI9</f>
        <v>2162</v>
      </c>
      <c r="AJ14" s="35">
        <f>AJ13*AJ9</f>
        <v>2783</v>
      </c>
      <c r="AK14" s="35">
        <f>AK13*AK9</f>
        <v>736</v>
      </c>
      <c r="AL14" s="37"/>
      <c r="AM14" s="38"/>
      <c r="AN14" s="39"/>
    </row>
    <row r="15" ht="14.40" customHeight="true">
      <c r="B15" t="s" s="8">
        <v>14</v>
      </c>
      <c r="C15" s="40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36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>
        <v>1993</v>
      </c>
      <c r="AD15" s="41">
        <v>2413.85</v>
      </c>
      <c r="AE15" s="41">
        <v>2953</v>
      </c>
      <c r="AF15" s="41">
        <v>3009</v>
      </c>
      <c r="AG15" s="41">
        <v>2701</v>
      </c>
      <c r="AH15" s="41">
        <v>2973</v>
      </c>
      <c r="AI15" s="41">
        <v>2451</v>
      </c>
      <c r="AJ15" s="41">
        <v>2647</v>
      </c>
      <c r="AK15" s="41">
        <v>3074</v>
      </c>
      <c r="AL15" s="36"/>
      <c r="AM15" s="32"/>
      <c r="AN15" s="33">
        <f>SUM(AF15:AK15)</f>
        <v>16855</v>
      </c>
    </row>
    <row r="20" ht="13.80" customHeight="true">
      <c r="AC20" t="s" s="1">
        <v>15</v>
      </c>
    </row>
    <row r="22" ht="14.40" customHeight="true"/>
    <row r="23" ht="15.00" customHeight="true">
      <c r="B23" t="s" s="8">
        <v>1</v>
      </c>
      <c r="C23" s="9">
        <v>43466</v>
      </c>
      <c r="D23" s="10">
        <v>43497</v>
      </c>
      <c r="E23" s="10">
        <v>43525</v>
      </c>
      <c r="F23" s="10">
        <v>43556</v>
      </c>
      <c r="G23" s="10">
        <v>43586</v>
      </c>
      <c r="H23" s="10">
        <v>43617</v>
      </c>
      <c r="I23" s="10">
        <v>43647</v>
      </c>
      <c r="J23" s="10">
        <v>43678</v>
      </c>
      <c r="K23" s="10">
        <v>43709</v>
      </c>
      <c r="L23" s="10">
        <v>43739</v>
      </c>
      <c r="M23" s="10">
        <v>43770</v>
      </c>
      <c r="N23" s="10">
        <v>43800</v>
      </c>
      <c r="O23" t="s" s="10">
        <v>2</v>
      </c>
      <c r="P23" s="11"/>
      <c r="Q23" s="10">
        <v>43831</v>
      </c>
      <c r="R23" s="10">
        <v>43862</v>
      </c>
      <c r="S23" s="10">
        <v>43891</v>
      </c>
      <c r="T23" s="10">
        <v>43922</v>
      </c>
      <c r="U23" s="10">
        <v>43952</v>
      </c>
      <c r="V23" s="10">
        <v>43983</v>
      </c>
      <c r="W23" s="10">
        <v>44013</v>
      </c>
      <c r="X23" s="10">
        <v>44044</v>
      </c>
      <c r="Y23" s="10">
        <v>44075</v>
      </c>
      <c r="Z23" s="10">
        <v>44105</v>
      </c>
      <c r="AA23" s="10">
        <v>44136</v>
      </c>
      <c r="AB23" s="10">
        <v>44166</v>
      </c>
      <c r="AC23" s="12">
        <v>44197</v>
      </c>
      <c r="AD23" s="12">
        <v>44228</v>
      </c>
      <c r="AE23" s="12">
        <v>44256</v>
      </c>
      <c r="AF23" s="12">
        <v>44287</v>
      </c>
      <c r="AG23" s="12">
        <v>44317</v>
      </c>
      <c r="AH23" s="12">
        <v>44348</v>
      </c>
      <c r="AI23" s="12">
        <v>44378</v>
      </c>
      <c r="AJ23" s="12">
        <v>44409</v>
      </c>
      <c r="AK23" s="12">
        <v>44440</v>
      </c>
      <c r="AL23" s="12">
        <v>44470</v>
      </c>
      <c r="AM23" s="12">
        <v>44501</v>
      </c>
      <c r="AO23" t="s" s="15">
        <v>3</v>
      </c>
    </row>
    <row r="24" ht="14.40" customHeight="true">
      <c r="B24" t="s" s="8">
        <v>4</v>
      </c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>
        <v>22</v>
      </c>
      <c r="AD24" s="17">
        <v>22</v>
      </c>
      <c r="AE24" s="17">
        <v>22</v>
      </c>
      <c r="AF24" s="17">
        <v>22</v>
      </c>
      <c r="AG24" s="17">
        <v>22</v>
      </c>
      <c r="AH24" s="17">
        <v>22</v>
      </c>
      <c r="AI24" s="17">
        <v>22</v>
      </c>
      <c r="AJ24" s="17">
        <v>22</v>
      </c>
      <c r="AK24" s="17">
        <v>22</v>
      </c>
      <c r="AL24" s="17">
        <v>22</v>
      </c>
      <c r="AM24" s="17">
        <v>22</v>
      </c>
      <c r="AO24" s="20"/>
    </row>
    <row r="25" ht="14.40" customHeight="true">
      <c r="B25" t="s" s="8">
        <v>5</v>
      </c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13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O25" s="20"/>
    </row>
    <row r="26" ht="14.40" customHeight="true">
      <c r="B26" t="s" s="8">
        <v>6</v>
      </c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1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O26" s="20"/>
    </row>
    <row r="27" ht="14.40" customHeight="true">
      <c r="B27" t="s" s="8">
        <v>7</v>
      </c>
      <c r="C27" s="25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25"/>
      <c r="AO27" s="20"/>
    </row>
    <row r="28" ht="14.40" customHeight="true">
      <c r="B28" t="s" s="8">
        <v>8</v>
      </c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13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>
        <v>23</v>
      </c>
      <c r="AD28" s="22">
        <f>AC28</f>
        <v>23</v>
      </c>
      <c r="AE28" s="22">
        <f>AD28</f>
        <v>23</v>
      </c>
      <c r="AF28" s="22">
        <f>AE28</f>
        <v>23</v>
      </c>
      <c r="AG28" s="22">
        <f>AF28</f>
        <v>23</v>
      </c>
      <c r="AH28" s="22">
        <f>AG28</f>
        <v>23</v>
      </c>
      <c r="AI28" s="22">
        <f>AH28</f>
        <v>23</v>
      </c>
      <c r="AJ28" s="22">
        <f>AI28</f>
        <v>23</v>
      </c>
      <c r="AK28" s="22">
        <f>AJ28</f>
        <v>23</v>
      </c>
      <c r="AL28" s="22">
        <f>AK28</f>
        <v>23</v>
      </c>
      <c r="AM28" s="22">
        <f>AL28</f>
        <v>23</v>
      </c>
      <c r="AO28" s="20"/>
    </row>
    <row r="29" ht="14.40" customHeight="true">
      <c r="B29" t="s" s="8">
        <v>9</v>
      </c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3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O29" s="20"/>
    </row>
    <row r="30" ht="14.40" customHeight="true">
      <c r="B30" t="s" s="8">
        <v>10</v>
      </c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>
        <f>AC24+AC28</f>
        <v>45</v>
      </c>
      <c r="AD30" s="28">
        <f>AD24+AD28</f>
        <v>45</v>
      </c>
      <c r="AE30" s="28">
        <f>AE24+AE28</f>
        <v>45</v>
      </c>
      <c r="AF30" s="28">
        <f>AF24+AF28</f>
        <v>45</v>
      </c>
      <c r="AG30" s="28">
        <f>AG24+AG28</f>
        <v>45</v>
      </c>
      <c r="AH30" s="28">
        <f>AH24+AH28</f>
        <v>45</v>
      </c>
      <c r="AI30" s="28">
        <f>AI24+AI28</f>
        <v>45</v>
      </c>
      <c r="AJ30" s="28">
        <f>AJ24+AJ28</f>
        <v>45</v>
      </c>
      <c r="AK30" s="28">
        <f>AK24+AK28</f>
        <v>45</v>
      </c>
      <c r="AL30" s="28">
        <f>AL24+AL28</f>
        <v>45</v>
      </c>
      <c r="AM30" s="28">
        <f>AM24+AM28</f>
        <v>45</v>
      </c>
      <c r="AO30" s="31">
        <f>AO31/AO34</f>
        <v>45</v>
      </c>
    </row>
    <row r="31" ht="14.40" customHeight="true">
      <c r="B31" t="s" s="8">
        <v>11</v>
      </c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13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>
        <f>AC34*AC30</f>
        <v>89685</v>
      </c>
      <c r="AD31" s="22">
        <f>AD34*AD30</f>
        <v>108623.25</v>
      </c>
      <c r="AE31" s="22">
        <f>AE34*AE30</f>
        <v>132885</v>
      </c>
      <c r="AF31" s="22">
        <f>AF34*AF30</f>
        <v>135405</v>
      </c>
      <c r="AG31" s="22">
        <f>AG34*AG30</f>
        <v>121545</v>
      </c>
      <c r="AH31" s="22">
        <f>AH34*AH30</f>
        <v>133785</v>
      </c>
      <c r="AI31" s="22">
        <f>AI34*AI30</f>
        <v>110295</v>
      </c>
      <c r="AJ31" s="22">
        <f>AJ34*AJ30</f>
        <v>119115</v>
      </c>
      <c r="AK31" s="22">
        <f>AK34*AK30</f>
        <v>138330</v>
      </c>
      <c r="AL31" s="22">
        <f>AL34*AL30</f>
        <v>138330</v>
      </c>
      <c r="AM31" s="22">
        <f>AM34*AM30</f>
        <v>138330</v>
      </c>
      <c r="AO31" s="33">
        <f>SUM(AH31:AM31)</f>
        <v>778185</v>
      </c>
    </row>
    <row r="32" ht="14.40" customHeight="true">
      <c r="B32" t="s" s="8">
        <v>12</v>
      </c>
      <c r="C32" s="21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13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>
        <v>4</v>
      </c>
      <c r="AD32" s="22">
        <v>23</v>
      </c>
      <c r="AE32" s="22">
        <v>22</v>
      </c>
      <c r="AF32" s="22">
        <v>51</v>
      </c>
      <c r="AG32" s="22">
        <v>38</v>
      </c>
      <c r="AH32" s="22">
        <v>63</v>
      </c>
      <c r="AI32" s="22">
        <v>94</v>
      </c>
      <c r="AJ32" s="22">
        <v>121</v>
      </c>
      <c r="AK32" s="22">
        <v>32</v>
      </c>
      <c r="AL32" s="22">
        <v>32</v>
      </c>
      <c r="AM32" s="22">
        <v>32</v>
      </c>
      <c r="AO32" s="20"/>
    </row>
    <row r="33" ht="14.40" customHeight="true">
      <c r="B33" t="s" s="8">
        <v>13</v>
      </c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>AC32*AC28</f>
        <v>92</v>
      </c>
      <c r="AD33" s="35">
        <f>AD32*AD28</f>
        <v>529</v>
      </c>
      <c r="AE33" s="35">
        <f>AE32*AE28</f>
        <v>506</v>
      </c>
      <c r="AF33" s="35">
        <f>AF32*AF28</f>
        <v>1173</v>
      </c>
      <c r="AG33" s="35">
        <f>AG32*AG28</f>
        <v>874</v>
      </c>
      <c r="AH33" s="35">
        <f>AH32*AH28</f>
        <v>1449</v>
      </c>
      <c r="AI33" s="35">
        <f>AI32*AI28</f>
        <v>2162</v>
      </c>
      <c r="AJ33" s="35">
        <f>AJ32*AJ28</f>
        <v>2783</v>
      </c>
      <c r="AK33" s="35">
        <f>AK32*AK28</f>
        <v>736</v>
      </c>
      <c r="AL33" s="35">
        <f>AL32*AL28</f>
        <v>736</v>
      </c>
      <c r="AM33" s="35">
        <f>AM32*AM28</f>
        <v>736</v>
      </c>
      <c r="AO33" s="39"/>
    </row>
    <row r="34" ht="14.40" customHeight="true">
      <c r="B34" t="s" s="8">
        <v>14</v>
      </c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6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>
        <v>1993</v>
      </c>
      <c r="AD34" s="41">
        <v>2413.85</v>
      </c>
      <c r="AE34" s="41">
        <v>2953</v>
      </c>
      <c r="AF34" s="41">
        <v>3009</v>
      </c>
      <c r="AG34" s="41">
        <v>2701</v>
      </c>
      <c r="AH34" s="41">
        <v>2973</v>
      </c>
      <c r="AI34" s="41">
        <v>2451</v>
      </c>
      <c r="AJ34" s="41">
        <v>2647</v>
      </c>
      <c r="AK34" s="41">
        <v>3074</v>
      </c>
      <c r="AL34" s="41">
        <v>3074</v>
      </c>
      <c r="AM34" s="41">
        <v>3074</v>
      </c>
      <c r="AO34" s="33">
        <f>SUM(AH34:AM34)</f>
        <v>17293</v>
      </c>
    </row>
  </sheetData>
  <mergeCells count="2">
    <mergeCell ref="AC1:AK2"/>
    <mergeCell ref="AC20:AK22"/>
  </mergeCells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2026-05-31T17:20:01Z</dcterms:created>
  <dcterms:modified xsi:type="dcterms:W3CDTF">2026-05-31T17:20:01Z</dcterms:modified>
</cp:coreProperties>
</file>