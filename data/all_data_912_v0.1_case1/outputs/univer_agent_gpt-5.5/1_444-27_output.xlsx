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6196874-CD36-45B4-A9BF-5A4FFE68A2C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Import Data" sheetId="1" r:id="rId1"/>
    <sheet name="Extrac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/>
  <c r="H7" i="1"/>
  <c r="H6" i="1"/>
  <c r="H2" i="1"/>
  <c r="H8" i="1"/>
  <c r="H12" i="1"/>
  <c r="H13" i="1"/>
  <c r="H5" i="1"/>
  <c r="H4" i="1"/>
  <c r="H3" i="1"/>
  <c r="H10" i="1"/>
  <c r="H11" i="1"/>
  <c r="H5" i="2"/>
  <c r="H7" i="2"/>
  <c r="H8" i="2"/>
  <c r="H11" i="2"/>
  <c r="H9" i="2"/>
  <c r="H4" i="2"/>
  <c r="H10" i="2"/>
  <c r="H3" i="2"/>
  <c r="H2" i="2"/>
  <c r="H6" i="2"/>
</calcChain>
</file>

<file path=xl/sharedStrings.xml><?xml version="1.0" encoding="utf-8"?>
<sst xmlns="http://schemas.openxmlformats.org/spreadsheetml/2006/main" count="80" uniqueCount="36">
  <si>
    <t>Division</t>
  </si>
  <si>
    <t>Stock Number</t>
  </si>
  <si>
    <t>Item</t>
  </si>
  <si>
    <t>Stk Ref</t>
  </si>
  <si>
    <t>Invoiced Date</t>
  </si>
  <si>
    <t>Balance</t>
  </si>
  <si>
    <t>Supplier Reference</t>
  </si>
  <si>
    <t>Ageing</t>
  </si>
  <si>
    <t>BR1</t>
  </si>
  <si>
    <t>ZK1987</t>
  </si>
  <si>
    <t>62MTKGLA64</t>
  </si>
  <si>
    <t>JYT1987-2196</t>
  </si>
  <si>
    <t>BR2</t>
  </si>
  <si>
    <t>ZE6665</t>
  </si>
  <si>
    <t>62MRKALL54</t>
  </si>
  <si>
    <t>ZE6670</t>
  </si>
  <si>
    <t>62MRKALL55</t>
  </si>
  <si>
    <t>ZK2013</t>
  </si>
  <si>
    <t>62MTKGLL73</t>
  </si>
  <si>
    <t>JYT2013-2214</t>
  </si>
  <si>
    <t>ZE6691</t>
  </si>
  <si>
    <t>ZE6693</t>
  </si>
  <si>
    <t>ZK2016</t>
  </si>
  <si>
    <t>62MJ2PLY38</t>
  </si>
  <si>
    <t>JYT2016-2215</t>
  </si>
  <si>
    <t>ZE6698</t>
  </si>
  <si>
    <t>62MTKGLL72</t>
  </si>
  <si>
    <t>ZE6717</t>
  </si>
  <si>
    <t>ZE6721</t>
  </si>
  <si>
    <t>62ERK1LD35</t>
  </si>
  <si>
    <t>ZE6759</t>
  </si>
  <si>
    <t>62ERK1LE56</t>
  </si>
  <si>
    <t>XWQ1363-111</t>
  </si>
  <si>
    <t>ZE6781</t>
  </si>
  <si>
    <t>62MJ2PLT55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</si>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</sst>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#,##0.00"/>
    <numFmt numFmtId="2" formatCode="#,##0"/>
    <numFmt numFmtId="3" formatCode="General"/>
    <numFmt numFmtId="4" formatCode="YYYY-M-D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  <xf numFmtId="3" applyNumberFormat="1" fontId="1" applyFont="1" applyAlignment="1">
      <alignment/>
    </xf>
    <xf numFmtId="3" applyNumberFormat="1" fontId="1" applyFont="1" applyAlignment="1">
      <alignment horizontal="right"/>
    </xf>
    <xf numFmtId="4" applyNumberFormat="1" fontId="1" applyFont="1" applyAlignment="1">
      <alignment/>
    </xf>
  </cellStyleXfs>
  <cellXfs count="6">
    <xf numFmtId="0" fontId="0" fillId="0" borderId="0" xfId="0"/>
    <xf xfId="3" quotePrefix="0" pivotButton="0" numFmtId="3" applyNumberFormat="1" fontId="1" applyFont="1" applyAlignment="1">
      <alignment/>
    </xf>
    <xf xfId="4" quotePrefix="0" pivotButton="0" numFmtId="3" applyNumberFormat="1" fontId="1" applyFont="1" applyAlignment="1">
      <alignment horizontal="right"/>
    </xf>
    <xf xfId="5" quotePrefix="0" pivotButton="0" numFmtId="4" applyNumberFormat="1" fontId="1" applyFont="1" applyAlignment="1">
      <alignment/>
    </xf>
    <xf xfId="1" quotePrefix="0" pivotButton="0" numFmtId="1" applyNumberFormat="1" fontId="1" applyFont="1" applyAlignment="1">
      <alignment/>
    </xf>
    <xf xfId="2" quotePrefix="0" pivotButton="0" numFmtId="2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25" customHeight="1" defaultColWidth="8.83"/>
  <cols>
    <col min="1" max="1" width="34.34" customWidth="1" hidden="0"/>
    <col min="3" max="3" width="20.20" customWidth="1" hidden="0"/>
    <col min="4" max="4" width="15.94" customWidth="1" hidden="0"/>
    <col min="5" max="5" width="13.00" customWidth="1" hidden="0"/>
    <col min="6" max="6" width="13.49" customWidth="1" hidden="0"/>
    <col min="7" max="7" width="22.16" customWidth="1" hidden="0"/>
    <col min="9" max="9" width="16.52" customWidth="1" hidden="0"/>
  </cols>
  <sheetData>
    <row r="1" ht="14.25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2">
        <v>6</v>
      </c>
      <c r="H1" t="s" s="1">
        <v>7</v>
      </c>
    </row>
    <row r="2" ht="14.25" customHeight="true">
      <c r="A2" t="s" s="1">
        <v>8</v>
      </c>
      <c r="B2" t="s" s="1">
        <v>9</v>
      </c>
      <c r="D2" t="s" s="1">
        <v>10</v>
      </c>
      <c r="E2" s="3">
        <v>44095</v>
      </c>
      <c r="F2" s="4">
        <v>13859.48</v>
      </c>
      <c r="G2" t="s" s="2">
        <v>11</v>
      </c>
      <c r="H2" s="5">
        <f>NOW()-E2</f>
        <v>2078.74314814815</v>
      </c>
      <c r="J2" s="4"/>
    </row>
    <row r="3" ht="14.25" customHeight="true">
      <c r="A3" t="s" s="1">
        <v>12</v>
      </c>
      <c r="B3" t="s" s="1">
        <v>13</v>
      </c>
      <c r="D3" t="s" s="1">
        <v>14</v>
      </c>
      <c r="E3" s="3">
        <v>44134</v>
      </c>
      <c r="F3" s="4">
        <v>18445.8753333333</v>
      </c>
      <c r="G3" s="2">
        <v>2208</v>
      </c>
      <c r="H3" s="5">
        <f>NOW()-E3</f>
        <v>2039.74314814815</v>
      </c>
      <c r="J3" s="4"/>
    </row>
    <row r="4" ht="14.25" customHeight="true">
      <c r="A4" t="s" s="1">
        <v>12</v>
      </c>
      <c r="B4" t="s" s="1">
        <v>15</v>
      </c>
      <c r="D4" t="s" s="1">
        <v>16</v>
      </c>
      <c r="E4" s="3">
        <v>44134</v>
      </c>
      <c r="F4" s="4">
        <v>19089.2833333333</v>
      </c>
      <c r="G4" s="2">
        <v>2208</v>
      </c>
      <c r="H4" s="5">
        <f>NOW()-E4</f>
        <v>2039.74314814815</v>
      </c>
      <c r="J4" s="4"/>
    </row>
    <row r="5" ht="14.25" customHeight="true">
      <c r="A5" t="s" s="1">
        <v>8</v>
      </c>
      <c r="B5" t="s" s="1">
        <v>17</v>
      </c>
      <c r="D5" t="s" s="1">
        <v>18</v>
      </c>
      <c r="E5" s="3">
        <v>44135</v>
      </c>
      <c r="F5" s="4">
        <v>13647.782</v>
      </c>
      <c r="G5" t="s" s="2">
        <v>19</v>
      </c>
      <c r="H5" s="5">
        <f>NOW()-E5</f>
        <v>2038.74314814815</v>
      </c>
      <c r="J5" s="4"/>
    </row>
    <row r="6" ht="14.25" customHeight="true">
      <c r="A6" t="s" s="1">
        <v>12</v>
      </c>
      <c r="B6" t="s" s="1">
        <v>20</v>
      </c>
      <c r="D6" t="s" s="1">
        <v>16</v>
      </c>
      <c r="E6" s="3">
        <v>44145</v>
      </c>
      <c r="F6" s="4">
        <v>19089.2833333333</v>
      </c>
      <c r="G6" s="2">
        <v>2208</v>
      </c>
      <c r="H6" s="5">
        <f>NOW()-E6</f>
        <v>2028.74314814815</v>
      </c>
      <c r="J6" s="4"/>
    </row>
    <row r="7" ht="14.25" customHeight="true">
      <c r="A7" t="s" s="1">
        <v>12</v>
      </c>
      <c r="B7" t="s" s="1">
        <v>21</v>
      </c>
      <c r="D7" t="s" s="1">
        <v>16</v>
      </c>
      <c r="E7" s="3">
        <v>44145</v>
      </c>
      <c r="F7" s="4">
        <v>18445.8753333333</v>
      </c>
      <c r="G7" s="2">
        <v>2208</v>
      </c>
      <c r="H7" s="5">
        <f>NOW()-E7</f>
        <v>2028.74314814815</v>
      </c>
      <c r="J7" s="4"/>
    </row>
    <row r="8" ht="14.25" customHeight="true">
      <c r="A8" t="s" s="1">
        <v>8</v>
      </c>
      <c r="B8" t="s" s="1">
        <v>22</v>
      </c>
      <c r="D8" t="s" s="1">
        <v>23</v>
      </c>
      <c r="E8" s="3">
        <v>44145</v>
      </c>
      <c r="F8" s="4">
        <v>28415.9993333333</v>
      </c>
      <c r="G8" t="s" s="2">
        <v>24</v>
      </c>
      <c r="H8" s="5">
        <f>NOW()-E8</f>
        <v>2028.74314814815</v>
      </c>
      <c r="J8" s="4"/>
    </row>
    <row r="9" ht="14.25" customHeight="true">
      <c r="A9" t="s" s="1">
        <v>12</v>
      </c>
      <c r="B9" t="s" s="1">
        <v>25</v>
      </c>
      <c r="D9" t="s" s="1">
        <v>26</v>
      </c>
      <c r="E9" s="3">
        <v>44149</v>
      </c>
      <c r="F9" s="4">
        <v>15217.9753333333</v>
      </c>
      <c r="G9" s="2">
        <v>2214</v>
      </c>
      <c r="H9" s="5">
        <f>NOW()-E9</f>
        <v>2024.74314814815</v>
      </c>
      <c r="J9" s="4"/>
    </row>
    <row r="10" ht="14.25" customHeight="true">
      <c r="A10" t="s" s="1">
        <v>12</v>
      </c>
      <c r="B10" t="s" s="1">
        <v>27</v>
      </c>
      <c r="D10" t="s" s="1">
        <v>16</v>
      </c>
      <c r="E10" s="3">
        <v>44153</v>
      </c>
      <c r="F10" s="4">
        <v>18445.8753333333</v>
      </c>
      <c r="G10" s="2">
        <v>2218</v>
      </c>
      <c r="H10" s="5">
        <f>NOW()-E10</f>
        <v>2020.74314814815</v>
      </c>
      <c r="J10" s="4"/>
    </row>
    <row r="11" ht="14.25" customHeight="true">
      <c r="A11" t="s" s="1">
        <v>12</v>
      </c>
      <c r="B11" t="s" s="1">
        <v>28</v>
      </c>
      <c r="D11" t="s" s="1">
        <v>29</v>
      </c>
      <c r="E11" s="3">
        <v>44158</v>
      </c>
      <c r="F11" s="4">
        <v>23399.238</v>
      </c>
      <c r="G11" s="2">
        <v>2214</v>
      </c>
      <c r="H11" s="5">
        <f>NOW()-E11</f>
        <v>2015.74314814815</v>
      </c>
      <c r="J11" s="4"/>
    </row>
    <row r="12" ht="14.25" customHeight="true">
      <c r="A12" t="s" s="1">
        <v>12</v>
      </c>
      <c r="B12" t="s" s="1">
        <v>30</v>
      </c>
      <c r="D12" t="s" s="1">
        <v>31</v>
      </c>
      <c r="E12" s="3">
        <v>44176</v>
      </c>
      <c r="F12" s="4">
        <v>21964.23</v>
      </c>
      <c r="G12" t="s" s="2">
        <v>32</v>
      </c>
      <c r="H12" s="5">
        <f>NOW()-E12</f>
        <v>1997.74314814815</v>
      </c>
      <c r="J12" s="4"/>
    </row>
    <row r="13" ht="14.25" customHeight="true">
      <c r="A13" t="s" s="1">
        <v>12</v>
      </c>
      <c r="B13" t="s" s="1">
        <v>33</v>
      </c>
      <c r="D13" t="s" s="1">
        <v>34</v>
      </c>
      <c r="E13" s="3">
        <v>44183</v>
      </c>
      <c r="F13" s="4">
        <v>29300.1446666667</v>
      </c>
      <c r="G13" s="2">
        <v>2231</v>
      </c>
      <c r="H13" s="5">
        <f>NOW()-E13</f>
        <v>1990.74314814815</v>
      </c>
      <c r="J13" s="4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25" customHeight="1" defaultColWidth="8.83"/>
  <cols>
    <col min="1" max="1" width="58.71" customWidth="1" hidden="0"/>
    <col min="5" max="5" width="13.00" customWidth="1" hidden="0"/>
    <col min="6" max="6" width="16.44" customWidth="1" hidden="0"/>
  </cols>
  <sheetData>
    <row r="1" ht="14.25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2">
        <v>6</v>
      </c>
      <c r="H1" t="s" s="1">
        <v>7</v>
      </c>
      <c r="U1" t="s" s="1">
        <v>35</v>
      </c>
    </row>
    <row r="2" ht="14.25" customHeight="true">
      <c r="A2" t="s" s="1">
        <v>8</v>
      </c>
      <c r="B2" t="s" s="1">
        <v>9</v>
      </c>
      <c r="D2" t="s" s="1">
        <v>10</v>
      </c>
      <c r="E2" s="3">
        <v>44095</v>
      </c>
      <c r="F2" s="4">
        <v>13859.48</v>
      </c>
      <c r="G2" t="s" s="2">
        <v>11</v>
      </c>
      <c r="H2" s="5">
        <f>NOW()-E2</f>
        <v>2078.74314814815</v>
      </c>
      <c r="U2" s="1">
        <v>200000</v>
      </c>
    </row>
    <row r="3" ht="14.25" customHeight="true">
      <c r="A3" t="s" s="1">
        <v>12</v>
      </c>
      <c r="B3" t="s" s="1">
        <v>13</v>
      </c>
      <c r="D3" t="s" s="1">
        <v>14</v>
      </c>
      <c r="E3" s="3">
        <v>44134</v>
      </c>
      <c r="F3" s="4">
        <v>18445.8753333333</v>
      </c>
      <c r="G3" s="2">
        <v>2208</v>
      </c>
      <c r="H3" s="5">
        <f>NOW()-E3</f>
        <v>2039.74314814815</v>
      </c>
    </row>
    <row r="4" ht="14.25" customHeight="true">
      <c r="A4" t="s" s="1">
        <v>12</v>
      </c>
      <c r="B4" t="s" s="1">
        <v>15</v>
      </c>
      <c r="D4" t="s" s="1">
        <v>16</v>
      </c>
      <c r="E4" s="3">
        <v>44134</v>
      </c>
      <c r="F4" s="4">
        <v>19089.2833333333</v>
      </c>
      <c r="G4" s="2">
        <v>2208</v>
      </c>
      <c r="H4" s="5">
        <f>NOW()-E4</f>
        <v>2039.74314814815</v>
      </c>
    </row>
    <row r="5" ht="14.25" customHeight="true">
      <c r="A5" t="s" s="1">
        <v>8</v>
      </c>
      <c r="B5" t="s" s="1">
        <v>17</v>
      </c>
      <c r="D5" t="s" s="1">
        <v>18</v>
      </c>
      <c r="E5" s="3">
        <v>44135</v>
      </c>
      <c r="F5" s="4">
        <v>13647.782</v>
      </c>
      <c r="G5" t="s" s="2">
        <v>19</v>
      </c>
      <c r="H5" s="5">
        <f>NOW()-E5</f>
        <v>2038.74314814815</v>
      </c>
    </row>
    <row r="6" ht="14.25" customHeight="true">
      <c r="A6" t="s" s="1">
        <v>12</v>
      </c>
      <c r="B6" t="s" s="1">
        <v>20</v>
      </c>
      <c r="D6" t="s" s="1">
        <v>16</v>
      </c>
      <c r="E6" s="3">
        <v>44145</v>
      </c>
      <c r="F6" s="4">
        <v>19089.2833333333</v>
      </c>
      <c r="G6" s="2">
        <v>2208</v>
      </c>
      <c r="H6" s="5">
        <f>NOW()-E6</f>
        <v>2028.74314814815</v>
      </c>
    </row>
    <row r="7" ht="14.25" customHeight="true">
      <c r="D7" t="s" s="1">
        <v>16</v>
      </c>
      <c r="E7" s="3">
        <v>44145</v>
      </c>
      <c r="F7" s="4">
        <v>18445.8753333333</v>
      </c>
      <c r="G7" s="2">
        <v>2208</v>
      </c>
      <c r="H7" s="5">
        <f>NOW()-E7</f>
        <v>2028.74314814815</v>
      </c>
    </row>
    <row r="8" ht="14.25" customHeight="true">
      <c r="D8" t="s" s="1">
        <v>23</v>
      </c>
      <c r="E8" s="3">
        <v>44145</v>
      </c>
      <c r="F8" s="4">
        <v>28415.9993333333</v>
      </c>
      <c r="G8" t="s" s="2">
        <v>24</v>
      </c>
      <c r="H8" s="5">
        <f>NOW()-E8</f>
        <v>2028.74314814815</v>
      </c>
    </row>
    <row r="9" ht="14.25" customHeight="true">
      <c r="D9" t="s" s="1">
        <v>26</v>
      </c>
      <c r="E9" s="3">
        <v>44149</v>
      </c>
      <c r="F9" s="4">
        <v>15217.9753333333</v>
      </c>
      <c r="G9" s="2">
        <v>2214</v>
      </c>
      <c r="H9" s="5">
        <f>NOW()-E9</f>
        <v>2024.74314814815</v>
      </c>
    </row>
    <row r="10" ht="14.25" customHeight="true">
      <c r="D10" t="s" s="1">
        <v>16</v>
      </c>
      <c r="E10" s="3">
        <v>44153</v>
      </c>
      <c r="F10" s="4">
        <v>18445.8753333333</v>
      </c>
      <c r="G10" s="2">
        <v>2218</v>
      </c>
      <c r="H10" s="5">
        <f>NOW()-E10</f>
        <v>2020.74314814815</v>
      </c>
    </row>
    <row r="11" ht="14.25" customHeight="true">
      <c r="D11" t="s" s="1">
        <v>29</v>
      </c>
      <c r="E11" s="3">
        <v>44158</v>
      </c>
      <c r="F11" s="4">
        <v>23399.238</v>
      </c>
      <c r="G11" s="2">
        <v>2214</v>
      </c>
      <c r="H11" s="5">
        <f>NOW()-E11</f>
        <v>2015.74314814815</v>
      </c>
    </row>
    <row r="12" ht="14.25" customHeight="true">
      <c r="E12" s="3"/>
      <c r="F12" s="4"/>
      <c r="G12" s="2"/>
      <c r="H12" s="5"/>
    </row>
    <row r="13" ht="14.25" customHeight="true">
      <c r="E13" s="3"/>
      <c r="F13" s="4"/>
      <c r="G13" s="2"/>
      <c r="H13" s="5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Import Data</vt:lpstr>
      <vt:lpstr>Extract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2026-05-31T17:50:33Z</dcterms:created>
  <dcterms:modified xsi:type="dcterms:W3CDTF">2026-05-31T17:50:33Z</dcterms:modified>
</cp:coreProperties>
</file>