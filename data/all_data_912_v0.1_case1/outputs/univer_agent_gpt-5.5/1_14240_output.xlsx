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01C4999-BA48-4D26-902B-B05B31E078D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/>
  <c r="E37" i="1"/>
  <c r="F37" i="1"/>
  <c r="G37" i="1"/>
  <c r="J37" i="1"/>
  <c r="H37" i="1"/>
  <c r="K37" i="1"/>
  <c r="C37" i="1"/>
  <c r="D37" i="1"/>
  <c r="K39" i="1"/>
  <c r="C39" i="1"/>
  <c r="D39" i="1"/>
  <c r="G39" i="1"/>
  <c r="J39" i="1"/>
  <c r="F39" i="1"/>
  <c r="I39" i="1"/>
  <c r="H39" i="1"/>
  <c r="E39" i="1"/>
  <c r="H28" i="1"/>
  <c r="C28" i="1"/>
  <c r="J28" i="1"/>
  <c r="E28" i="1"/>
  <c r="F28" i="1"/>
  <c r="D28" i="1"/>
  <c r="G28" i="1"/>
  <c r="I28" i="1"/>
  <c r="K28" i="1"/>
  <c r="G31" i="1"/>
  <c r="E31" i="1"/>
  <c r="D31" i="1"/>
  <c r="F31" i="1"/>
  <c r="I31" i="1"/>
  <c r="H31" i="1"/>
  <c r="J31" i="1"/>
  <c r="K31" i="1"/>
  <c r="C31" i="1"/>
  <c r="C27" i="1"/>
  <c r="K27" i="1"/>
  <c r="D27" i="1"/>
  <c r="E27" i="1"/>
  <c r="H27" i="1"/>
  <c r="I27" i="1"/>
  <c r="F27" i="1"/>
  <c r="G27" i="1"/>
  <c r="J27" i="1"/>
  <c r="U1" i="1"/>
  <c r="G18" i="1"/>
  <c r="E18" i="1"/>
  <c r="C18" i="1"/>
  <c r="K18" i="1"/>
  <c r="I18" i="1"/>
  <c r="H18" i="1"/>
  <c r="D18" i="1"/>
  <c r="F18" i="1"/>
  <c r="J18" i="1"/>
  <c r="E25" i="1"/>
  <c r="J25" i="1"/>
  <c r="H25" i="1"/>
  <c r="G25" i="1"/>
  <c r="F25" i="1"/>
  <c r="I25" i="1"/>
  <c r="K25" i="1"/>
  <c r="D25" i="1"/>
  <c r="C25" i="1"/>
  <c r="H20" i="1"/>
  <c r="J20" i="1"/>
  <c r="K20" i="1"/>
  <c r="E20" i="1"/>
  <c r="C20" i="1"/>
  <c r="F20" i="1"/>
  <c r="G20" i="1"/>
  <c r="I20" i="1"/>
  <c r="D20" i="1"/>
  <c r="E23" i="1"/>
  <c r="F23" i="1"/>
  <c r="C23" i="1"/>
  <c r="I23" i="1"/>
  <c r="G23" i="1"/>
  <c r="H23" i="1"/>
  <c r="D23" i="1"/>
  <c r="K23" i="1"/>
  <c r="J23" i="1"/>
  <c r="K40" i="1"/>
  <c r="H40" i="1"/>
  <c r="G40" i="1"/>
  <c r="C40" i="1"/>
  <c r="E40" i="1"/>
  <c r="F40" i="1"/>
  <c r="J40" i="1"/>
  <c r="D40" i="1"/>
  <c r="I40" i="1"/>
  <c r="G36" i="1"/>
  <c r="K36" i="1"/>
  <c r="H36" i="1"/>
  <c r="C36" i="1"/>
  <c r="E36" i="1"/>
  <c r="F36" i="1"/>
  <c r="D36" i="1"/>
  <c r="J36" i="1"/>
  <c r="I36" i="1"/>
  <c r="I19" i="1"/>
  <c r="G19" i="1"/>
  <c r="E19" i="1"/>
  <c r="F19" i="1"/>
  <c r="D19" i="1"/>
  <c r="H19" i="1"/>
  <c r="C19" i="1"/>
  <c r="J19" i="1"/>
  <c r="K19" i="1"/>
  <c r="I17" i="1"/>
  <c r="G17" i="1"/>
  <c r="C17" i="1"/>
  <c r="F17" i="1"/>
  <c r="E17" i="1"/>
  <c r="H17" i="1"/>
  <c r="D17" i="1"/>
  <c r="J17" i="1"/>
  <c r="K17" i="1"/>
  <c r="E33" i="1"/>
  <c r="I33" i="1"/>
  <c r="C33" i="1"/>
  <c r="G33" i="1"/>
  <c r="K33" i="1"/>
  <c r="D33" i="1"/>
  <c r="H33" i="1"/>
  <c r="J33" i="1"/>
  <c r="F33" i="1"/>
  <c r="H14" i="1"/>
  <c r="F14" i="1"/>
  <c r="J14" i="1"/>
  <c r="I14" i="1"/>
  <c r="C14" i="1"/>
  <c r="K14" i="1"/>
  <c r="D14" i="1"/>
  <c r="E14" i="1"/>
  <c r="G14" i="1"/>
  <c r="E38" i="1"/>
  <c r="K38" i="1"/>
  <c r="G38" i="1"/>
  <c r="I38" i="1"/>
  <c r="H38" i="1"/>
  <c r="D38" i="1"/>
  <c r="J38" i="1"/>
  <c r="C38" i="1"/>
  <c r="F38" i="1"/>
  <c r="H21" i="1"/>
  <c r="K21" i="1"/>
  <c r="F21" i="1"/>
  <c r="I21" i="1"/>
  <c r="J21" i="1"/>
  <c r="E21" i="1"/>
  <c r="G21" i="1"/>
  <c r="C21" i="1"/>
  <c r="D21" i="1"/>
  <c r="I22" i="1"/>
  <c r="D22" i="1"/>
  <c r="C22" i="1"/>
  <c r="E22" i="1"/>
  <c r="F22" i="1"/>
  <c r="K22" i="1"/>
  <c r="H22" i="1"/>
  <c r="J22" i="1"/>
  <c r="G22" i="1"/>
  <c r="G26" i="1"/>
  <c r="K26" i="1"/>
  <c r="F26" i="1"/>
  <c r="J26" i="1"/>
  <c r="E26" i="1"/>
  <c r="I26" i="1"/>
  <c r="C26" i="1"/>
  <c r="H26" i="1"/>
  <c r="D26" i="1"/>
  <c r="E15" i="1"/>
  <c r="G15" i="1"/>
  <c r="F15" i="1"/>
  <c r="I15" i="1"/>
  <c r="J15" i="1"/>
  <c r="C15" i="1"/>
  <c r="K15" i="1"/>
  <c r="D15" i="1"/>
  <c r="H15" i="1"/>
  <c r="F24" i="1"/>
  <c r="K24" i="1"/>
  <c r="I24" i="1"/>
  <c r="C24" i="1"/>
  <c r="E24" i="1"/>
  <c r="J24" i="1"/>
  <c r="D24" i="1"/>
  <c r="G24" i="1"/>
  <c r="H24" i="1"/>
  <c r="J30" i="1"/>
  <c r="G30" i="1"/>
  <c r="I30" i="1"/>
  <c r="E30" i="1"/>
  <c r="C30" i="1"/>
  <c r="F30" i="1"/>
  <c r="H30" i="1"/>
  <c r="K30" i="1"/>
  <c r="D30" i="1"/>
  <c r="F16" i="1"/>
  <c r="E16" i="1"/>
  <c r="K16" i="1"/>
  <c r="C16" i="1"/>
  <c r="J16" i="1"/>
  <c r="D16" i="1"/>
  <c r="I16" i="1"/>
  <c r="H16" i="1"/>
  <c r="G16" i="1"/>
  <c r="C29" i="1"/>
  <c r="I29" i="1"/>
  <c r="J29" i="1"/>
  <c r="D29" i="1"/>
  <c r="E29" i="1"/>
  <c r="G29" i="1"/>
  <c r="H29" i="1"/>
  <c r="K29" i="1"/>
  <c r="F29" i="1"/>
  <c r="J11" i="1"/>
  <c r="H11" i="1"/>
  <c r="K11" i="1"/>
  <c r="E11" i="1"/>
  <c r="G11" i="1"/>
  <c r="I11" i="1"/>
  <c r="D11" i="1"/>
  <c r="F11" i="1"/>
  <c r="C11" i="1"/>
  <c r="J13" i="1"/>
  <c r="G13" i="1"/>
  <c r="K13" i="1"/>
  <c r="F13" i="1"/>
  <c r="H13" i="1"/>
  <c r="D13" i="1"/>
  <c r="I13" i="1"/>
  <c r="C13" i="1"/>
  <c r="E13" i="1"/>
  <c r="D34" i="1"/>
  <c r="F34" i="1"/>
  <c r="J34" i="1"/>
  <c r="E34" i="1"/>
  <c r="G34" i="1"/>
  <c r="H34" i="1"/>
  <c r="K34" i="1"/>
  <c r="I34" i="1"/>
  <c r="C34" i="1"/>
  <c r="J32" i="1"/>
  <c r="G32" i="1"/>
  <c r="D32" i="1"/>
  <c r="C32" i="1"/>
  <c r="F32" i="1"/>
  <c r="I32" i="1"/>
  <c r="K32" i="1"/>
  <c r="E32" i="1"/>
  <c r="H32" i="1"/>
  <c r="F35" i="1"/>
  <c r="G35" i="1"/>
  <c r="I35" i="1"/>
  <c r="C35" i="1"/>
  <c r="E35" i="1"/>
  <c r="K35" i="1"/>
  <c r="J35" i="1"/>
  <c r="D35" i="1"/>
  <c r="H35" i="1"/>
  <c r="F12" i="1"/>
  <c r="E12" i="1"/>
  <c r="D12" i="1"/>
  <c r="J12" i="1"/>
  <c r="K12" i="1"/>
  <c r="H12" i="1"/>
  <c r="G12" i="1"/>
  <c r="I12" i="1"/>
  <c r="C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<sst xmlns="http://schemas.openxmlformats.org/spreadsheetml/2006/main" count="465" uniqueCount="20">
  <si>
    <t>#NAME?</t>
  </si>
  <si>
    <t>00 To 35</t>
  </si>
  <si>
    <t>3M-25yrs</t>
  </si>
  <si>
    <t>26-40yrs</t>
  </si>
  <si>
    <t>41-45yrs</t>
  </si>
  <si>
    <t>46-55yrs</t>
  </si>
  <si>
    <t>56-60yrs</t>
  </si>
  <si>
    <t>61-65yrs</t>
  </si>
  <si>
    <t>66-70yrs</t>
  </si>
  <si>
    <t>71-75yrs</t>
  </si>
  <si>
    <t>76yrs And Above</t>
  </si>
  <si>
    <t>Category</t>
  </si>
  <si>
    <t>Members</t>
  </si>
  <si>
    <t>Sum Insured</t>
  </si>
  <si>
    <t>Individual</t>
  </si>
  <si>
    <t>2Adults</t>
  </si>
  <si>
    <t>2Adults+1Child</t>
  </si>
  <si>
    <t>2Adults+2Children</t>
  </si>
  <si>
    <t>2Adults+3Children</t>
  </si>
  <si>
    <t>2Adults+4Children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</si>
</sst>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"/>
  </numFmts>
  <fonts count="8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Arial"/>
      <sz val="9.00"/>
      <color rgb="FF000000"/>
      <family val="2"/>
    </font>
    <font>
      <name val="宋体"/>
      <sz val="9.00"/>
      <b/>
      <color rgb="FF7030A0"/>
      <family val="2"/>
    </font>
    <font>
      <name val="宋体"/>
      <sz val="9.00"/>
      <color rgb="FF000000"/>
      <family val="2"/>
    </font>
    <font>
      <name val="Calibri"/>
      <sz val="10.00"/>
      <color rgb="FF000000"/>
      <family val="2"/>
    </font>
    <font>
      <name val="Calibri"/>
      <sz val="10.00"/>
      <b/>
      <color rgb="FF000000"/>
      <family val="2"/>
    </font>
    <font>
      <name val="Arial"/>
      <sz val="9.00"/>
      <b/>
      <color rgb="FF7030A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fillId="2" applyFill="1" borderId="1" applyBorder="1" applyAlignment="1">
      <alignment horizontal="center"/>
    </xf>
    <xf numFmtId="1" applyNumberFormat="1" fontId="3" applyFont="1" borderId="1" applyBorder="1" applyAlignment="1">
      <alignment horizontal="left"/>
    </xf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3" applyFont="1" borderId="1" applyBorder="1" applyAlignment="1">
      <alignment horizontal="center"/>
    </xf>
    <xf numFmtId="1" applyNumberFormat="1" fontId="4" applyFont="1" borderId="1" applyBorder="1" applyAlignment="1">
      <alignment horizontal="center"/>
    </xf>
    <xf numFmtId="1" applyNumberFormat="1" fontId="5" applyFont="1" borderId="1" applyBorder="1" applyAlignment="1">
      <alignment vertical="center" horizontal="center"/>
    </xf>
    <xf numFmtId="1" applyNumberFormat="1" fontId="6" applyFont="1" borderId="1" applyBorder="1" applyAlignment="1">
      <alignment vertical="center" horizontal="center"/>
    </xf>
    <xf numFmtId="1" applyNumberFormat="1" fontId="1" applyFont="1" borderId="1" applyBorder="1" applyAlignment="1">
      <alignment horizontal="left"/>
    </xf>
    <xf numFmtId="2" applyNumberFormat="1" fontId="5" applyFont="1" applyAlignment="1">
      <alignment vertical="center" horizontal="center"/>
    </xf>
    <xf numFmtId="1" applyNumberFormat="1" fontId="2" applyFont="1" borderId="1" applyBorder="1" applyAlignment="1">
      <alignment horizontal="center"/>
    </xf>
    <xf numFmtId="1" applyNumberFormat="1" fontId="7" applyFont="1" borderId="1" applyBorder="1" applyAlignment="1">
      <alignment horizontal="center"/>
    </xf>
    <xf numFmtId="2" applyNumberFormat="1" fontId="5" applyFont="1" borderId="1" applyBorder="1" applyAlignment="1">
      <alignment vertical="center" horizontal="center"/>
    </xf>
  </cellStyleXfs>
  <cellXfs count="15">
    <xf numFmtId="0" fontId="0" fillId="0" borderId="0" xfId="0"/>
    <xf xfId="1" quotePrefix="0" pivotButton="0" numFmtId="1" applyNumberFormat="1" fontId="1" applyFont="1" fillId="2" applyFill="1" borderId="1" applyBorder="1" applyAlignment="1">
      <alignment/>
    </xf>
    <xf xfId="5" quotePrefix="0" pivotButton="0" numFmtId="1" applyNumberFormat="1" fontId="1" applyFont="1" applyAlignment="1">
      <alignment/>
    </xf>
    <xf xfId="6" quotePrefix="0" pivotButton="0" numFmtId="1" applyNumberFormat="1" fontId="3" applyFont="1" borderId="1" applyBorder="1" applyAlignment="1">
      <alignment horizontal="center"/>
    </xf>
    <xf xfId="3" quotePrefix="0" pivotButton="0" numFmtId="1" applyNumberFormat="1" fontId="3" applyFont="1" borderId="1" applyBorder="1" applyAlignment="1">
      <alignment horizontal="left"/>
    </xf>
    <xf xfId="9" quotePrefix="0" pivotButton="0" numFmtId="1" applyNumberFormat="1" fontId="6" applyFont="1" borderId="1" applyBorder="1" applyAlignment="1">
      <alignment vertical="center" horizontal="center"/>
    </xf>
    <xf xfId="7" quotePrefix="0" pivotButton="0" numFmtId="1" applyNumberFormat="1" fontId="4" applyFont="1" borderId="1" applyBorder="1" applyAlignment="1">
      <alignment horizontal="center"/>
    </xf>
    <xf xfId="13" quotePrefix="0" pivotButton="0" numFmtId="1" applyNumberFormat="1" fontId="7" applyFont="1" borderId="1" applyBorder="1" applyAlignment="1">
      <alignment horizontal="center"/>
    </xf>
    <xf xfId="14" quotePrefix="0" pivotButton="0" numFmtId="2" applyNumberFormat="1" fontId="5" applyFont="1" borderId="1" applyBorder="1" applyAlignment="1">
      <alignment vertical="center" horizontal="center"/>
    </xf>
    <xf xfId="4" quotePrefix="0" pivotButton="0" numFmtId="1" applyNumberFormat="1" fontId="1" applyFont="1" borderId="1" applyBorder="1" applyAlignment="1">
      <alignment/>
    </xf>
    <xf xfId="10" quotePrefix="0" pivotButton="0" numFmtId="1" applyNumberFormat="1" fontId="1" applyFont="1" borderId="1" applyBorder="1" applyAlignment="1">
      <alignment horizontal="left"/>
    </xf>
    <xf xfId="11" quotePrefix="0" pivotButton="0" numFmtId="2" applyNumberFormat="1" fontId="5" applyFont="1" applyAlignment="1">
      <alignment vertical="center" horizontal="center"/>
    </xf>
    <xf xfId="12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2" applyFont="1" fillId="2" applyFill="1" borderId="1" applyBorder="1" applyAlignment="1">
      <alignment horizontal="center"/>
    </xf>
    <xf xfId="8" quotePrefix="0" pivotButton="0" numFmtId="1" applyNumberFormat="1" fontId="5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18.59" customWidth="1" hidden="0"/>
    <col min="18" max="18" width="8.24" customWidth="1" hidden="0"/>
    <col min="19" max="19" width="10.79" customWidth="1" hidden="0"/>
  </cols>
  <sheetData>
    <row r="1" ht="14.00" customHeight="true">
      <c r="U1" cm="1" s="1" t="s">
        <f t="array" ref="U1">SUMPRODUCT(($A$4:$A$75=$S$4)*($B$4:$B$75=$U$3)*($C$3:$P$3=$T$4),$C$4:$P$75)</f>
        <v>0</v>
      </c>
    </row>
    <row r="3" ht="14.00" customHeight="true">
      <c r="A3" t="s" s="2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6</v>
      </c>
      <c r="H3" t="s" s="3">
        <v>7</v>
      </c>
      <c r="I3" t="s" s="3">
        <v>8</v>
      </c>
      <c r="J3" t="s" s="3">
        <v>9</v>
      </c>
      <c r="K3" t="s" s="4">
        <v>10</v>
      </c>
      <c r="L3" s="5"/>
      <c r="M3" s="5"/>
      <c r="R3" t="s" s="6">
        <v>11</v>
      </c>
      <c r="S3" t="s" s="6">
        <v>12</v>
      </c>
      <c r="T3" t="s" s="7">
        <v>13</v>
      </c>
    </row>
    <row r="4" ht="14.00" customHeight="true">
      <c r="A4" t="s" s="6">
        <v>14</v>
      </c>
      <c r="B4" s="6">
        <v>150000</v>
      </c>
      <c r="C4" s="6">
        <v>1882</v>
      </c>
      <c r="D4" s="6">
        <v>2532</v>
      </c>
      <c r="E4" s="6">
        <v>3272</v>
      </c>
      <c r="F4" s="6">
        <v>5028</v>
      </c>
      <c r="G4" s="6">
        <v>7696</v>
      </c>
      <c r="H4" s="6">
        <v>8849</v>
      </c>
      <c r="I4" s="6">
        <v>10176</v>
      </c>
      <c r="J4" s="6">
        <v>12211</v>
      </c>
      <c r="K4" s="6">
        <v>14654</v>
      </c>
      <c r="L4" s="8"/>
      <c r="M4" s="8"/>
      <c r="R4" t="s" s="9">
        <v>14</v>
      </c>
      <c r="S4" s="10">
        <v>150000</v>
      </c>
      <c r="T4" t="s" s="11">
        <v>2</v>
      </c>
      <c r="U4" s="1">
        <v>1882</v>
      </c>
    </row>
    <row r="5" ht="14.00" customHeight="true">
      <c r="A5" t="s" s="6">
        <v>14</v>
      </c>
      <c r="B5" s="6">
        <v>200000</v>
      </c>
      <c r="C5" s="6">
        <v>2338</v>
      </c>
      <c r="D5" s="6">
        <v>3283</v>
      </c>
      <c r="E5" s="6">
        <v>4309</v>
      </c>
      <c r="F5" s="6">
        <v>6703</v>
      </c>
      <c r="G5" s="6">
        <v>10260</v>
      </c>
      <c r="H5" s="6">
        <v>11800</v>
      </c>
      <c r="I5" s="6">
        <v>12980</v>
      </c>
      <c r="J5" s="6">
        <v>15576</v>
      </c>
      <c r="K5" s="6">
        <v>18692</v>
      </c>
      <c r="L5" s="8"/>
      <c r="M5" s="8"/>
      <c r="R5" t="s" s="9">
        <v>14</v>
      </c>
      <c r="S5" s="10">
        <v>150000</v>
      </c>
      <c r="T5" t="s" s="3">
        <v>3</v>
      </c>
      <c r="U5" s="1">
        <v>2532</v>
      </c>
    </row>
    <row r="6" ht="14.00" customHeight="true">
      <c r="A6" t="s" s="6">
        <v>14</v>
      </c>
      <c r="B6" s="6">
        <v>300000</v>
      </c>
      <c r="C6" s="6">
        <v>3306</v>
      </c>
      <c r="D6" s="6">
        <v>4430</v>
      </c>
      <c r="E6" s="6">
        <v>6065</v>
      </c>
      <c r="F6" s="6">
        <v>8380</v>
      </c>
      <c r="G6" s="6">
        <v>12826</v>
      </c>
      <c r="H6" s="6">
        <v>14749</v>
      </c>
      <c r="I6" s="6">
        <v>16224</v>
      </c>
      <c r="J6" s="6">
        <v>19469</v>
      </c>
      <c r="K6" s="6">
        <v>23363</v>
      </c>
      <c r="L6" s="8"/>
      <c r="M6" s="8"/>
      <c r="R6" t="s" s="9">
        <v>14</v>
      </c>
      <c r="S6" s="10">
        <v>150000</v>
      </c>
      <c r="T6" t="s" s="3">
        <v>4</v>
      </c>
      <c r="U6" s="1">
        <v>3272</v>
      </c>
    </row>
    <row r="7" ht="14.00" customHeight="true">
      <c r="A7" t="s" s="6">
        <v>14</v>
      </c>
      <c r="B7" s="6">
        <v>400000</v>
      </c>
      <c r="C7" s="6">
        <v>4332</v>
      </c>
      <c r="D7" s="6">
        <v>5130</v>
      </c>
      <c r="E7" s="6">
        <v>7820</v>
      </c>
      <c r="F7" s="6">
        <v>12499</v>
      </c>
      <c r="G7" s="6">
        <v>14999</v>
      </c>
      <c r="H7" s="6">
        <v>17249</v>
      </c>
      <c r="I7" s="6">
        <v>19836</v>
      </c>
      <c r="J7" s="6">
        <v>23803</v>
      </c>
      <c r="K7" s="6">
        <v>28564</v>
      </c>
      <c r="L7" s="8"/>
      <c r="M7" s="8"/>
      <c r="R7" t="s" s="9">
        <v>14</v>
      </c>
      <c r="S7" s="10">
        <v>150000</v>
      </c>
      <c r="T7" t="s" s="3">
        <v>5</v>
      </c>
      <c r="U7" s="1">
        <v>5028</v>
      </c>
    </row>
    <row r="8" ht="14.00" customHeight="true">
      <c r="A8" t="s" s="6">
        <v>14</v>
      </c>
      <c r="B8" s="6">
        <v>500000</v>
      </c>
      <c r="C8" s="6">
        <v>5244</v>
      </c>
      <c r="D8" s="6">
        <v>6156</v>
      </c>
      <c r="E8" s="6">
        <v>9576</v>
      </c>
      <c r="F8" s="6">
        <v>15236</v>
      </c>
      <c r="G8" s="6">
        <v>17879</v>
      </c>
      <c r="H8" s="6">
        <v>20561</v>
      </c>
      <c r="I8" s="6">
        <v>22733</v>
      </c>
      <c r="J8" s="6">
        <v>27280</v>
      </c>
      <c r="K8" s="6">
        <v>32736</v>
      </c>
      <c r="L8" s="8"/>
      <c r="M8" s="8"/>
      <c r="R8" t="s" s="9">
        <v>14</v>
      </c>
      <c r="S8" s="10">
        <v>150000</v>
      </c>
      <c r="T8" t="s" s="3">
        <v>6</v>
      </c>
      <c r="U8" s="1">
        <v>7696</v>
      </c>
    </row>
    <row r="9" ht="14.00" customHeight="true">
      <c r="A9" t="s" s="6">
        <v>14</v>
      </c>
      <c r="B9" s="6">
        <v>750000</v>
      </c>
      <c r="C9" s="6">
        <v>6688</v>
      </c>
      <c r="D9" s="6">
        <v>8945</v>
      </c>
      <c r="E9" s="6">
        <v>11683</v>
      </c>
      <c r="F9" s="6">
        <v>18588</v>
      </c>
      <c r="G9" s="6">
        <v>21812</v>
      </c>
      <c r="H9" s="6">
        <v>25084</v>
      </c>
      <c r="I9" s="6">
        <v>27593</v>
      </c>
      <c r="J9" s="6">
        <v>33112</v>
      </c>
      <c r="K9" s="6">
        <v>39734</v>
      </c>
      <c r="L9" s="8"/>
      <c r="M9" s="8"/>
      <c r="R9" t="s" s="9">
        <v>14</v>
      </c>
      <c r="S9" s="10">
        <v>150000</v>
      </c>
      <c r="T9" t="s" s="3">
        <v>7</v>
      </c>
      <c r="U9" s="1">
        <v>8849</v>
      </c>
    </row>
    <row r="10" ht="14.00" customHeight="true">
      <c r="A10" t="s" s="6">
        <v>14</v>
      </c>
      <c r="B10" s="6">
        <v>1000000</v>
      </c>
      <c r="C10" s="6">
        <v>8160</v>
      </c>
      <c r="D10" s="6">
        <v>10913</v>
      </c>
      <c r="E10" s="6">
        <v>14252</v>
      </c>
      <c r="F10" s="6">
        <v>23708</v>
      </c>
      <c r="G10" s="6">
        <v>27820</v>
      </c>
      <c r="H10" s="6">
        <v>31993</v>
      </c>
      <c r="I10" s="6">
        <v>35193</v>
      </c>
      <c r="J10" s="6">
        <v>42232</v>
      </c>
      <c r="K10" s="6">
        <v>50678</v>
      </c>
      <c r="L10" s="8"/>
      <c r="M10" s="8"/>
      <c r="R10" t="s" s="9">
        <v>14</v>
      </c>
      <c r="S10" s="10">
        <v>150000</v>
      </c>
      <c r="T10" t="s" s="3">
        <v>8</v>
      </c>
      <c r="U10" s="1">
        <v>10176</v>
      </c>
    </row>
    <row r="11" ht="14.00" customHeight="true">
      <c r="A11" t="s" s="12">
        <v>15</v>
      </c>
      <c r="B11" s="12">
        <v>200000</v>
      </c>
      <c r="C11" s="12" t="s">
        <f>+[1]BA!$AE$10</f>
        <v>0</v>
      </c>
      <c r="D11" s="12" t="s">
        <f>+[1]BA!$AE$11</f>
        <v>0</v>
      </c>
      <c r="E11" s="12" t="s">
        <f>+[1]BA!$AE$12</f>
        <v>0</v>
      </c>
      <c r="F11" s="12" t="s">
        <f>+[1]BA!$AE$13</f>
        <v>0</v>
      </c>
      <c r="G11" s="12" t="s">
        <f>+[1]BA!$AE$14</f>
        <v>0</v>
      </c>
      <c r="H11" s="12" t="s">
        <f>+[1]BA!$AE$15</f>
        <v>0</v>
      </c>
      <c r="I11" s="12" t="s">
        <f>+[1]BA!$AE$16</f>
        <v>0</v>
      </c>
      <c r="J11" s="12" t="s">
        <f>+[1]BA!$AE$17</f>
        <v>0</v>
      </c>
      <c r="K11" s="12" t="s">
        <f>+[1]BA!$AE$18</f>
        <v>0</v>
      </c>
      <c r="L11" s="8"/>
      <c r="M11" s="8"/>
      <c r="R11" t="s" s="9">
        <v>14</v>
      </c>
      <c r="S11" s="10">
        <v>150000</v>
      </c>
      <c r="T11" t="s" s="3">
        <v>9</v>
      </c>
      <c r="U11" s="1">
        <v>12211</v>
      </c>
    </row>
    <row r="12" ht="14.00" customHeight="true">
      <c r="A12" t="s" s="13">
        <v>15</v>
      </c>
      <c r="B12" s="12">
        <v>300000</v>
      </c>
      <c r="C12" s="12" t="s">
        <f>+[1]BA!$AE$19</f>
        <v>0</v>
      </c>
      <c r="D12" s="12" t="s">
        <f>+[1]BA!$AE$20</f>
        <v>0</v>
      </c>
      <c r="E12" s="12" t="s">
        <f>+[1]BA!$AE$21</f>
        <v>0</v>
      </c>
      <c r="F12" s="12" t="s">
        <f>+[1]BA!$AE$22</f>
        <v>0</v>
      </c>
      <c r="G12" s="12" t="s">
        <f>+[1]BA!$AE$23</f>
        <v>0</v>
      </c>
      <c r="H12" s="12" t="s">
        <f>+[1]BA!$AE$24</f>
        <v>0</v>
      </c>
      <c r="I12" s="12" t="s">
        <f>+[1]BA!$AE$25</f>
        <v>0</v>
      </c>
      <c r="J12" s="12" t="s">
        <f>+[1]BA!$AE$26</f>
        <v>0</v>
      </c>
      <c r="K12" s="12" t="s">
        <f>+[1]BA!$AE$27</f>
        <v>0</v>
      </c>
      <c r="L12" s="8"/>
      <c r="M12" s="8"/>
      <c r="R12" t="s" s="9">
        <v>14</v>
      </c>
      <c r="S12" s="10">
        <v>150000</v>
      </c>
      <c r="T12" t="s" s="4">
        <v>10</v>
      </c>
      <c r="U12" s="1">
        <v>14654</v>
      </c>
    </row>
    <row r="13" ht="14.00" customHeight="true">
      <c r="A13" t="s" s="12">
        <v>15</v>
      </c>
      <c r="B13" s="12">
        <v>400000</v>
      </c>
      <c r="C13" s="12" t="s">
        <f>+[1]BA!$AE$28</f>
        <v>0</v>
      </c>
      <c r="D13" s="12" t="s">
        <f>+[1]BA!$AE$29</f>
        <v>0</v>
      </c>
      <c r="E13" s="12" t="s">
        <f>+[1]BA!$AE$30</f>
        <v>0</v>
      </c>
      <c r="F13" s="12" t="s">
        <f>+[1]BA!$AE$31</f>
        <v>0</v>
      </c>
      <c r="G13" s="12" t="s">
        <f>+[1]BA!$AE$32</f>
        <v>0</v>
      </c>
      <c r="H13" s="12" t="s">
        <f>+[1]BA!$AE$33</f>
        <v>0</v>
      </c>
      <c r="I13" s="12" t="s">
        <f>+[1]BA!$AE$34</f>
        <v>0</v>
      </c>
      <c r="J13" s="12" t="s">
        <f>+[1]BA!$AE$35</f>
        <v>0</v>
      </c>
      <c r="K13" s="12" t="s">
        <f>+[1]BA!$AE$36</f>
        <v>0</v>
      </c>
      <c r="L13" s="8"/>
      <c r="M13" s="8"/>
      <c r="R13" t="s" s="9">
        <v>14</v>
      </c>
      <c r="S13" s="10">
        <v>200000</v>
      </c>
      <c r="T13" t="s" s="11">
        <v>2</v>
      </c>
      <c r="U13" s="1">
        <v>2338</v>
      </c>
    </row>
    <row r="14" ht="14.00" customHeight="true">
      <c r="A14" t="s" s="12">
        <v>15</v>
      </c>
      <c r="B14" s="12">
        <v>500000</v>
      </c>
      <c r="C14" s="12" t="s">
        <f>+[1]BA!$AE$37</f>
        <v>0</v>
      </c>
      <c r="D14" s="12" t="s">
        <f>+[1]BA!$AE$38</f>
        <v>0</v>
      </c>
      <c r="E14" s="12" t="s">
        <f>+[1]BA!$AE$39</f>
        <v>0</v>
      </c>
      <c r="F14" s="12" t="s">
        <f>+[1]BA!$AE$40</f>
        <v>0</v>
      </c>
      <c r="G14" s="12" t="s">
        <f>+[1]BA!$AE$41</f>
        <v>0</v>
      </c>
      <c r="H14" s="12" t="s">
        <f>+[1]BA!$AE$42</f>
        <v>0</v>
      </c>
      <c r="I14" s="12" t="s">
        <f>+[1]BA!$AE$43</f>
        <v>0</v>
      </c>
      <c r="J14" s="12" t="s">
        <f>+[1]BA!$AE$44</f>
        <v>0</v>
      </c>
      <c r="K14" s="12" t="s">
        <f>+[1]BA!$AE$45</f>
        <v>0</v>
      </c>
      <c r="L14" s="8"/>
      <c r="M14" s="8"/>
      <c r="R14" t="s" s="9">
        <v>14</v>
      </c>
      <c r="S14" s="10">
        <v>200000</v>
      </c>
      <c r="T14" t="s" s="3">
        <v>3</v>
      </c>
      <c r="U14" s="1">
        <v>3283</v>
      </c>
    </row>
    <row r="15" ht="14.00" customHeight="true">
      <c r="A15" t="s" s="12">
        <v>15</v>
      </c>
      <c r="B15" s="12">
        <v>750000</v>
      </c>
      <c r="C15" s="12" t="s">
        <f>+[1]BA!$AE$46</f>
        <v>0</v>
      </c>
      <c r="D15" s="12" t="s">
        <f>+[1]BA!$AE$47</f>
        <v>0</v>
      </c>
      <c r="E15" s="12" t="s">
        <f>+[1]BA!$AE$48</f>
        <v>0</v>
      </c>
      <c r="F15" s="12" t="s">
        <f>+[1]BA!$AE$49</f>
        <v>0</v>
      </c>
      <c r="G15" s="12" t="s">
        <f>+[1]BA!$AE$50</f>
        <v>0</v>
      </c>
      <c r="H15" s="12" t="s">
        <f>+[1]BA!$AE$51</f>
        <v>0</v>
      </c>
      <c r="I15" s="12" t="s">
        <f>+[1]BA!$AE$52</f>
        <v>0</v>
      </c>
      <c r="J15" s="12" t="s">
        <f>+[1]BA!$AE$53</f>
        <v>0</v>
      </c>
      <c r="K15" s="12" t="s">
        <f>+[1]BA!$AE$54</f>
        <v>0</v>
      </c>
      <c r="L15" s="8"/>
      <c r="M15" s="8"/>
      <c r="R15" t="s" s="9">
        <v>14</v>
      </c>
      <c r="S15" s="10">
        <v>200000</v>
      </c>
      <c r="T15" t="s" s="3">
        <v>4</v>
      </c>
      <c r="U15" s="1">
        <v>4309</v>
      </c>
    </row>
    <row r="16" ht="14.00" customHeight="true">
      <c r="A16" t="s" s="12">
        <v>15</v>
      </c>
      <c r="B16" s="12">
        <v>1000000</v>
      </c>
      <c r="C16" s="12" t="s">
        <f>+[1]BA!$AE$55</f>
        <v>0</v>
      </c>
      <c r="D16" s="12" t="s">
        <f>+[1]BA!$AE$56</f>
        <v>0</v>
      </c>
      <c r="E16" s="12" t="s">
        <f>+[1]BA!$AE$57</f>
        <v>0</v>
      </c>
      <c r="F16" s="12" t="s">
        <f>+[1]BA!$AE$58</f>
        <v>0</v>
      </c>
      <c r="G16" s="12" t="s">
        <f>+[1]BA!$AE$59</f>
        <v>0</v>
      </c>
      <c r="H16" s="12" t="s">
        <f>+[1]BA!$AE$60</f>
        <v>0</v>
      </c>
      <c r="I16" s="12" t="s">
        <f>+[1]BA!$AE$61</f>
        <v>0</v>
      </c>
      <c r="J16" s="12" t="s">
        <f>+[1]BA!$AE$62</f>
        <v>0</v>
      </c>
      <c r="K16" s="12" t="s">
        <f>+[1]BA!$AE$63</f>
        <v>0</v>
      </c>
      <c r="L16" s="8"/>
      <c r="M16" s="8"/>
      <c r="R16" t="s" s="9">
        <v>14</v>
      </c>
      <c r="S16" s="10">
        <v>200000</v>
      </c>
      <c r="T16" t="s" s="3">
        <v>5</v>
      </c>
      <c r="U16" s="1">
        <v>6703</v>
      </c>
    </row>
    <row r="17" ht="14.00" customHeight="true">
      <c r="A17" t="s" s="12">
        <v>16</v>
      </c>
      <c r="B17" s="12">
        <v>200000</v>
      </c>
      <c r="C17" s="12" t="s">
        <f>+[1]BA!$AF$10</f>
        <v>0</v>
      </c>
      <c r="D17" s="12" t="s">
        <f>+[1]BA!$AF$11</f>
        <v>0</v>
      </c>
      <c r="E17" s="12" t="s">
        <f>+[1]BA!$AF$12</f>
        <v>0</v>
      </c>
      <c r="F17" s="12" t="s">
        <f>+[1]BA!$AF$13</f>
        <v>0</v>
      </c>
      <c r="G17" s="12" t="s">
        <f>+[1]BA!$AF$14</f>
        <v>0</v>
      </c>
      <c r="H17" s="12" t="s">
        <f>+[1]BA!$AF$15</f>
        <v>0</v>
      </c>
      <c r="I17" s="12" t="s">
        <f>+[1]BA!$AF$16</f>
        <v>0</v>
      </c>
      <c r="J17" s="12" t="s">
        <f>+[1]BA!$AF$17</f>
        <v>0</v>
      </c>
      <c r="K17" s="12" t="s">
        <f>+[1]BA!$AF$18</f>
        <v>0</v>
      </c>
      <c r="L17" s="8"/>
      <c r="M17" s="8"/>
      <c r="R17" t="s" s="9">
        <v>14</v>
      </c>
      <c r="S17" s="10">
        <v>200000</v>
      </c>
      <c r="T17" t="s" s="3">
        <v>6</v>
      </c>
      <c r="U17" s="1">
        <v>10260</v>
      </c>
    </row>
    <row r="18" ht="14.00" customHeight="true">
      <c r="A18" t="s" s="12">
        <v>16</v>
      </c>
      <c r="B18" s="12">
        <v>300000</v>
      </c>
      <c r="C18" s="12" t="s">
        <f>+[1]BA!$AF$19</f>
        <v>0</v>
      </c>
      <c r="D18" s="12" t="s">
        <f>+[1]BA!$AF$20</f>
        <v>0</v>
      </c>
      <c r="E18" s="12" t="s">
        <f>+[1]BA!$AF$21</f>
        <v>0</v>
      </c>
      <c r="F18" s="12" t="s">
        <f>+[1]BA!$AF$22</f>
        <v>0</v>
      </c>
      <c r="G18" s="12" t="s">
        <f>+[1]BA!$AF$23</f>
        <v>0</v>
      </c>
      <c r="H18" s="12" t="s">
        <f>+[1]BA!$AF$24</f>
        <v>0</v>
      </c>
      <c r="I18" s="12" t="s">
        <f>+[1]BA!$AF$25</f>
        <v>0</v>
      </c>
      <c r="J18" s="12" t="s">
        <f>+[1]BA!$AF$26</f>
        <v>0</v>
      </c>
      <c r="K18" s="12" t="s">
        <f>+[1]BA!$AF$27</f>
        <v>0</v>
      </c>
      <c r="L18" s="8"/>
      <c r="M18" s="8"/>
      <c r="R18" t="s" s="9">
        <v>14</v>
      </c>
      <c r="S18" s="10">
        <v>200000</v>
      </c>
      <c r="T18" t="s" s="3">
        <v>7</v>
      </c>
      <c r="U18" s="1">
        <v>11800</v>
      </c>
    </row>
    <row r="19" ht="14.00" customHeight="true">
      <c r="A19" t="s" s="12">
        <v>16</v>
      </c>
      <c r="B19" s="12">
        <v>400000</v>
      </c>
      <c r="C19" s="12" t="s">
        <f>+[1]BA!$AF$28</f>
        <v>0</v>
      </c>
      <c r="D19" s="12" t="s">
        <f>+[1]BA!$AF$29</f>
        <v>0</v>
      </c>
      <c r="E19" s="12" t="s">
        <f>+[1]BA!$AF$30</f>
        <v>0</v>
      </c>
      <c r="F19" s="12" t="s">
        <f>+[1]BA!$AF$31</f>
        <v>0</v>
      </c>
      <c r="G19" s="12" t="s">
        <f>+[1]BA!$AF$32</f>
        <v>0</v>
      </c>
      <c r="H19" s="12" t="s">
        <f>+[1]BA!$AF$33</f>
        <v>0</v>
      </c>
      <c r="I19" s="12" t="s">
        <f>+[1]BA!$AF$34</f>
        <v>0</v>
      </c>
      <c r="J19" s="12" t="s">
        <f>+[1]BA!$AF$35</f>
        <v>0</v>
      </c>
      <c r="K19" s="12" t="s">
        <f>+[1]BA!$AF$36</f>
        <v>0</v>
      </c>
      <c r="L19" s="8"/>
      <c r="M19" s="8"/>
      <c r="R19" t="s" s="9">
        <v>14</v>
      </c>
      <c r="S19" s="10">
        <v>200000</v>
      </c>
      <c r="T19" t="s" s="3">
        <v>8</v>
      </c>
      <c r="U19" s="1">
        <v>12980</v>
      </c>
    </row>
    <row r="20" ht="14.00" customHeight="true">
      <c r="A20" t="s" s="12">
        <v>16</v>
      </c>
      <c r="B20" s="12">
        <v>500000</v>
      </c>
      <c r="C20" s="12" t="s">
        <f>+[1]BA!$AF$37</f>
        <v>0</v>
      </c>
      <c r="D20" s="12" t="s">
        <f>+[1]BA!$AF$38</f>
        <v>0</v>
      </c>
      <c r="E20" s="12" t="s">
        <f>+[1]BA!$AF$39</f>
        <v>0</v>
      </c>
      <c r="F20" s="12" t="s">
        <f>+[1]BA!$AF$40</f>
        <v>0</v>
      </c>
      <c r="G20" s="12" t="s">
        <f>+[1]BA!$AF$41</f>
        <v>0</v>
      </c>
      <c r="H20" s="12" t="s">
        <f>+[1]BA!$AF$42</f>
        <v>0</v>
      </c>
      <c r="I20" s="12" t="s">
        <f>+[1]BA!$AF$43</f>
        <v>0</v>
      </c>
      <c r="J20" s="12" t="s">
        <f>+[1]BA!$AF$44</f>
        <v>0</v>
      </c>
      <c r="K20" s="12" t="s">
        <f>+[1]BA!$AF$45</f>
        <v>0</v>
      </c>
      <c r="L20" s="8"/>
      <c r="M20" s="8"/>
      <c r="R20" t="s" s="9">
        <v>14</v>
      </c>
      <c r="S20" s="10">
        <v>200000</v>
      </c>
      <c r="T20" t="s" s="3">
        <v>9</v>
      </c>
      <c r="U20" s="1">
        <v>15576</v>
      </c>
    </row>
    <row r="21" ht="14.00" customHeight="true">
      <c r="A21" t="s" s="12">
        <v>16</v>
      </c>
      <c r="B21" s="12">
        <v>750000</v>
      </c>
      <c r="C21" s="12" t="s">
        <f>+[1]BA!$AF$46</f>
        <v>0</v>
      </c>
      <c r="D21" s="12" t="s">
        <f>+[1]BA!$AF$47</f>
        <v>0</v>
      </c>
      <c r="E21" s="12" t="s">
        <f>+[1]BA!$AF$48</f>
        <v>0</v>
      </c>
      <c r="F21" s="12" t="s">
        <f>+[1]BA!$AF$49</f>
        <v>0</v>
      </c>
      <c r="G21" s="12" t="s">
        <f>+[1]BA!$AF$50</f>
        <v>0</v>
      </c>
      <c r="H21" s="12" t="s">
        <f>+[1]BA!$AF$51</f>
        <v>0</v>
      </c>
      <c r="I21" s="12" t="s">
        <f>+[1]BA!$AF$52</f>
        <v>0</v>
      </c>
      <c r="J21" s="12" t="s">
        <f>+[1]BA!$AF$53</f>
        <v>0</v>
      </c>
      <c r="K21" s="12" t="s">
        <f>+[1]BA!$AF$54</f>
        <v>0</v>
      </c>
      <c r="L21" s="8"/>
      <c r="M21" s="8"/>
      <c r="R21" t="s" s="9">
        <v>14</v>
      </c>
      <c r="S21" s="10">
        <v>200000</v>
      </c>
      <c r="T21" t="s" s="4">
        <v>10</v>
      </c>
      <c r="U21" s="1">
        <v>18692</v>
      </c>
    </row>
    <row r="22" ht="14.00" customHeight="true">
      <c r="A22" t="s" s="12">
        <v>16</v>
      </c>
      <c r="B22" s="12">
        <v>1000000</v>
      </c>
      <c r="C22" s="12" t="s">
        <f>+[1]BA!$AF$55</f>
        <v>0</v>
      </c>
      <c r="D22" s="12" t="s">
        <f>+[1]BA!$AF$56</f>
        <v>0</v>
      </c>
      <c r="E22" s="12" t="s">
        <f>+[1]BA!$AF$57</f>
        <v>0</v>
      </c>
      <c r="F22" s="12" t="s">
        <f>+[1]BA!$AF$58</f>
        <v>0</v>
      </c>
      <c r="G22" s="12" t="s">
        <f>+[1]BA!$AF$59</f>
        <v>0</v>
      </c>
      <c r="H22" s="12" t="s">
        <f>+[1]BA!$AF$60</f>
        <v>0</v>
      </c>
      <c r="I22" s="12" t="s">
        <f>+[1]BA!$AF$61</f>
        <v>0</v>
      </c>
      <c r="J22" s="12" t="s">
        <f>+[1]BA!$AF$62</f>
        <v>0</v>
      </c>
      <c r="K22" s="12" t="s">
        <f>+[1]BA!$AF$63</f>
        <v>0</v>
      </c>
      <c r="L22" s="8"/>
      <c r="M22" s="8"/>
      <c r="R22" t="s" s="9">
        <v>14</v>
      </c>
      <c r="S22" s="10">
        <v>300000</v>
      </c>
      <c r="T22" t="s" s="11">
        <v>2</v>
      </c>
      <c r="U22" s="1">
        <v>3306</v>
      </c>
    </row>
    <row r="23" ht="14.00" customHeight="true">
      <c r="A23" t="s" s="12">
        <v>17</v>
      </c>
      <c r="B23" s="12">
        <v>200000</v>
      </c>
      <c r="C23" s="12" t="s">
        <f>+[1]BA!$AG$10</f>
        <v>0</v>
      </c>
      <c r="D23" s="12" t="s">
        <f>+[1]BA!$AG$11</f>
        <v>0</v>
      </c>
      <c r="E23" s="12" t="s">
        <f>+[1]BA!$AG$12</f>
        <v>0</v>
      </c>
      <c r="F23" s="12" t="s">
        <f>+[1]BA!$AG$13</f>
        <v>0</v>
      </c>
      <c r="G23" s="12" t="s">
        <f>+[1]BA!$AG$14</f>
        <v>0</v>
      </c>
      <c r="H23" s="12" t="s">
        <f>+[1]BA!$AG$15</f>
        <v>0</v>
      </c>
      <c r="I23" s="12" t="s">
        <f>+[1]BA!$AG$16</f>
        <v>0</v>
      </c>
      <c r="J23" s="12" t="s">
        <f>+[1]BA!$AG$17</f>
        <v>0</v>
      </c>
      <c r="K23" s="12" t="s">
        <f>+[1]BA!$AG$18</f>
        <v>0</v>
      </c>
      <c r="L23" s="8"/>
      <c r="M23" s="8"/>
      <c r="R23" t="s" s="9">
        <v>14</v>
      </c>
      <c r="S23" s="10">
        <v>300000</v>
      </c>
      <c r="T23" t="s" s="3">
        <v>3</v>
      </c>
      <c r="U23" s="1">
        <v>4430</v>
      </c>
    </row>
    <row r="24" ht="14.00" customHeight="true">
      <c r="A24" t="s" s="12">
        <v>17</v>
      </c>
      <c r="B24" s="12">
        <v>300000</v>
      </c>
      <c r="C24" s="12" t="s">
        <f>+[1]BA!$AG$19</f>
        <v>0</v>
      </c>
      <c r="D24" s="12" t="s">
        <f>+[1]BA!$AG$20</f>
        <v>0</v>
      </c>
      <c r="E24" s="12" t="s">
        <f>+[1]BA!$AG$21</f>
        <v>0</v>
      </c>
      <c r="F24" s="12" t="s">
        <f>+[1]BA!$AG$22</f>
        <v>0</v>
      </c>
      <c r="G24" s="12" t="s">
        <f>+[1]BA!$AG$23</f>
        <v>0</v>
      </c>
      <c r="H24" s="12" t="s">
        <f>+[1]BA!$AG$24</f>
        <v>0</v>
      </c>
      <c r="I24" s="12" t="s">
        <f>+[1]BA!$AG$25</f>
        <v>0</v>
      </c>
      <c r="J24" s="12" t="s">
        <f>+[1]BA!$AG$26</f>
        <v>0</v>
      </c>
      <c r="K24" s="12" t="s">
        <f>+[1]BA!$AG$27</f>
        <v>0</v>
      </c>
      <c r="L24" s="8"/>
      <c r="M24" s="8"/>
      <c r="R24" t="s" s="9">
        <v>14</v>
      </c>
      <c r="S24" s="10">
        <v>300000</v>
      </c>
      <c r="T24" t="s" s="3">
        <v>4</v>
      </c>
      <c r="U24" s="1">
        <v>6065</v>
      </c>
    </row>
    <row r="25" ht="14.00" customHeight="true">
      <c r="A25" t="s" s="12">
        <v>17</v>
      </c>
      <c r="B25" s="12">
        <v>400000</v>
      </c>
      <c r="C25" s="12" t="s">
        <f>+[1]BA!$AG$28</f>
        <v>0</v>
      </c>
      <c r="D25" s="12" t="s">
        <f>+[1]BA!$AG$29</f>
        <v>0</v>
      </c>
      <c r="E25" s="12" t="s">
        <f>+[1]BA!$AG$30</f>
        <v>0</v>
      </c>
      <c r="F25" s="12" t="s">
        <f>+[1]BA!$AG$31</f>
        <v>0</v>
      </c>
      <c r="G25" s="12" t="s">
        <f>+[1]BA!$AG$32</f>
        <v>0</v>
      </c>
      <c r="H25" s="12" t="s">
        <f>+[1]BA!$AG$33</f>
        <v>0</v>
      </c>
      <c r="I25" s="12" t="s">
        <f>+[1]BA!$AG$34</f>
        <v>0</v>
      </c>
      <c r="J25" s="12" t="s">
        <f>+[1]BA!$AG$35</f>
        <v>0</v>
      </c>
      <c r="K25" s="12" t="s">
        <f>+[1]BA!$AG$36</f>
        <v>0</v>
      </c>
      <c r="L25" s="8"/>
      <c r="M25" s="8"/>
      <c r="R25" t="s" s="9">
        <v>14</v>
      </c>
      <c r="S25" s="10">
        <v>300000</v>
      </c>
      <c r="T25" t="s" s="3">
        <v>5</v>
      </c>
      <c r="U25" s="1">
        <v>8380</v>
      </c>
    </row>
    <row r="26" ht="14.00" customHeight="true">
      <c r="A26" t="s" s="12">
        <v>17</v>
      </c>
      <c r="B26" s="12">
        <v>500000</v>
      </c>
      <c r="C26" s="12" t="s">
        <f>+[1]BA!$AG$37</f>
        <v>0</v>
      </c>
      <c r="D26" s="12" t="s">
        <f>+[1]BA!$AG$38</f>
        <v>0</v>
      </c>
      <c r="E26" s="12" t="s">
        <f>+[1]BA!$AG$39</f>
        <v>0</v>
      </c>
      <c r="F26" s="12" t="s">
        <f>+[1]BA!$AG$40</f>
        <v>0</v>
      </c>
      <c r="G26" s="12" t="s">
        <f>+[1]BA!$AG$41</f>
        <v>0</v>
      </c>
      <c r="H26" s="12" t="s">
        <f>+[1]BA!$AG$42</f>
        <v>0</v>
      </c>
      <c r="I26" s="12" t="s">
        <f>+[1]BA!$AG$43</f>
        <v>0</v>
      </c>
      <c r="J26" s="12" t="s">
        <f>+[1]BA!$AG$44</f>
        <v>0</v>
      </c>
      <c r="K26" s="12" t="s">
        <f>+[1]BA!$AG$45</f>
        <v>0</v>
      </c>
      <c r="L26" s="8"/>
      <c r="M26" s="8"/>
      <c r="R26" t="s" s="9">
        <v>14</v>
      </c>
      <c r="S26" s="10">
        <v>300000</v>
      </c>
      <c r="T26" t="s" s="3">
        <v>6</v>
      </c>
      <c r="U26" s="1">
        <v>12826</v>
      </c>
    </row>
    <row r="27" ht="14.00" customHeight="true">
      <c r="A27" t="s" s="12">
        <v>17</v>
      </c>
      <c r="B27" s="12">
        <v>750000</v>
      </c>
      <c r="C27" s="12" t="s">
        <f>+[1]BA!$AG$46</f>
        <v>0</v>
      </c>
      <c r="D27" s="12" t="s">
        <f>+[1]BA!$AG$47</f>
        <v>0</v>
      </c>
      <c r="E27" s="12" t="s">
        <f>+[1]BA!$AG$48</f>
        <v>0</v>
      </c>
      <c r="F27" s="12" t="s">
        <f>+[1]BA!$AG$49</f>
        <v>0</v>
      </c>
      <c r="G27" s="12" t="s">
        <f>+[1]BA!$AG$50</f>
        <v>0</v>
      </c>
      <c r="H27" s="12" t="s">
        <f>+[1]BA!$AG$51</f>
        <v>0</v>
      </c>
      <c r="I27" s="12" t="s">
        <f>+[1]BA!$AG$52</f>
        <v>0</v>
      </c>
      <c r="J27" s="12" t="s">
        <f>+[1]BA!$AG$53</f>
        <v>0</v>
      </c>
      <c r="K27" s="12" t="s">
        <f>+[1]BA!$AG$54</f>
        <v>0</v>
      </c>
      <c r="L27" s="8"/>
      <c r="M27" s="8"/>
      <c r="R27" t="s" s="9">
        <v>14</v>
      </c>
      <c r="S27" s="10">
        <v>300000</v>
      </c>
      <c r="T27" t="s" s="3">
        <v>7</v>
      </c>
      <c r="U27" s="1">
        <v>14749</v>
      </c>
    </row>
    <row r="28" ht="14.00" customHeight="true">
      <c r="A28" t="s" s="12">
        <v>17</v>
      </c>
      <c r="B28" s="12">
        <v>1000000</v>
      </c>
      <c r="C28" s="12" t="s">
        <f>+[1]BA!$AG$55</f>
        <v>0</v>
      </c>
      <c r="D28" s="12" t="s">
        <f>+[1]BA!$AG$56</f>
        <v>0</v>
      </c>
      <c r="E28" s="12" t="s">
        <f>+[1]BA!$AG$57</f>
        <v>0</v>
      </c>
      <c r="F28" s="12" t="s">
        <f>+[1]BA!$AG$58</f>
        <v>0</v>
      </c>
      <c r="G28" s="12" t="s">
        <f>+[1]BA!$AG$59</f>
        <v>0</v>
      </c>
      <c r="H28" s="12" t="s">
        <f>+[1]BA!$AG$60</f>
        <v>0</v>
      </c>
      <c r="I28" s="12" t="s">
        <f>+[1]BA!$AG$61</f>
        <v>0</v>
      </c>
      <c r="J28" s="12" t="s">
        <f>+[1]BA!$AG$62</f>
        <v>0</v>
      </c>
      <c r="K28" s="12" t="s">
        <f>+[1]BA!$AG$63</f>
        <v>0</v>
      </c>
      <c r="L28" s="8"/>
      <c r="M28" s="8"/>
      <c r="R28" t="s" s="9">
        <v>14</v>
      </c>
      <c r="S28" s="10">
        <v>300000</v>
      </c>
      <c r="T28" t="s" s="3">
        <v>8</v>
      </c>
      <c r="U28" s="1">
        <v>16224</v>
      </c>
    </row>
    <row r="29" ht="14.00" customHeight="true">
      <c r="A29" t="s" s="12">
        <v>18</v>
      </c>
      <c r="B29" s="12">
        <v>200000</v>
      </c>
      <c r="C29" s="12" t="s">
        <f>+[1]BA!$AH$10</f>
        <v>0</v>
      </c>
      <c r="D29" s="12" t="s">
        <f>+[1]BA!$AH$11</f>
        <v>0</v>
      </c>
      <c r="E29" s="12" t="s">
        <f>+[1]BA!$AH$12</f>
        <v>0</v>
      </c>
      <c r="F29" s="12" t="s">
        <f>+[1]BA!$AH$13</f>
        <v>0</v>
      </c>
      <c r="G29" s="12" t="s">
        <f>+[1]BA!$AH$14</f>
        <v>0</v>
      </c>
      <c r="H29" s="12" t="s">
        <f>+[1]BA!$AH$15</f>
        <v>0</v>
      </c>
      <c r="I29" s="12" t="s">
        <f>+[1]BA!$AH$16</f>
        <v>0</v>
      </c>
      <c r="J29" s="12" t="s">
        <f>+[1]BA!$AH$17</f>
        <v>0</v>
      </c>
      <c r="K29" s="12" t="s">
        <f>+[1]BA!$AH$18</f>
        <v>0</v>
      </c>
      <c r="L29" s="8"/>
      <c r="M29" s="8"/>
      <c r="R29" t="s" s="9">
        <v>14</v>
      </c>
      <c r="S29" s="10">
        <v>300000</v>
      </c>
      <c r="T29" t="s" s="3">
        <v>9</v>
      </c>
      <c r="U29" s="1">
        <v>19469</v>
      </c>
    </row>
    <row r="30" ht="14.00" customHeight="true">
      <c r="A30" t="s" s="12">
        <v>18</v>
      </c>
      <c r="B30" s="12">
        <v>300000</v>
      </c>
      <c r="C30" s="12" t="s">
        <f>+[1]BA!$AH$19</f>
        <v>0</v>
      </c>
      <c r="D30" s="12" t="s">
        <f>+[1]BA!$AH$20</f>
        <v>0</v>
      </c>
      <c r="E30" s="12" t="s">
        <f>+[1]BA!$AH$21</f>
        <v>0</v>
      </c>
      <c r="F30" s="12" t="s">
        <f>+[1]BA!$AH$22</f>
        <v>0</v>
      </c>
      <c r="G30" s="12" t="s">
        <f>+[1]BA!$AH$23</f>
        <v>0</v>
      </c>
      <c r="H30" s="12" t="s">
        <f>+[1]BA!$AH$24</f>
        <v>0</v>
      </c>
      <c r="I30" s="12" t="s">
        <f>+[1]BA!$AH$25</f>
        <v>0</v>
      </c>
      <c r="J30" s="12" t="s">
        <f>+[1]BA!$AH$26</f>
        <v>0</v>
      </c>
      <c r="K30" s="12" t="s">
        <f>+[1]BA!$AH$27</f>
        <v>0</v>
      </c>
      <c r="L30" s="8"/>
      <c r="M30" s="8"/>
      <c r="R30" t="s" s="9">
        <v>14</v>
      </c>
      <c r="S30" s="10">
        <v>300000</v>
      </c>
      <c r="T30" t="s" s="4">
        <v>10</v>
      </c>
      <c r="U30" s="1">
        <v>23363</v>
      </c>
    </row>
    <row r="31" ht="14.00" customHeight="true">
      <c r="A31" t="s" s="12">
        <v>18</v>
      </c>
      <c r="B31" s="12">
        <v>400000</v>
      </c>
      <c r="C31" s="12" t="s">
        <f>+[1]BA!$AH$28</f>
        <v>0</v>
      </c>
      <c r="D31" s="12" t="s">
        <f>+[1]BA!$AH$29</f>
        <v>0</v>
      </c>
      <c r="E31" s="12" t="s">
        <f>+[1]BA!$AH$30</f>
        <v>0</v>
      </c>
      <c r="F31" s="12" t="s">
        <f>+[1]BA!$AH$31</f>
        <v>0</v>
      </c>
      <c r="G31" s="12" t="s">
        <f>+[1]BA!$AH$32</f>
        <v>0</v>
      </c>
      <c r="H31" s="12" t="s">
        <f>+[1]BA!$AH$33</f>
        <v>0</v>
      </c>
      <c r="I31" s="12" t="s">
        <f>+[1]BA!$AH$34</f>
        <v>0</v>
      </c>
      <c r="J31" s="12" t="s">
        <f>+[1]BA!$AH$35</f>
        <v>0</v>
      </c>
      <c r="K31" s="12" t="s">
        <f>+[1]BA!$AH$36</f>
        <v>0</v>
      </c>
      <c r="L31" s="8"/>
      <c r="M31" s="8"/>
      <c r="R31" t="s" s="9">
        <v>14</v>
      </c>
      <c r="S31" s="10">
        <v>400000</v>
      </c>
      <c r="T31" t="s" s="11">
        <v>2</v>
      </c>
      <c r="U31" s="1">
        <v>4332</v>
      </c>
    </row>
    <row r="32" ht="14.00" customHeight="true">
      <c r="A32" t="s" s="12">
        <v>18</v>
      </c>
      <c r="B32" s="12">
        <v>500000</v>
      </c>
      <c r="C32" s="12" t="s">
        <f>+[1]BA!$AH$37</f>
        <v>0</v>
      </c>
      <c r="D32" s="12" t="s">
        <f>+[1]BA!$AH$38</f>
        <v>0</v>
      </c>
      <c r="E32" s="12" t="s">
        <f>+[1]BA!$AH$39</f>
        <v>0</v>
      </c>
      <c r="F32" s="12" t="s">
        <f>+[1]BA!$AH$40</f>
        <v>0</v>
      </c>
      <c r="G32" s="12" t="s">
        <f>+[1]BA!$AH$41</f>
        <v>0</v>
      </c>
      <c r="H32" s="12" t="s">
        <f>+[1]BA!$AH$42</f>
        <v>0</v>
      </c>
      <c r="I32" s="12" t="s">
        <f>+[1]BA!$AH$43</f>
        <v>0</v>
      </c>
      <c r="J32" s="12" t="s">
        <f>+[1]BA!$AH$44</f>
        <v>0</v>
      </c>
      <c r="K32" s="12" t="s">
        <f>+[1]BA!$AH$45</f>
        <v>0</v>
      </c>
      <c r="L32" s="8"/>
      <c r="M32" s="8"/>
      <c r="R32" t="s" s="9">
        <v>14</v>
      </c>
      <c r="S32" s="10">
        <v>400000</v>
      </c>
      <c r="T32" t="s" s="3">
        <v>3</v>
      </c>
      <c r="U32" s="1">
        <v>5130</v>
      </c>
    </row>
    <row r="33" ht="14.00" customHeight="true">
      <c r="A33" t="s" s="12">
        <v>18</v>
      </c>
      <c r="B33" s="12">
        <v>750000</v>
      </c>
      <c r="C33" s="12" t="s">
        <f>+[1]BA!$AH$46</f>
        <v>0</v>
      </c>
      <c r="D33" s="12" t="s">
        <f>+[1]BA!$AH$47</f>
        <v>0</v>
      </c>
      <c r="E33" s="12" t="s">
        <f>+[1]BA!$AH$48</f>
        <v>0</v>
      </c>
      <c r="F33" s="12" t="s">
        <f>+[1]BA!$AH$49</f>
        <v>0</v>
      </c>
      <c r="G33" s="12" t="s">
        <f>+[1]BA!$AH$50</f>
        <v>0</v>
      </c>
      <c r="H33" s="12" t="s">
        <f>+[1]BA!$AH$51</f>
        <v>0</v>
      </c>
      <c r="I33" s="12" t="s">
        <f>+[1]BA!$AH$52</f>
        <v>0</v>
      </c>
      <c r="J33" s="12" t="s">
        <f>+[1]BA!$AH$53</f>
        <v>0</v>
      </c>
      <c r="K33" s="12" t="s">
        <f>+[1]BA!$AH$54</f>
        <v>0</v>
      </c>
      <c r="L33" s="8"/>
      <c r="M33" s="8"/>
      <c r="R33" t="s" s="9">
        <v>14</v>
      </c>
      <c r="S33" s="10">
        <v>400000</v>
      </c>
      <c r="T33" t="s" s="3">
        <v>4</v>
      </c>
      <c r="U33" s="1">
        <v>7820</v>
      </c>
    </row>
    <row r="34" ht="14.00" customHeight="true">
      <c r="A34" t="s" s="12">
        <v>18</v>
      </c>
      <c r="B34" s="12">
        <v>1000000</v>
      </c>
      <c r="C34" s="12" t="s">
        <f>+[1]BA!$AH$55</f>
        <v>0</v>
      </c>
      <c r="D34" s="12" t="s">
        <f>+[1]BA!$AH$56</f>
        <v>0</v>
      </c>
      <c r="E34" s="12" t="s">
        <f>+[1]BA!$AH$57</f>
        <v>0</v>
      </c>
      <c r="F34" s="12" t="s">
        <f>+[1]BA!$AH$58</f>
        <v>0</v>
      </c>
      <c r="G34" s="12" t="s">
        <f>+[1]BA!$AH$59</f>
        <v>0</v>
      </c>
      <c r="H34" s="12" t="s">
        <f>+[1]BA!$AH$60</f>
        <v>0</v>
      </c>
      <c r="I34" s="12" t="s">
        <f>+[1]BA!$AH$61</f>
        <v>0</v>
      </c>
      <c r="J34" s="12" t="s">
        <f>+[1]BA!$AH$62</f>
        <v>0</v>
      </c>
      <c r="K34" s="12" t="s">
        <f>+[1]BA!$AH$63</f>
        <v>0</v>
      </c>
      <c r="L34" s="8"/>
      <c r="M34" s="8"/>
      <c r="R34" t="s" s="9">
        <v>14</v>
      </c>
      <c r="S34" s="10">
        <v>400000</v>
      </c>
      <c r="T34" t="s" s="3">
        <v>5</v>
      </c>
      <c r="U34" s="1">
        <v>12499</v>
      </c>
    </row>
    <row r="35" ht="14.00" customHeight="true">
      <c r="A35" t="s" s="12">
        <v>19</v>
      </c>
      <c r="B35" s="12">
        <v>200000</v>
      </c>
      <c r="C35" s="12" t="s">
        <f>+[1]BA!$AI$10</f>
        <v>0</v>
      </c>
      <c r="D35" s="12" t="s">
        <f>+[1]BA!$AI$11</f>
        <v>0</v>
      </c>
      <c r="E35" s="12" t="s">
        <f>+[1]BA!$AI$12</f>
        <v>0</v>
      </c>
      <c r="F35" s="12" t="s">
        <f>+[1]BA!$AI$13</f>
        <v>0</v>
      </c>
      <c r="G35" s="12" t="s">
        <f>+[1]BA!$AI$14</f>
        <v>0</v>
      </c>
      <c r="H35" s="12" t="s">
        <f>+[1]BA!$AI$15</f>
        <v>0</v>
      </c>
      <c r="I35" s="12" t="s">
        <f>+[1]BA!$AI$16</f>
        <v>0</v>
      </c>
      <c r="J35" s="12" t="s">
        <f>+[1]BA!$AI$17</f>
        <v>0</v>
      </c>
      <c r="K35" s="12" t="s">
        <f>+[1]BA!$AI$18</f>
        <v>0</v>
      </c>
      <c r="L35" s="8"/>
      <c r="M35" s="8"/>
      <c r="R35" t="s" s="9">
        <v>14</v>
      </c>
      <c r="S35" s="10">
        <v>400000</v>
      </c>
      <c r="T35" t="s" s="3">
        <v>6</v>
      </c>
      <c r="U35" s="1">
        <v>14999</v>
      </c>
    </row>
    <row r="36" ht="14.00" customHeight="true">
      <c r="A36" t="s" s="12">
        <v>19</v>
      </c>
      <c r="B36" s="12">
        <v>300000</v>
      </c>
      <c r="C36" s="12" t="s">
        <f>+[1]BA!$AI$19</f>
        <v>0</v>
      </c>
      <c r="D36" s="12" t="s">
        <f>+[1]BA!$AI$20</f>
        <v>0</v>
      </c>
      <c r="E36" s="12" t="s">
        <f>+[1]BA!$AI$21</f>
        <v>0</v>
      </c>
      <c r="F36" s="12" t="s">
        <f>+[1]BA!$AI$22</f>
        <v>0</v>
      </c>
      <c r="G36" s="12" t="s">
        <f>+[1]BA!$AI$23</f>
        <v>0</v>
      </c>
      <c r="H36" s="12" t="s">
        <f>+[1]BA!$AI$24</f>
        <v>0</v>
      </c>
      <c r="I36" s="12" t="s">
        <f>+[1]BA!$AI$25</f>
        <v>0</v>
      </c>
      <c r="J36" s="12" t="s">
        <f>+[1]BA!$AI$26</f>
        <v>0</v>
      </c>
      <c r="K36" s="12" t="s">
        <f>+[1]BA!$AI$27</f>
        <v>0</v>
      </c>
      <c r="L36" s="8"/>
      <c r="M36" s="8"/>
      <c r="R36" t="s" s="9">
        <v>14</v>
      </c>
      <c r="S36" s="10">
        <v>400000</v>
      </c>
      <c r="T36" t="s" s="3">
        <v>7</v>
      </c>
      <c r="U36" s="1">
        <v>17249</v>
      </c>
    </row>
    <row r="37" ht="14.00" customHeight="true">
      <c r="A37" t="s" s="12">
        <v>19</v>
      </c>
      <c r="B37" s="12">
        <v>400000</v>
      </c>
      <c r="C37" s="12" t="s">
        <f>+[1]BA!$AI$28</f>
        <v>0</v>
      </c>
      <c r="D37" s="12" t="s">
        <f>+[1]BA!$AI$29</f>
        <v>0</v>
      </c>
      <c r="E37" s="12" t="s">
        <f>+[1]BA!$AI$30</f>
        <v>0</v>
      </c>
      <c r="F37" s="12" t="s">
        <f>+[1]BA!$AI$31</f>
        <v>0</v>
      </c>
      <c r="G37" s="12" t="s">
        <f>+[1]BA!$AI$32</f>
        <v>0</v>
      </c>
      <c r="H37" s="12" t="s">
        <f>+[1]BA!$AI$33</f>
        <v>0</v>
      </c>
      <c r="I37" s="12" t="s">
        <f>+[1]BA!$AI$34</f>
        <v>0</v>
      </c>
      <c r="J37" s="12" t="s">
        <f>+[1]BA!$AI$35</f>
        <v>0</v>
      </c>
      <c r="K37" s="12" t="s">
        <f>+[1]BA!$AI$36</f>
        <v>0</v>
      </c>
      <c r="L37" s="8"/>
      <c r="M37" s="8"/>
      <c r="R37" t="s" s="9">
        <v>14</v>
      </c>
      <c r="S37" s="10">
        <v>400000</v>
      </c>
      <c r="T37" t="s" s="3">
        <v>8</v>
      </c>
      <c r="U37" s="1">
        <v>19836</v>
      </c>
    </row>
    <row r="38" ht="14.00" customHeight="true">
      <c r="A38" t="s" s="12">
        <v>19</v>
      </c>
      <c r="B38" s="12">
        <v>500000</v>
      </c>
      <c r="C38" s="12" t="s">
        <f>+[1]BA!$AI$37</f>
        <v>0</v>
      </c>
      <c r="D38" s="12" t="s">
        <f>+[1]BA!$AI$38</f>
        <v>0</v>
      </c>
      <c r="E38" s="12" t="s">
        <f>+[1]BA!$AI$39</f>
        <v>0</v>
      </c>
      <c r="F38" s="12" t="s">
        <f>+[1]BA!$AI$40</f>
        <v>0</v>
      </c>
      <c r="G38" s="12" t="s">
        <f>+[1]BA!$AI$41</f>
        <v>0</v>
      </c>
      <c r="H38" s="12" t="s">
        <f>+[1]BA!$AI$42</f>
        <v>0</v>
      </c>
      <c r="I38" s="12" t="s">
        <f>+[1]BA!$AI$43</f>
        <v>0</v>
      </c>
      <c r="J38" s="12" t="s">
        <f>+[1]BA!$AI$44</f>
        <v>0</v>
      </c>
      <c r="K38" s="12" t="s">
        <f>+[1]BA!$AI$45</f>
        <v>0</v>
      </c>
      <c r="L38" s="8"/>
      <c r="M38" s="8"/>
      <c r="R38" t="s" s="9">
        <v>14</v>
      </c>
      <c r="S38" s="10">
        <v>400000</v>
      </c>
      <c r="T38" t="s" s="3">
        <v>9</v>
      </c>
      <c r="U38" s="1">
        <v>23803</v>
      </c>
    </row>
    <row r="39" ht="14.00" customHeight="true">
      <c r="A39" t="s" s="12">
        <v>19</v>
      </c>
      <c r="B39" s="12">
        <v>750000</v>
      </c>
      <c r="C39" s="12" t="s">
        <f>+[1]BA!$AI$46</f>
        <v>0</v>
      </c>
      <c r="D39" s="12" t="s">
        <f>+[1]BA!$AI$47</f>
        <v>0</v>
      </c>
      <c r="E39" s="12" t="s">
        <f>+[1]BA!$AI$48</f>
        <v>0</v>
      </c>
      <c r="F39" s="12" t="s">
        <f>+[1]BA!$AI$49</f>
        <v>0</v>
      </c>
      <c r="G39" s="12" t="s">
        <f>+[1]BA!$AI$50</f>
        <v>0</v>
      </c>
      <c r="H39" s="12" t="s">
        <f>+[1]BA!$AI$51</f>
        <v>0</v>
      </c>
      <c r="I39" s="12" t="s">
        <f>+[1]BA!$AI$52</f>
        <v>0</v>
      </c>
      <c r="J39" s="12" t="s">
        <f>+[1]BA!$AI$53</f>
        <v>0</v>
      </c>
      <c r="K39" s="12" t="s">
        <f>+[1]BA!$AI$54</f>
        <v>0</v>
      </c>
      <c r="L39" s="8"/>
      <c r="M39" s="8"/>
      <c r="R39" t="s" s="9">
        <v>14</v>
      </c>
      <c r="S39" s="10">
        <v>400000</v>
      </c>
      <c r="T39" t="s" s="4">
        <v>10</v>
      </c>
      <c r="U39" s="1">
        <v>28564</v>
      </c>
    </row>
    <row r="40" ht="14.00" customHeight="true">
      <c r="A40" t="s" s="12">
        <v>19</v>
      </c>
      <c r="B40" s="12">
        <v>1000000</v>
      </c>
      <c r="C40" s="12" t="s">
        <f>+[1]BA!$AI$55</f>
        <v>0</v>
      </c>
      <c r="D40" s="12" t="s">
        <f>+[1]BA!$AI$56</f>
        <v>0</v>
      </c>
      <c r="E40" s="12" t="s">
        <f>+[1]BA!$AI$57</f>
        <v>0</v>
      </c>
      <c r="F40" s="12" t="s">
        <f>+[1]BA!$AI$58</f>
        <v>0</v>
      </c>
      <c r="G40" s="12" t="s">
        <f>+[1]BA!$AI$59</f>
        <v>0</v>
      </c>
      <c r="H40" s="12" t="s">
        <f>+[1]BA!$AI$60</f>
        <v>0</v>
      </c>
      <c r="I40" s="12" t="s">
        <f>+[1]BA!$AI$61</f>
        <v>0</v>
      </c>
      <c r="J40" s="12" t="s">
        <f>+[1]BA!$AI$62</f>
        <v>0</v>
      </c>
      <c r="K40" s="12" t="s">
        <f>+[1]BA!$AI$63</f>
        <v>0</v>
      </c>
      <c r="L40" s="8"/>
      <c r="M40" s="8"/>
      <c r="R40" t="s" s="9">
        <v>14</v>
      </c>
      <c r="S40" s="10">
        <v>500000</v>
      </c>
      <c r="T40" t="s" s="11">
        <v>2</v>
      </c>
      <c r="U40" s="1">
        <v>5244</v>
      </c>
    </row>
    <row r="41" ht="14.00" customHeight="true">
      <c r="A41" s="10"/>
      <c r="B41" s="1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R41" t="s" s="9">
        <v>14</v>
      </c>
      <c r="S41" s="10">
        <v>500000</v>
      </c>
      <c r="T41" t="s" s="3">
        <v>3</v>
      </c>
      <c r="U41" s="1">
        <v>6156</v>
      </c>
    </row>
    <row r="42" ht="14.00" customHeight="true">
      <c r="A42" s="10"/>
      <c r="B42" s="1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R42" t="s" s="9">
        <v>14</v>
      </c>
      <c r="S42" s="10">
        <v>500000</v>
      </c>
      <c r="T42" t="s" s="3">
        <v>4</v>
      </c>
      <c r="U42" s="1">
        <v>9576</v>
      </c>
    </row>
    <row r="43" ht="14.00" customHeight="true">
      <c r="A43" s="10"/>
      <c r="B43" s="14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R43" t="s" s="9">
        <v>14</v>
      </c>
      <c r="S43" s="10">
        <v>500000</v>
      </c>
      <c r="T43" t="s" s="3">
        <v>5</v>
      </c>
      <c r="U43" s="1">
        <v>15236</v>
      </c>
    </row>
    <row r="44" ht="14.00" customHeight="true">
      <c r="A44" s="10"/>
      <c r="B44" s="14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R44" t="s" s="9">
        <v>14</v>
      </c>
      <c r="S44" s="10">
        <v>500000</v>
      </c>
      <c r="T44" t="s" s="3">
        <v>6</v>
      </c>
      <c r="U44" s="1">
        <v>17879</v>
      </c>
    </row>
    <row r="45" ht="14.00" customHeight="true">
      <c r="A45" s="10"/>
      <c r="B45" s="14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R45" t="s" s="9">
        <v>14</v>
      </c>
      <c r="S45" s="10">
        <v>500000</v>
      </c>
      <c r="T45" t="s" s="3">
        <v>7</v>
      </c>
      <c r="U45" s="1">
        <v>20561</v>
      </c>
    </row>
    <row r="46" ht="14.00" customHeight="true">
      <c r="A46" s="10"/>
      <c r="B46" s="1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R46" t="s" s="9">
        <v>14</v>
      </c>
      <c r="S46" s="10">
        <v>500000</v>
      </c>
      <c r="T46" t="s" s="3">
        <v>8</v>
      </c>
      <c r="U46" s="1">
        <v>22733</v>
      </c>
    </row>
    <row r="47" ht="14.00" customHeight="true">
      <c r="A47" s="10"/>
      <c r="B47" s="14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R47" t="s" s="9">
        <v>14</v>
      </c>
      <c r="S47" s="10">
        <v>500000</v>
      </c>
      <c r="T47" t="s" s="3">
        <v>9</v>
      </c>
      <c r="U47" s="1">
        <v>27280</v>
      </c>
    </row>
    <row r="48" ht="14.00" customHeight="true">
      <c r="A48" s="10"/>
      <c r="B48" s="1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R48" t="s" s="9">
        <v>14</v>
      </c>
      <c r="S48" s="10">
        <v>500000</v>
      </c>
      <c r="T48" t="s" s="4">
        <v>10</v>
      </c>
      <c r="U48" s="1">
        <v>32736</v>
      </c>
    </row>
    <row r="49" ht="14.00" customHeight="true">
      <c r="A49" s="10"/>
      <c r="B49" s="14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R49" t="s" s="9">
        <v>14</v>
      </c>
      <c r="S49" s="10">
        <v>750000</v>
      </c>
      <c r="T49" t="s" s="11">
        <v>2</v>
      </c>
      <c r="U49" s="1">
        <v>6688</v>
      </c>
    </row>
    <row r="50" ht="14.00" customHeight="true">
      <c r="A50" s="10"/>
      <c r="B50" s="14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R50" t="s" s="9">
        <v>14</v>
      </c>
      <c r="S50" s="10">
        <v>750000</v>
      </c>
      <c r="T50" t="s" s="3">
        <v>3</v>
      </c>
      <c r="U50" s="1">
        <v>8945</v>
      </c>
    </row>
    <row r="51" ht="14.00" customHeight="true">
      <c r="A51" s="10"/>
      <c r="B51" s="14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R51" t="s" s="9">
        <v>14</v>
      </c>
      <c r="S51" s="10">
        <v>750000</v>
      </c>
      <c r="T51" t="s" s="3">
        <v>4</v>
      </c>
      <c r="U51" s="1">
        <v>11683</v>
      </c>
    </row>
    <row r="52" ht="14.00" customHeight="true">
      <c r="A52" s="10"/>
      <c r="B52" s="14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R52" t="s" s="9">
        <v>14</v>
      </c>
      <c r="S52" s="10">
        <v>750000</v>
      </c>
      <c r="T52" t="s" s="3">
        <v>5</v>
      </c>
      <c r="U52" s="1">
        <v>18588</v>
      </c>
    </row>
    <row r="53" ht="14.00" customHeight="true">
      <c r="A53" s="10"/>
      <c r="B53" s="14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R53" t="s" s="9">
        <v>14</v>
      </c>
      <c r="S53" s="10">
        <v>750000</v>
      </c>
      <c r="T53" t="s" s="3">
        <v>6</v>
      </c>
      <c r="U53" s="1">
        <v>21812</v>
      </c>
    </row>
    <row r="54" ht="14.00" customHeight="true">
      <c r="A54" s="10"/>
      <c r="B54" s="14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R54" t="s" s="9">
        <v>14</v>
      </c>
      <c r="S54" s="10">
        <v>750000</v>
      </c>
      <c r="T54" t="s" s="3">
        <v>7</v>
      </c>
      <c r="U54" s="1">
        <v>25084</v>
      </c>
    </row>
    <row r="55" ht="14.00" customHeight="true">
      <c r="A55" s="10"/>
      <c r="B55" s="14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R55" t="s" s="9">
        <v>14</v>
      </c>
      <c r="S55" s="10">
        <v>750000</v>
      </c>
      <c r="T55" t="s" s="3">
        <v>8</v>
      </c>
      <c r="U55" s="1">
        <v>27593</v>
      </c>
    </row>
    <row r="56" ht="14.00" customHeight="true">
      <c r="A56" s="10"/>
      <c r="B56" s="14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R56" t="s" s="9">
        <v>14</v>
      </c>
      <c r="S56" s="10">
        <v>750000</v>
      </c>
      <c r="T56" t="s" s="3">
        <v>9</v>
      </c>
      <c r="U56" s="1">
        <v>33112</v>
      </c>
    </row>
    <row r="57" ht="14.00" customHeight="true">
      <c r="A57" s="10"/>
      <c r="B57" s="14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R57" t="s" s="9">
        <v>14</v>
      </c>
      <c r="S57" s="10">
        <v>750000</v>
      </c>
      <c r="T57" t="s" s="4">
        <v>10</v>
      </c>
      <c r="U57" s="1">
        <v>39734</v>
      </c>
    </row>
    <row r="58" ht="14.00" customHeight="true">
      <c r="A58" s="10"/>
      <c r="B58" s="14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R58" t="s" s="9">
        <v>14</v>
      </c>
      <c r="S58" s="10">
        <v>1000000</v>
      </c>
      <c r="T58" t="s" s="11">
        <v>2</v>
      </c>
      <c r="U58" s="1">
        <v>8160</v>
      </c>
    </row>
    <row r="59" ht="14.00" customHeight="true">
      <c r="A59" s="10"/>
      <c r="B59" s="14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R59" t="s" s="9">
        <v>14</v>
      </c>
      <c r="S59" s="10">
        <v>1000000</v>
      </c>
      <c r="T59" t="s" s="3">
        <v>3</v>
      </c>
      <c r="U59" s="1">
        <v>10913</v>
      </c>
    </row>
    <row r="60" ht="14.00" customHeight="true">
      <c r="A60" s="10"/>
      <c r="B60" s="14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R60" t="s" s="9">
        <v>14</v>
      </c>
      <c r="S60" s="10">
        <v>1000000</v>
      </c>
      <c r="T60" t="s" s="3">
        <v>4</v>
      </c>
      <c r="U60" s="1">
        <v>14252</v>
      </c>
    </row>
    <row r="61" ht="14.00" customHeight="true">
      <c r="A61" s="10"/>
      <c r="B61" s="14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R61" t="s" s="9">
        <v>14</v>
      </c>
      <c r="S61" s="10">
        <v>1000000</v>
      </c>
      <c r="T61" t="s" s="3">
        <v>5</v>
      </c>
      <c r="U61" s="1">
        <v>23708</v>
      </c>
    </row>
    <row r="62" ht="14.00" customHeight="true">
      <c r="A62" s="10"/>
      <c r="B62" s="14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R62" t="s" s="9">
        <v>14</v>
      </c>
      <c r="S62" s="10">
        <v>1000000</v>
      </c>
      <c r="T62" t="s" s="3">
        <v>6</v>
      </c>
      <c r="U62" s="1">
        <v>27820</v>
      </c>
    </row>
    <row r="63" ht="14.00" customHeight="true">
      <c r="A63" s="10"/>
      <c r="B63" s="14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R63" t="s" s="9">
        <v>14</v>
      </c>
      <c r="S63" s="10">
        <v>1000000</v>
      </c>
      <c r="T63" t="s" s="3">
        <v>7</v>
      </c>
      <c r="U63" s="1">
        <v>31993</v>
      </c>
    </row>
    <row r="64" ht="14.00" customHeight="true">
      <c r="A64" s="10"/>
      <c r="B64" s="14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R64" t="s" s="9">
        <v>14</v>
      </c>
      <c r="S64" s="10">
        <v>1000000</v>
      </c>
      <c r="T64" t="s" s="3">
        <v>8</v>
      </c>
      <c r="U64" s="1">
        <v>35193</v>
      </c>
    </row>
    <row r="65" ht="14.00" customHeight="true">
      <c r="A65" s="10"/>
      <c r="B65" s="14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R65" t="s" s="9">
        <v>14</v>
      </c>
      <c r="S65" s="10">
        <v>1000000</v>
      </c>
      <c r="T65" t="s" s="3">
        <v>9</v>
      </c>
      <c r="U65" s="1">
        <v>42232</v>
      </c>
    </row>
    <row r="66" ht="14.00" customHeight="true">
      <c r="A66" s="10"/>
      <c r="B66" s="14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R66" t="s" s="9">
        <v>14</v>
      </c>
      <c r="S66" s="10">
        <v>1000000</v>
      </c>
      <c r="T66" t="s" s="4">
        <v>10</v>
      </c>
      <c r="U66" s="1">
        <v>50678</v>
      </c>
    </row>
    <row r="67" ht="14.00" customHeight="true">
      <c r="A67" s="10"/>
      <c r="B67" s="14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R67" t="s" s="9">
        <v>14</v>
      </c>
      <c r="S67" s="10">
        <v>400000</v>
      </c>
      <c r="T67" t="s" s="11">
        <v>2</v>
      </c>
      <c r="U67" s="1">
        <v>4332</v>
      </c>
    </row>
    <row r="68" ht="14.00" customHeight="true">
      <c r="A68" s="10"/>
      <c r="B68" s="14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R68" t="s" s="9">
        <v>14</v>
      </c>
      <c r="S68" s="10">
        <v>400000</v>
      </c>
      <c r="T68" t="s" s="3">
        <v>3</v>
      </c>
      <c r="U68" s="1">
        <v>5130</v>
      </c>
    </row>
    <row r="69" ht="14.00" customHeight="true">
      <c r="A69" s="10"/>
      <c r="B69" s="14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R69" t="s" s="9">
        <v>14</v>
      </c>
      <c r="S69" s="10">
        <v>400000</v>
      </c>
      <c r="T69" t="s" s="3">
        <v>4</v>
      </c>
      <c r="U69" s="1">
        <v>7820</v>
      </c>
    </row>
    <row r="70" ht="14.00" customHeight="true">
      <c r="A70" s="10"/>
      <c r="B70" s="14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R70" t="s" s="9">
        <v>14</v>
      </c>
      <c r="S70" s="10">
        <v>400000</v>
      </c>
      <c r="T70" t="s" s="3">
        <v>5</v>
      </c>
      <c r="U70" s="1">
        <v>12499</v>
      </c>
    </row>
    <row r="71" ht="14.00" customHeight="true">
      <c r="A71" s="10"/>
      <c r="B71" s="14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R71" t="s" s="9">
        <v>14</v>
      </c>
      <c r="S71" s="10">
        <v>400000</v>
      </c>
      <c r="T71" t="s" s="3">
        <v>6</v>
      </c>
      <c r="U71" s="1">
        <v>14999</v>
      </c>
    </row>
    <row r="72" ht="14.00" customHeight="true">
      <c r="A72" s="10"/>
      <c r="B72" s="14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R72" t="s" s="9">
        <v>14</v>
      </c>
      <c r="S72" s="10">
        <v>400000</v>
      </c>
      <c r="T72" t="s" s="3">
        <v>7</v>
      </c>
      <c r="U72" s="1">
        <v>17249</v>
      </c>
    </row>
    <row r="73" ht="14.00" customHeight="true">
      <c r="A73" s="10"/>
      <c r="B73" s="1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R73" t="s" s="9">
        <v>14</v>
      </c>
      <c r="S73" s="10">
        <v>400000</v>
      </c>
      <c r="T73" t="s" s="3">
        <v>8</v>
      </c>
      <c r="U73" s="1">
        <v>19836</v>
      </c>
    </row>
    <row r="74" ht="14.00" customHeight="true">
      <c r="A74" s="10"/>
      <c r="B74" s="1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R74" t="s" s="9">
        <v>14</v>
      </c>
      <c r="S74" s="10">
        <v>400000</v>
      </c>
      <c r="T74" t="s" s="3">
        <v>9</v>
      </c>
      <c r="U74" s="1">
        <v>23803</v>
      </c>
    </row>
    <row r="75" ht="14.00" customHeight="true">
      <c r="A75" s="10"/>
      <c r="B75" s="14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R75" t="s" s="9">
        <v>14</v>
      </c>
      <c r="S75" s="10">
        <v>400000</v>
      </c>
      <c r="T75" t="s" s="4">
        <v>10</v>
      </c>
      <c r="U75" s="1">
        <v>28564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2026-05-31T21:47:47Z</dcterms:created>
  <dcterms:modified xsi:type="dcterms:W3CDTF">2026-05-31T21:47:47Z</dcterms:modified>
</cp:coreProperties>
</file>