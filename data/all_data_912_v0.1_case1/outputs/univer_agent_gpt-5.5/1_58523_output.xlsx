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232537E-F09D-4CDF-9005-189F370254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ample" sheetId="1" r:id="rId1"/>
  </sheets>
  <definedNames>
    <definedName name="vertex42_copyright" hidden="true">"© 2006-2018 Vertex42 LLC"</definedName>
    <definedName name="vertex42_id" hidden="true">"gantt-chart_L.xlsx"</definedName>
    <definedName name="vertex42_title" hidden="true">"Gantt Chart Template"</definedName>
    <definedName name="_xlnm._FilterDatabase" localSheetId="0" hidden="true">Sample!$A$2:$J$2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/>
  <c r="N2" i="1"/>
  <c r="P2" i="1"/>
  <c r="S2" i="1"/>
  <c r="M2" i="1"/>
  <c r="T2" i="1"/>
  <c r="O2" i="1"/>
  <c r="V2" i="1"/>
  <c r="R2" i="1"/>
  <c r="U2" i="1"/>
  <c r="L2" i="1"/>
  <c r="E3" i="1"/>
  <c r="I3" i="1"/>
  <c r="J3" i="1"/>
  <c r="P3" i="1"/>
  <c r="T3" i="1"/>
  <c r="U3" i="1"/>
  <c r="K3" i="1"/>
  <c r="Q3" i="1"/>
  <c r="N3" i="1"/>
  <c r="G3" i="1"/>
  <c r="S3" i="1"/>
  <c r="M3" i="1"/>
  <c r="R3" i="1"/>
  <c r="H3" i="1"/>
  <c r="O3" i="1"/>
  <c r="V3" i="1"/>
  <c r="L3" i="1"/>
  <c r="M1" i="1"/>
  <c r="R1" i="1"/>
  <c r="V1" i="1"/>
  <c r="U1" i="1"/>
  <c r="Q1" i="1"/>
  <c r="K1" i="1"/>
  <c r="S1" i="1"/>
  <c r="P1" i="1"/>
  <c r="O1" i="1"/>
  <c r="N1" i="1"/>
  <c r="L1" i="1"/>
  <c r="T1" i="1"/>
  <c r="E8" i="1"/>
  <c r="I8" i="1"/>
  <c r="H8" i="1"/>
  <c r="O8" i="1"/>
  <c r="M8" i="1"/>
  <c r="K8" i="1"/>
  <c r="R8" i="1"/>
  <c r="N8" i="1"/>
  <c r="S8" i="1"/>
  <c r="P8" i="1"/>
  <c r="U8" i="1"/>
  <c r="T8" i="1"/>
  <c r="V8" i="1"/>
  <c r="L8" i="1"/>
  <c r="J8" i="1"/>
  <c r="G8" i="1"/>
  <c r="Q8" i="1"/>
  <c r="U5" i="1"/>
  <c r="A5" i="1"/>
  <c r="I5" i="1"/>
  <c r="J5" i="1"/>
  <c r="G5" i="1"/>
  <c r="P5" i="1"/>
  <c r="N5" i="1"/>
  <c r="K5" i="1"/>
  <c r="M5" i="1"/>
  <c r="T5" i="1"/>
  <c r="L5" i="1"/>
  <c r="S5" i="1"/>
  <c r="O5" i="1"/>
  <c r="R5" i="1"/>
  <c r="Q5" i="1"/>
  <c r="V5" i="1"/>
  <c r="H5" i="1"/>
  <c r="E5" i="1"/>
  <c r="O4" i="1"/>
  <c r="R4" i="1"/>
  <c r="U4" i="1"/>
  <c r="S4" i="1"/>
  <c r="V4" i="1"/>
  <c r="H4" i="1"/>
  <c r="L4" i="1"/>
  <c r="Q4" i="1"/>
  <c r="M4" i="1"/>
  <c r="K4" i="1"/>
  <c r="P4" i="1"/>
  <c r="J4" i="1"/>
  <c r="A4" i="1"/>
  <c r="I4" i="1"/>
  <c r="T4" i="1"/>
  <c r="G4" i="1"/>
  <c r="E4" i="1"/>
  <c r="N4" i="1"/>
  <c r="N6" i="1"/>
  <c r="T6" i="1"/>
  <c r="S6" i="1"/>
  <c r="J6" i="1"/>
  <c r="I6" i="1"/>
  <c r="E6" i="1"/>
  <c r="K6" i="1"/>
  <c r="L6" i="1"/>
  <c r="U6" i="1"/>
  <c r="M6" i="1"/>
  <c r="O6" i="1"/>
  <c r="P6" i="1"/>
  <c r="V6" i="1"/>
  <c r="H6" i="1"/>
  <c r="G6" i="1"/>
  <c r="Q6" i="1"/>
  <c r="R6" i="1"/>
  <c r="A6" i="1"/>
  <c r="I7" i="1"/>
  <c r="T7" i="1"/>
  <c r="K7" i="1"/>
  <c r="U7" i="1"/>
  <c r="J7" i="1"/>
  <c r="A7" i="1"/>
  <c r="G7" i="1"/>
  <c r="E7" i="1"/>
  <c r="N7" i="1"/>
  <c r="R7" i="1"/>
  <c r="S7" i="1"/>
  <c r="L7" i="1"/>
  <c r="P7" i="1"/>
  <c r="H7" i="1"/>
  <c r="Q7" i="1"/>
  <c r="M7" i="1"/>
  <c r="O7" i="1"/>
  <c r="V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<sst xmlns="http://schemas.openxmlformats.org/spreadsheetml/2006/main" count="17" uniqueCount="17">
  <si>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Exclude last day</t>
  </si>
  <si>
    <t>#</t>
  </si>
  <si>
    <t>Emp ID</t>
  </si>
  <si>
    <t>Start Date</t>
  </si>
  <si>
    <t>End Date</t>
  </si>
  <si>
    <t>No. Of Days</t>
  </si>
  <si>
    <t>Salary</t>
  </si>
  <si>
    <t>Rate (28 Days)</t>
  </si>
  <si>
    <t>Rate (29 Days)</t>
  </si>
  <si>
    <t>Rate (30 Days)</t>
  </si>
  <si>
    <t>Rate (31 Days)</t>
  </si>
  <si>
    <t>Total</t>
  </si>
  <si>
    <t>K1</t>
  </si>
  <si>
    <t>K2</t>
  </si>
  <si>
    <t>K3</t>
  </si>
  <si>
    <t>K4</t>
  </si>
  <si>
    <t>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</si>
</sst>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[$-409]d\-mmm\-yy;@"/>
    <numFmt numFmtId="2" formatCode="General"/>
    <numFmt numFmtId="3" formatCode="#,##0.00"/>
    <numFmt numFmtId="4" formatCode="_(* #,##0.00_);_(* \(#,##0.00\);_(* &quot;-&quot;??_);_(@_)"/>
    <numFmt numFmtId="5" formatCode="0"/>
    <numFmt numFmtId="6" formatCode="0.00"/>
    <numFmt numFmtId="7" formatCode="dd/mm/yyyy"/>
    <numFmt numFmtId="8" formatCode="dd\-mmm\-yyyy"/>
    <numFmt numFmtId="9" formatCode="mmm\'yy"/>
  </numFmts>
  <fonts count="6">
    <font>
      <sz val="11"/>
      <color theme="1"/>
      <name val="Arial"/>
      <family val="2"/>
      <scheme val="minor"/>
    </font>
    <font>
      <name val="Calibri"/>
      <sz val="10.00"/>
      <b/>
      <color rgb="FFFFFFFF"/>
      <family val="2"/>
    </font>
    <font>
      <name val="Calibri"/>
      <sz val="10.00"/>
      <b/>
      <color rgb="FF000000"/>
      <family val="2"/>
    </font>
    <font>
      <name val="Calibri"/>
      <sz val="10.00"/>
      <color rgb="FF000000"/>
      <family val="2"/>
    </font>
    <font>
      <name val="Arial"/>
      <sz val="10.00"/>
      <color rgb="FF000000"/>
      <family val="2"/>
    </font>
    <font>
      <name val="Calibri"/>
      <sz val="10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2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2" applyNumberFormat="1" fontId="3" applyFont="1" applyAlignment="1">
      <alignment vertical="center" horizontal="center" wrapText="1"/>
    </xf>
    <xf numFmtId="3" applyNumberFormat="1" fontId="3" applyFont="1" borderId="1" applyBorder="1" applyAlignment="1">
      <alignment vertical="center" horizontal="center" wrapText="1"/>
    </xf>
    <xf numFmtId="3" applyNumberFormat="1" fontId="4" applyFont="1" borderId="1" applyBorder="1" applyAlignment="1">
      <alignment vertical="center" horizontal="center" wrapText="1"/>
    </xf>
    <xf numFmtId="3" applyNumberFormat="1" fontId="3" applyFont="1" borderId="1" applyBorder="1" applyAlignment="1">
      <alignment vertical="center" horizontal="center" wrapText="1"/>
    </xf>
    <xf numFmtId="4" applyNumberFormat="1" fontId="3" applyFont="1" applyAlignment="1">
      <alignment vertical="center" horizontal="center"/>
    </xf>
    <xf numFmtId="2" applyNumberFormat="1" fontId="5" applyFont="1" borderId="1" applyBorder="1" applyAlignment="1">
      <alignment vertical="center" horizontal="center"/>
    </xf>
    <xf numFmtId="2" applyNumberFormat="1" fontId="3" applyFont="1" fillId="3" applyFill="1" borderId="1" applyBorder="1" applyAlignment="1">
      <alignment vertical="center" horizontal="center" wrapText="1"/>
    </xf>
    <xf numFmtId="2" applyNumberFormat="1" fontId="3" applyFont="1" applyAlignment="1">
      <alignment vertical="center" horizontal="center"/>
    </xf>
    <xf numFmtId="3" applyNumberFormat="1" fontId="3" applyFont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5" applyNumberFormat="1" fontId="2" applyFont="1" fillId="3" applyFill="1" borderId="1" applyBorder="1" applyAlignment="1">
      <alignment vertical="center" horizontal="center" wrapText="1"/>
    </xf>
    <xf numFmtId="6" applyNumberFormat="1" fontId="3" applyFont="1" applyAlignment="1">
      <alignment vertical="center" horizontal="center"/>
    </xf>
    <xf numFmtId="7" applyNumberFormat="1" fontId="1" applyFont="1" fillId="2" applyFill="1" borderId="1" applyBorder="1" applyAlignment="1">
      <alignment vertical="center" horizontal="center"/>
    </xf>
    <xf numFmtId="3" applyNumberFormat="1" fontId="3" applyFont="1" fillId="3" applyFill="1" borderId="1" applyBorder="1" applyAlignment="1">
      <alignment vertical="center" horizontal="center" wrapText="1"/>
    </xf>
    <xf numFmtId="2" applyNumberFormat="1" fontId="5" applyFont="1" applyAlignment="1">
      <alignment vertical="center" horizontal="left"/>
    </xf>
    <xf numFmtId="2" applyNumberFormat="1" fontId="3" applyFont="1" fillId="3" applyFill="1" borderId="1" applyBorder="1" applyAlignment="1">
      <alignment vertical="center" horizontal="center" wrapText="1"/>
    </xf>
    <xf numFmtId="1" applyNumberFormat="1" fontId="2" applyFont="1" applyAlignment="1">
      <alignment vertical="center" horizontal="center"/>
    </xf>
    <xf numFmtId="8" applyNumberFormat="1" fontId="3" applyFont="1" fillId="3" applyFill="1" borderId="1" applyBorder="1" applyAlignment="1">
      <alignment vertical="center" horizontal="center" wrapText="1"/>
    </xf>
    <xf numFmtId="8" applyNumberFormat="1" fontId="3" applyFont="1" fillId="3" applyFill="1" borderId="1" applyBorder="1" applyAlignment="1">
      <alignment vertical="center" horizontal="center" wrapText="1"/>
    </xf>
    <xf numFmtId="5" applyNumberFormat="1" fontId="2" applyFont="1" fillId="3" applyFill="1" borderId="1" applyBorder="1" applyAlignment="1">
      <alignment vertical="center" horizontal="center" wrapText="1"/>
    </xf>
    <xf numFmtId="7" applyNumberFormat="1" fontId="1" applyFont="1" fillId="2" applyFill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horizontal="center" wrapText="1"/>
    </xf>
    <xf numFmtId="9" applyNumberFormat="1" fontId="1" applyFont="1" fillId="2" applyFill="1" borderId="1" applyBorder="1" applyAlignment="1">
      <alignment vertical="center" horizontal="center"/>
    </xf>
    <xf numFmtId="3" applyNumberFormat="1" fontId="3" applyFont="1" fillId="3" applyFill="1" borderId="1" applyBorder="1" applyAlignment="1">
      <alignment vertical="center" horizontal="center" wrapText="1"/>
    </xf>
    <xf numFmtId="2" applyNumberFormat="1" fontId="1" applyFont="1" fillId="2" applyFill="1" borderId="1" applyBorder="1" applyAlignment="1">
      <alignment vertical="center" horizontal="center"/>
    </xf>
    <xf numFmtId="4" applyNumberFormat="1" fontId="2" applyFont="1" borderId="1" applyBorder="1" applyAlignment="1">
      <alignment vertical="center" horizontal="center" wrapText="1"/>
    </xf>
    <xf numFmtId="4" applyNumberFormat="1" fontId="3" applyFont="1" applyAlignment="1">
      <alignment vertical="center" horizontal="center"/>
    </xf>
    <xf numFmtId="3" applyNumberFormat="1" fontId="4" applyFont="1" borderId="1" applyBorder="1" applyAlignment="1">
      <alignment vertical="center" horizontal="center" wrapText="1"/>
    </xf>
    <xf numFmtId="4" applyNumberFormat="1" fontId="2" applyFont="1" borderId="1" applyBorder="1" applyAlignment="1">
      <alignment vertical="center" horizontal="center" wrapText="1"/>
    </xf>
  </cellStyleXfs>
  <cellXfs count="27">
    <xf numFmtId="0" fontId="0" fillId="0" borderId="0" xfId="0"/>
    <xf xfId="12" quotePrefix="0" pivotButton="0" numFmtId="2" applyNumberFormat="1" fontId="2" applyFont="1" borderId="1" applyBorder="1" applyAlignment="1">
      <alignment vertical="center" horizontal="center"/>
    </xf>
    <xf xfId="8" quotePrefix="0" pivotButton="0" numFmtId="2" applyNumberFormat="1" fontId="5" applyFont="1" borderId="1" applyBorder="1" applyAlignment="1">
      <alignment vertical="center" horizontal="center"/>
    </xf>
    <xf xfId="27" quotePrefix="0" pivotButton="0" numFmtId="2" applyNumberFormat="1" fontId="1" applyFont="1" fillId="2" applyFill="1" borderId="1" applyBorder="1" applyAlignment="1">
      <alignment vertical="center" horizontal="center"/>
    </xf>
    <xf xfId="15" quotePrefix="0" pivotButton="0" numFmtId="7" applyNumberFormat="1" fontId="1" applyFont="1" fillId="2" applyFill="1" borderId="1" applyBorder="1" applyAlignment="1">
      <alignment vertical="center" horizontal="center"/>
    </xf>
    <xf xfId="23" quotePrefix="0" pivotButton="0" numFmtId="7" applyNumberFormat="1" fontId="1" applyFont="1" fillId="2" applyFill="1" borderId="1" applyBorder="1" applyAlignment="1">
      <alignment vertical="center" horizontal="center" wrapText="1"/>
    </xf>
    <xf xfId="25" quotePrefix="0" pivotButton="0" numFmtId="9" applyNumberFormat="1" fontId="1" applyFont="1" fillId="2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9" quotePrefix="0" pivotButton="0" numFmtId="1" applyNumberFormat="1" fontId="2" applyFont="1" applyAlignment="1">
      <alignment vertical="center" horizontal="center"/>
    </xf>
    <xf xfId="9" quotePrefix="0" pivotButton="0" numFmtId="2" applyNumberFormat="1" fontId="3" applyFont="1" fillId="3" applyFill="1" borderId="1" applyBorder="1" applyAlignment="1">
      <alignment vertical="center" horizontal="center" wrapText="1"/>
    </xf>
    <xf xfId="18" quotePrefix="0" pivotButton="0" numFmtId="2" applyNumberFormat="1" fontId="3" applyFont="1" fillId="3" applyFill="1" borderId="1" applyBorder="1" applyAlignment="1">
      <alignment vertical="center" horizontal="center" wrapText="1"/>
    </xf>
    <xf xfId="21" quotePrefix="0" pivotButton="0" numFmtId="8" applyNumberFormat="1" fontId="3" applyFont="1" fillId="3" applyFill="1" borderId="1" applyBorder="1" applyAlignment="1">
      <alignment vertical="center" horizontal="center" wrapText="1"/>
    </xf>
    <xf xfId="22" quotePrefix="0" pivotButton="0" numFmtId="5" applyNumberFormat="1" fontId="2" applyFont="1" fillId="3" applyFill="1" borderId="1" applyBorder="1" applyAlignment="1">
      <alignment vertical="center" horizontal="center" wrapText="1"/>
    </xf>
    <xf xfId="6" quotePrefix="0" pivotButton="0" numFmtId="3" applyNumberFormat="1" fontId="3" applyFont="1" borderId="1" applyBorder="1" applyAlignment="1">
      <alignment vertical="center" horizontal="center" wrapText="1"/>
    </xf>
    <xf xfId="26" quotePrefix="0" pivotButton="0" numFmtId="3" applyNumberFormat="1" fontId="3" applyFont="1" fillId="3" applyFill="1" borderId="1" applyBorder="1" applyAlignment="1">
      <alignment vertical="center" horizontal="center" wrapText="1"/>
    </xf>
    <xf xfId="30" quotePrefix="0" pivotButton="0" numFmtId="3" applyNumberFormat="1" fontId="4" applyFont="1" borderId="1" applyBorder="1" applyAlignment="1">
      <alignment vertical="center" horizontal="center" wrapText="1"/>
    </xf>
    <xf xfId="24" quotePrefix="0" pivotButton="0" numFmtId="3" applyNumberFormat="1" fontId="2" applyFont="1" borderId="1" applyBorder="1" applyAlignment="1">
      <alignment vertical="center" horizontal="center" wrapText="1"/>
    </xf>
    <xf xfId="7" quotePrefix="0" pivotButton="0" numFmtId="4" applyNumberFormat="1" fontId="3" applyFont="1" applyAlignment="1">
      <alignment vertical="center" horizontal="center"/>
    </xf>
    <xf xfId="17" quotePrefix="0" pivotButton="0" numFmtId="2" applyNumberFormat="1" fontId="5" applyFont="1" applyAlignment="1">
      <alignment vertical="center" horizontal="left"/>
    </xf>
    <xf xfId="20" quotePrefix="0" pivotButton="0" numFmtId="8" applyNumberFormat="1" fontId="3" applyFont="1" fillId="3" applyFill="1" borderId="1" applyBorder="1" applyAlignment="1">
      <alignment vertical="center" horizontal="center" wrapText="1"/>
    </xf>
    <xf xfId="13" quotePrefix="0" pivotButton="0" numFmtId="5" applyNumberFormat="1" fontId="2" applyFont="1" fillId="3" applyFill="1" borderId="1" applyBorder="1" applyAlignment="1">
      <alignment vertical="center" horizontal="center" wrapText="1"/>
    </xf>
    <xf xfId="4" quotePrefix="0" pivotButton="0" numFmtId="3" applyNumberFormat="1" fontId="3" applyFont="1" borderId="1" applyBorder="1" applyAlignment="1">
      <alignment vertical="center" horizontal="center" wrapText="1"/>
    </xf>
    <xf xfId="16" quotePrefix="0" pivotButton="0" numFmtId="3" applyNumberFormat="1" fontId="3" applyFont="1" fillId="3" applyFill="1" borderId="1" applyBorder="1" applyAlignment="1">
      <alignment vertical="center" horizontal="center" wrapText="1"/>
    </xf>
    <xf xfId="5" quotePrefix="0" pivotButton="0" numFmtId="3" applyNumberFormat="1" fontId="4" applyFont="1" borderId="1" applyBorder="1" applyAlignment="1">
      <alignment vertical="center" horizontal="center" wrapText="1"/>
    </xf>
    <xf xfId="29" quotePrefix="0" pivotButton="0" numFmtId="4" applyNumberFormat="1" fontId="3" applyFont="1" applyAlignment="1">
      <alignment vertical="center" horizontal="center"/>
    </xf>
    <xf xfId="11" quotePrefix="0" pivotButton="0" numFmtId="3" applyNumberFormat="1" fontId="3" applyFont="1" applyAlignment="1">
      <alignment vertical="center" horizontal="center"/>
    </xf>
    <xf xfId="14" quotePrefix="0" pivotButton="0" numFmtId="6" applyNumberFormat="1" fontId="3" applyFont="1" applyAlignment="1">
      <alignment vertical="center" horizontal="center"/>
    </xf>
  </cellXfs>
  <cellStyles count="1">
    <cellStyle name="normal" xfId="0" builtinId="0"/>
  </cellStyles>
  <dxfs count="2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pane ySplit="2" topLeftCell="A3" activePane="bottomRight" state="frozen"/>
      <selection activeCell="A1" sqref="A1"/>
    </sheetView>
  </sheetViews>
  <sheetFormatPr defaultRowHeight="13.00" customHeight="1" defaultColWidth="8.22"/>
  <cols>
    <col min="1" max="1" width="1.92" customWidth="1" hidden="0"/>
    <col min="2" max="2" width="5.91" customWidth="1" hidden="0"/>
    <col min="3" max="4" width="10.15" customWidth="1" hidden="0"/>
    <col min="5" max="5" width="8.48" customWidth="1" hidden="0"/>
    <col min="6" max="6" width="8.35" customWidth="1" hidden="0"/>
    <col min="7" max="10" width="10.92" customWidth="1" hidden="0"/>
    <col min="11" max="20" width="8.35" customWidth="1" hidden="0"/>
    <col min="21" max="22" width="7.32" customWidth="1" hidden="0"/>
    <col min="23" max="23" width="8.86" customWidth="1" hidden="0"/>
    <col min="24" max="24" width="20.17" customWidth="1" hidden="0"/>
    <col min="25" max="25" width="9.12" customWidth="1" hidden="0"/>
  </cols>
  <sheetData>
    <row r="1" ht="17.25" customHeight="true">
      <c r="A1" s="1"/>
      <c r="B1" s="1"/>
      <c r="C1" s="1"/>
      <c r="D1" s="1"/>
      <c r="E1" t="s" s="2">
        <v>0</v>
      </c>
      <c r="F1" s="1"/>
      <c r="G1" s="2">
        <v>28</v>
      </c>
      <c r="H1" s="2">
        <v>29</v>
      </c>
      <c r="I1" s="2">
        <v>30</v>
      </c>
      <c r="J1" s="2">
        <v>31</v>
      </c>
      <c r="K1" s="2">
        <f ref="K1:V1" t="shared" si="7">DAY(EOMONTH(K2,0))</f>
        <v>31</v>
      </c>
      <c r="L1" s="2">
        <f t="shared" si="7"/>
        <v>29</v>
      </c>
      <c r="M1" s="2">
        <f t="shared" si="7"/>
        <v>31</v>
      </c>
      <c r="N1" s="2">
        <f t="shared" si="7"/>
        <v>30</v>
      </c>
      <c r="O1" s="2">
        <f t="shared" si="7"/>
        <v>31</v>
      </c>
      <c r="P1" s="2">
        <f t="shared" si="7"/>
        <v>30</v>
      </c>
      <c r="Q1" s="2">
        <f t="shared" si="7"/>
        <v>31</v>
      </c>
      <c r="R1" s="2">
        <f t="shared" si="7"/>
        <v>31</v>
      </c>
      <c r="S1" s="2">
        <f t="shared" si="7"/>
        <v>30</v>
      </c>
      <c r="T1" s="2">
        <f t="shared" si="7"/>
        <v>31</v>
      </c>
      <c r="U1" s="2">
        <f t="shared" si="7"/>
        <v>30</v>
      </c>
      <c r="V1" s="2">
        <f t="shared" si="7"/>
        <v>31</v>
      </c>
      <c r="W1" s="1"/>
    </row>
    <row r="2" ht="13.00" customHeight="true">
      <c r="A2" t="s" s="3">
        <v>1</v>
      </c>
      <c r="B2" t="s" s="3">
        <v>2</v>
      </c>
      <c r="C2" t="s" s="4">
        <v>3</v>
      </c>
      <c r="D2" t="s" s="5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s="6">
        <v>43831</v>
      </c>
      <c r="L2" s="6">
        <f>EOMONTH(K2,0)+1</f>
        <v>43862</v>
      </c>
      <c r="M2" s="6">
        <f ref="M2:V2" t="shared" si="6">EOMONTH(L2,0)+1</f>
        <v>43891</v>
      </c>
      <c r="N2" s="6">
        <f t="shared" si="6"/>
        <v>43922</v>
      </c>
      <c r="O2" s="6">
        <f t="shared" si="6"/>
        <v>43952</v>
      </c>
      <c r="P2" s="6">
        <f t="shared" si="6"/>
        <v>43983</v>
      </c>
      <c r="Q2" s="6">
        <f t="shared" si="6"/>
        <v>44013</v>
      </c>
      <c r="R2" s="6">
        <f t="shared" si="6"/>
        <v>44044</v>
      </c>
      <c r="S2" s="6">
        <f t="shared" si="6"/>
        <v>44075</v>
      </c>
      <c r="T2" s="6">
        <f t="shared" si="6"/>
        <v>44105</v>
      </c>
      <c r="U2" s="6">
        <f t="shared" si="6"/>
        <v>44136</v>
      </c>
      <c r="V2" s="6">
        <f t="shared" si="6"/>
        <v>44166</v>
      </c>
      <c r="W2" t="s" s="7">
        <v>11</v>
      </c>
      <c r="X2" s="8"/>
    </row>
    <row r="3" ht="24.00" customHeight="true">
      <c r="A3" s="9">
        <v>1</v>
      </c>
      <c r="B3" t="s" s="10">
        <v>12</v>
      </c>
      <c r="C3" s="11">
        <v>43856</v>
      </c>
      <c r="D3" s="11">
        <v>43893</v>
      </c>
      <c r="E3" s="12">
        <f>D3-C3</f>
        <v>37</v>
      </c>
      <c r="F3" s="13">
        <v>5100</v>
      </c>
      <c r="G3" s="13">
        <f>F3/28</f>
        <v>182.14285714285714</v>
      </c>
      <c r="H3" s="13">
        <f>F3/29</f>
        <v>175.86206896551724</v>
      </c>
      <c r="I3" s="14">
        <f>F3/30</f>
        <v>170</v>
      </c>
      <c r="J3" s="14">
        <f>F3/31</f>
        <v>164.51612903225808</v>
      </c>
      <c r="K3" cm="1" s="15">
        <f t="array" ref="K3">SUMPRODUCT((($G$1:$J$1=K$1)*($G3:$J3)*IF(NOT(AND(EOMONTH(K$2,0)&gt;=EOMONTH($C3,0),EOMONTH($D3,0)&gt;=EOMONTH(K$2,0))),0,IF(AND($D3&gt;$C3,MONTH(K$2)=MONTH($C3),MONTH(K$2)&lt;&gt;MONTH($D3),YEAR(K$2)=YEAR($C3)),DAY(EOMONTH($C3,0))-DAY($C3)+1,IF($D3&lt;$C3,"NA",IF(AND(MONTH(K$2)=MONTH($D3),YEAR(K$2)=YEAR($D3),MONTH($C3)=MONTH(K$2)),$D3-$C3,IF(AND(MONTH(K$2)&lt;MONTH($D3),YEAR(K$2)=YEAR($D3),MONTH($C3)&lt;MONTH(K$2)),DAY(EOMONTH(K$2,0)),DAY($D3)-1)))))))</f>
        <v>987.0967741935485</v>
      </c>
      <c r="L3" cm="1" s="15">
        <f t="array" ref="L3">SUMPRODUCT((($G$1:$J$1=L$1)*($G3:$J3)*IF(NOT(AND(EOMONTH(L$2,0)&gt;=EOMONTH($C3,0),EOMONTH($D3,0)&gt;=EOMONTH(L$2,0))),0,IF(AND($D3&gt;$C3,MONTH(L$2)=MONTH($C3),MONTH(L$2)&lt;&gt;MONTH($D3),YEAR(L$2)=YEAR($C3)),DAY(EOMONTH($C3,0))-DAY($C3)+1,IF($D3&lt;$C3,"NA",IF(AND(MONTH(L$2)=MONTH($D3),YEAR(L$2)=YEAR($D3),MONTH($C3)=MONTH(L$2)),$D3-$C3,IF(AND(MONTH(L$2)&lt;MONTH($D3),YEAR(L$2)=YEAR($D3),MONTH($C3)&lt;MONTH(L$2)),DAY(EOMONTH(L$2,0)),DAY($D3)-1)))))))</f>
        <v>5100</v>
      </c>
      <c r="M3" cm="1" s="15">
        <f t="array" ref="M3">SUMPRODUCT((($G$1:$J$1=M$1)*($G3:$J3)*IF(NOT(AND(EOMONTH(M$2,0)&gt;=EOMONTH($C3,0),EOMONTH($D3,0)&gt;=EOMONTH(M$2,0))),0,IF(AND($D3&gt;$C3,MONTH(M$2)=MONTH($C3),MONTH(M$2)&lt;&gt;MONTH($D3),YEAR(M$2)=YEAR($C3)),DAY(EOMONTH($C3,0))-DAY($C3)+1,IF($D3&lt;$C3,"NA",IF(AND(MONTH(M$2)=MONTH($D3),YEAR(M$2)=YEAR($D3),MONTH($C3)=MONTH(M$2)),$D3-$C3,IF(AND(MONTH(M$2)&lt;MONTH($D3),YEAR(M$2)=YEAR($D3),MONTH($C3)&lt;MONTH(M$2)),DAY(EOMONTH(M$2,0)),DAY($D3)-1)))))))</f>
        <v>329.03225806451616</v>
      </c>
      <c r="N3" cm="1" s="15">
        <f t="array" ref="N3">SUMPRODUCT((($G$1:$J$1=N$1)*($G3:$J3)*IF(NOT(AND(EOMONTH(N$2,0)&gt;=EOMONTH($C3,0),EOMONTH($D3,0)&gt;=EOMONTH(N$2,0))),0,IF(AND($D3&gt;$C3,MONTH(N$2)=MONTH($C3),MONTH(N$2)&lt;&gt;MONTH($D3),YEAR(N$2)=YEAR($C3)),DAY(EOMONTH($C3,0))-DAY($C3)+1,IF($D3&lt;$C3,"NA",IF(AND(MONTH(N$2)=MONTH($D3),YEAR(N$2)=YEAR($D3),MONTH($C3)=MONTH(N$2)),$D3-$C3,IF(AND(MONTH(N$2)&lt;MONTH($D3),YEAR(N$2)=YEAR($D3),MONTH($C3)&lt;MONTH(N$2)),DAY(EOMONTH(N$2,0)),DAY($D3)-1)))))))</f>
        <v>0</v>
      </c>
      <c r="O3" cm="1" s="15">
        <f t="array" ref="O3">SUMPRODUCT((($G$1:$J$1=O$1)*($G3:$J3)*IF(NOT(AND(EOMONTH(O$2,0)&gt;=EOMONTH($C3,0),EOMONTH($D3,0)&gt;=EOMONTH(O$2,0))),0,IF(AND($D3&gt;$C3,MONTH(O$2)=MONTH($C3),MONTH(O$2)&lt;&gt;MONTH($D3),YEAR(O$2)=YEAR($C3)),DAY(EOMONTH($C3,0))-DAY($C3)+1,IF($D3&lt;$C3,"NA",IF(AND(MONTH(O$2)=MONTH($D3),YEAR(O$2)=YEAR($D3),MONTH($C3)=MONTH(O$2)),$D3-$C3,IF(AND(MONTH(O$2)&lt;MONTH($D3),YEAR(O$2)=YEAR($D3),MONTH($C3)&lt;MONTH(O$2)),DAY(EOMONTH(O$2,0)),DAY($D3)-1)))))))</f>
        <v>0</v>
      </c>
      <c r="P3" cm="1" s="15">
        <f t="array" ref="P3">SUMPRODUCT((($G$1:$J$1=P$1)*($G3:$J3)*IF(NOT(AND(EOMONTH(P$2,0)&gt;=EOMONTH($C3,0),EOMONTH($D3,0)&gt;=EOMONTH(P$2,0))),0,IF(AND($D3&gt;$C3,MONTH(P$2)=MONTH($C3),MONTH(P$2)&lt;&gt;MONTH($D3),YEAR(P$2)=YEAR($C3)),DAY(EOMONTH($C3,0))-DAY($C3)+1,IF($D3&lt;$C3,"NA",IF(AND(MONTH(P$2)=MONTH($D3),YEAR(P$2)=YEAR($D3),MONTH($C3)=MONTH(P$2)),$D3-$C3,IF(AND(MONTH(P$2)&lt;MONTH($D3),YEAR(P$2)=YEAR($D3),MONTH($C3)&lt;MONTH(P$2)),DAY(EOMONTH(P$2,0)),DAY($D3)-1)))))))</f>
        <v>0</v>
      </c>
      <c r="Q3" cm="1" s="15">
        <f t="array" ref="Q3">SUMPRODUCT((($G$1:$J$1=Q$1)*($G3:$J3)*IF(NOT(AND(EOMONTH(Q$2,0)&gt;=EOMONTH($C3,0),EOMONTH($D3,0)&gt;=EOMONTH(Q$2,0))),0,IF(AND($D3&gt;$C3,MONTH(Q$2)=MONTH($C3),MONTH(Q$2)&lt;&gt;MONTH($D3),YEAR(Q$2)=YEAR($C3)),DAY(EOMONTH($C3,0))-DAY($C3)+1,IF($D3&lt;$C3,"NA",IF(AND(MONTH(Q$2)=MONTH($D3),YEAR(Q$2)=YEAR($D3),MONTH($C3)=MONTH(Q$2)),$D3-$C3,IF(AND(MONTH(Q$2)&lt;MONTH($D3),YEAR(Q$2)=YEAR($D3),MONTH($C3)&lt;MONTH(Q$2)),DAY(EOMONTH(Q$2,0)),DAY($D3)-1)))))))</f>
        <v>0</v>
      </c>
      <c r="R3" cm="1" s="15">
        <f t="array" ref="R3">SUMPRODUCT((($G$1:$J$1=R$1)*($G3:$J3)*IF(NOT(AND(EOMONTH(R$2,0)&gt;=EOMONTH($C3,0),EOMONTH($D3,0)&gt;=EOMONTH(R$2,0))),0,IF(AND($D3&gt;$C3,MONTH(R$2)=MONTH($C3),MONTH(R$2)&lt;&gt;MONTH($D3),YEAR(R$2)=YEAR($C3)),DAY(EOMONTH($C3,0))-DAY($C3)+1,IF($D3&lt;$C3,"NA",IF(AND(MONTH(R$2)=MONTH($D3),YEAR(R$2)=YEAR($D3),MONTH($C3)=MONTH(R$2)),$D3-$C3,IF(AND(MONTH(R$2)&lt;MONTH($D3),YEAR(R$2)=YEAR($D3),MONTH($C3)&lt;MONTH(R$2)),DAY(EOMONTH(R$2,0)),DAY($D3)-1)))))))</f>
        <v>0</v>
      </c>
      <c r="S3" cm="1" s="15">
        <f t="array" ref="S3">SUMPRODUCT((($G$1:$J$1=S$1)*($G3:$J3)*IF(NOT(AND(EOMONTH(S$2,0)&gt;=EOMONTH($C3,0),EOMONTH($D3,0)&gt;=EOMONTH(S$2,0))),0,IF(AND($D3&gt;$C3,MONTH(S$2)=MONTH($C3),MONTH(S$2)&lt;&gt;MONTH($D3),YEAR(S$2)=YEAR($C3)),DAY(EOMONTH($C3,0))-DAY($C3)+1,IF($D3&lt;$C3,"NA",IF(AND(MONTH(S$2)=MONTH($D3),YEAR(S$2)=YEAR($D3),MONTH($C3)=MONTH(S$2)),$D3-$C3,IF(AND(MONTH(S$2)&lt;MONTH($D3),YEAR(S$2)=YEAR($D3),MONTH($C3)&lt;MONTH(S$2)),DAY(EOMONTH(S$2,0)),DAY($D3)-1)))))))</f>
        <v>0</v>
      </c>
      <c r="T3" cm="1" s="15">
        <f t="array" ref="T3">SUMPRODUCT((($G$1:$J$1=T$1)*($G3:$J3)*IF(NOT(AND(EOMONTH(T$2,0)&gt;=EOMONTH($C3,0),EOMONTH($D3,0)&gt;=EOMONTH(T$2,0))),0,IF(AND($D3&gt;$C3,MONTH(T$2)=MONTH($C3),MONTH(T$2)&lt;&gt;MONTH($D3),YEAR(T$2)=YEAR($C3)),DAY(EOMONTH($C3,0))-DAY($C3)+1,IF($D3&lt;$C3,"NA",IF(AND(MONTH(T$2)=MONTH($D3),YEAR(T$2)=YEAR($D3),MONTH($C3)=MONTH(T$2)),$D3-$C3,IF(AND(MONTH(T$2)&lt;MONTH($D3),YEAR(T$2)=YEAR($D3),MONTH($C3)&lt;MONTH(T$2)),DAY(EOMONTH(T$2,0)),DAY($D3)-1)))))))</f>
        <v>0</v>
      </c>
      <c r="U3" cm="1" s="15">
        <f t="array" ref="U3">SUMPRODUCT((($G$1:$J$1=U$1)*($G3:$J3)*IF(NOT(AND(EOMONTH(U$2,0)&gt;=EOMONTH($C3,0),EOMONTH($D3,0)&gt;=EOMONTH(U$2,0))),0,IF(AND($D3&gt;$C3,MONTH(U$2)=MONTH($C3),MONTH(U$2)&lt;&gt;MONTH($D3),YEAR(U$2)=YEAR($C3)),DAY(EOMONTH($C3,0))-DAY($C3)+1,IF($D3&lt;$C3,"NA",IF(AND(MONTH(U$2)=MONTH($D3),YEAR(U$2)=YEAR($D3),MONTH($C3)=MONTH(U$2)),$D3-$C3,IF(AND(MONTH(U$2)&lt;MONTH($D3),YEAR(U$2)=YEAR($D3),MONTH($C3)&lt;MONTH(U$2)),DAY(EOMONTH(U$2,0)),DAY($D3)-1)))))))</f>
        <v>0</v>
      </c>
      <c r="V3" cm="1" s="15">
        <f t="array" ref="V3">SUMPRODUCT((($G$1:$J$1=V$1)*($G3:$J3)*IF(NOT(AND(EOMONTH(V$2,0)&gt;=EOMONTH($C3,0),EOMONTH($D3,0)&gt;=EOMONTH(V$2,0))),0,IF(AND($D3&gt;$C3,MONTH(V$2)=MONTH($C3),MONTH(V$2)&lt;&gt;MONTH($D3),YEAR(V$2)=YEAR($C3)),DAY(EOMONTH($C3,0))-DAY($C3)+1,IF($D3&lt;$C3,"NA",IF(AND(MONTH(V$2)=MONTH($D3),YEAR(V$2)=YEAR($D3),MONTH($C3)=MONTH(V$2)),$D3-$C3,IF(AND(MONTH(V$2)&lt;MONTH($D3),YEAR(V$2)=YEAR($D3),MONTH($C3)&lt;MONTH(V$2)),DAY(EOMONTH(V$2,0)),DAY($D3)-1)))))))</f>
        <v>0</v>
      </c>
      <c r="W3" s="16">
        <v>6416.13</v>
      </c>
      <c r="X3" s="17"/>
      <c r="Y3" s="17"/>
      <c r="Z3" s="18"/>
    </row>
    <row r="4" ht="24.00" customHeight="true">
      <c r="A4" s="9">
        <f ref="A4:A7" t="shared" si="2">A3+1</f>
        <v>2</v>
      </c>
      <c r="B4" t="s" s="10">
        <v>13</v>
      </c>
      <c r="C4" s="11">
        <v>43893</v>
      </c>
      <c r="D4" s="11">
        <v>44120</v>
      </c>
      <c r="E4" s="12">
        <f ref="E4:E7" t="shared" si="5">D4-C4</f>
        <v>227</v>
      </c>
      <c r="F4" s="13">
        <v>1000</v>
      </c>
      <c r="G4" s="13">
        <f ref="G4:G7" t="shared" si="3">F4/28</f>
        <v>35.714285714285715</v>
      </c>
      <c r="H4" s="13">
        <f ref="H4:H7" t="shared" si="0">F4/29</f>
        <v>34.48275862068966</v>
      </c>
      <c r="I4" s="14">
        <f ref="I4:I7" t="shared" si="4">F4/30</f>
        <v>33.333333333333336</v>
      </c>
      <c r="J4" s="14">
        <f ref="J4:J7" t="shared" si="1">F4/31</f>
        <v>32.25806451612903</v>
      </c>
      <c r="K4" cm="1" s="15">
        <f t="array" ref="K4">SUMPRODUCT((($G$1:$J$1=K$1)*($G4:$J4)*IF(NOT(AND(EOMONTH(K$2,0)&gt;=EOMONTH($C4,0),EOMONTH($D4,0)&gt;=EOMONTH(K$2,0))),0,IF(AND($D4&gt;$C4,MONTH(K$2)=MONTH($C4),MONTH(K$2)&lt;&gt;MONTH($D4),YEAR(K$2)=YEAR($C4)),DAY(EOMONTH($C4,0))-DAY($C4)+1,IF($D4&lt;$C4,"NA",IF(AND(MONTH(K$2)=MONTH($D4),YEAR(K$2)=YEAR($D4),MONTH($C4)=MONTH(K$2)),$D4-$C4,IF(AND(MONTH(K$2)&lt;MONTH($D4),YEAR(K$2)=YEAR($D4),MONTH($C4)&lt;MONTH(K$2)),DAY(EOMONTH(K$2,0)),DAY($D4)-1)))))))</f>
        <v>0</v>
      </c>
      <c r="L4" cm="1" s="15">
        <f t="array" ref="L4">SUMPRODUCT((($G$1:$J$1=L$1)*($G4:$J4)*IF(NOT(AND(EOMONTH(L$2,0)&gt;=EOMONTH($C4,0),EOMONTH($D4,0)&gt;=EOMONTH(L$2,0))),0,IF(AND($D4&gt;$C4,MONTH(L$2)=MONTH($C4),MONTH(L$2)&lt;&gt;MONTH($D4),YEAR(L$2)=YEAR($C4)),DAY(EOMONTH($C4,0))-DAY($C4)+1,IF($D4&lt;$C4,"NA",IF(AND(MONTH(L$2)=MONTH($D4),YEAR(L$2)=YEAR($D4),MONTH($C4)=MONTH(L$2)),$D4-$C4,IF(AND(MONTH(L$2)&lt;MONTH($D4),YEAR(L$2)=YEAR($D4),MONTH($C4)&lt;MONTH(L$2)),DAY(EOMONTH(L$2,0)),DAY($D4)-1)))))))</f>
        <v>0</v>
      </c>
      <c r="M4" cm="1" s="15">
        <f t="array" ref="M4">SUMPRODUCT((($G$1:$J$1=M$1)*($G4:$J4)*IF(NOT(AND(EOMONTH(M$2,0)&gt;=EOMONTH($C4,0),EOMONTH($D4,0)&gt;=EOMONTH(M$2,0))),0,IF(AND($D4&gt;$C4,MONTH(M$2)=MONTH($C4),MONTH(M$2)&lt;&gt;MONTH($D4),YEAR(M$2)=YEAR($C4)),DAY(EOMONTH($C4,0))-DAY($C4)+1,IF($D4&lt;$C4,"NA",IF(AND(MONTH(M$2)=MONTH($D4),YEAR(M$2)=YEAR($D4),MONTH($C4)=MONTH(M$2)),$D4-$C4,IF(AND(MONTH(M$2)&lt;MONTH($D4),YEAR(M$2)=YEAR($D4),MONTH($C4)&lt;MONTH(M$2)),DAY(EOMONTH(M$2,0)),DAY($D4)-1)))))))</f>
        <v>935.4838709677418</v>
      </c>
      <c r="N4" cm="1" s="15">
        <f t="array" ref="N4">SUMPRODUCT((($G$1:$J$1=N$1)*($G4:$J4)*IF(NOT(AND(EOMONTH(N$2,0)&gt;=EOMONTH($C4,0),EOMONTH($D4,0)&gt;=EOMONTH(N$2,0))),0,IF(AND($D4&gt;$C4,MONTH(N$2)=MONTH($C4),MONTH(N$2)&lt;&gt;MONTH($D4),YEAR(N$2)=YEAR($C4)),DAY(EOMONTH($C4,0))-DAY($C4)+1,IF($D4&lt;$C4,"NA",IF(AND(MONTH(N$2)=MONTH($D4),YEAR(N$2)=YEAR($D4),MONTH($C4)=MONTH(N$2)),$D4-$C4,IF(AND(MONTH(N$2)&lt;MONTH($D4),YEAR(N$2)=YEAR($D4),MONTH($C4)&lt;MONTH(N$2)),DAY(EOMONTH(N$2,0)),DAY($D4)-1)))))))</f>
        <v>1000.0000000000001</v>
      </c>
      <c r="O4" cm="1" s="15">
        <f t="array" ref="O4">SUMPRODUCT((($G$1:$J$1=O$1)*($G4:$J4)*IF(NOT(AND(EOMONTH(O$2,0)&gt;=EOMONTH($C4,0),EOMONTH($D4,0)&gt;=EOMONTH(O$2,0))),0,IF(AND($D4&gt;$C4,MONTH(O$2)=MONTH($C4),MONTH(O$2)&lt;&gt;MONTH($D4),YEAR(O$2)=YEAR($C4)),DAY(EOMONTH($C4,0))-DAY($C4)+1,IF($D4&lt;$C4,"NA",IF(AND(MONTH(O$2)=MONTH($D4),YEAR(O$2)=YEAR($D4),MONTH($C4)=MONTH(O$2)),$D4-$C4,IF(AND(MONTH(O$2)&lt;MONTH($D4),YEAR(O$2)=YEAR($D4),MONTH($C4)&lt;MONTH(O$2)),DAY(EOMONTH(O$2,0)),DAY($D4)-1)))))))</f>
        <v>1000</v>
      </c>
      <c r="P4" cm="1" s="15">
        <f t="array" ref="P4">SUMPRODUCT((($G$1:$J$1=P$1)*($G4:$J4)*IF(NOT(AND(EOMONTH(P$2,0)&gt;=EOMONTH($C4,0),EOMONTH($D4,0)&gt;=EOMONTH(P$2,0))),0,IF(AND($D4&gt;$C4,MONTH(P$2)=MONTH($C4),MONTH(P$2)&lt;&gt;MONTH($D4),YEAR(P$2)=YEAR($C4)),DAY(EOMONTH($C4,0))-DAY($C4)+1,IF($D4&lt;$C4,"NA",IF(AND(MONTH(P$2)=MONTH($D4),YEAR(P$2)=YEAR($D4),MONTH($C4)=MONTH(P$2)),$D4-$C4,IF(AND(MONTH(P$2)&lt;MONTH($D4),YEAR(P$2)=YEAR($D4),MONTH($C4)&lt;MONTH(P$2)),DAY(EOMONTH(P$2,0)),DAY($D4)-1)))))))</f>
        <v>1000.0000000000001</v>
      </c>
      <c r="Q4" cm="1" s="15">
        <f t="array" ref="Q4">SUMPRODUCT((($G$1:$J$1=Q$1)*($G4:$J4)*IF(NOT(AND(EOMONTH(Q$2,0)&gt;=EOMONTH($C4,0),EOMONTH($D4,0)&gt;=EOMONTH(Q$2,0))),0,IF(AND($D4&gt;$C4,MONTH(Q$2)=MONTH($C4),MONTH(Q$2)&lt;&gt;MONTH($D4),YEAR(Q$2)=YEAR($C4)),DAY(EOMONTH($C4,0))-DAY($C4)+1,IF($D4&lt;$C4,"NA",IF(AND(MONTH(Q$2)=MONTH($D4),YEAR(Q$2)=YEAR($D4),MONTH($C4)=MONTH(Q$2)),$D4-$C4,IF(AND(MONTH(Q$2)&lt;MONTH($D4),YEAR(Q$2)=YEAR($D4),MONTH($C4)&lt;MONTH(Q$2)),DAY(EOMONTH(Q$2,0)),DAY($D4)-1)))))))</f>
        <v>1000</v>
      </c>
      <c r="R4" cm="1" s="15">
        <f t="array" ref="R4">SUMPRODUCT((($G$1:$J$1=R$1)*($G4:$J4)*IF(NOT(AND(EOMONTH(R$2,0)&gt;=EOMONTH($C4,0),EOMONTH($D4,0)&gt;=EOMONTH(R$2,0))),0,IF(AND($D4&gt;$C4,MONTH(R$2)=MONTH($C4),MONTH(R$2)&lt;&gt;MONTH($D4),YEAR(R$2)=YEAR($C4)),DAY(EOMONTH($C4,0))-DAY($C4)+1,IF($D4&lt;$C4,"NA",IF(AND(MONTH(R$2)=MONTH($D4),YEAR(R$2)=YEAR($D4),MONTH($C4)=MONTH(R$2)),$D4-$C4,IF(AND(MONTH(R$2)&lt;MONTH($D4),YEAR(R$2)=YEAR($D4),MONTH($C4)&lt;MONTH(R$2)),DAY(EOMONTH(R$2,0)),DAY($D4)-1)))))))</f>
        <v>1000</v>
      </c>
      <c r="S4" cm="1" s="15">
        <f t="array" ref="S4">SUMPRODUCT((($G$1:$J$1=S$1)*($G4:$J4)*IF(NOT(AND(EOMONTH(S$2,0)&gt;=EOMONTH($C4,0),EOMONTH($D4,0)&gt;=EOMONTH(S$2,0))),0,IF(AND($D4&gt;$C4,MONTH(S$2)=MONTH($C4),MONTH(S$2)&lt;&gt;MONTH($D4),YEAR(S$2)=YEAR($C4)),DAY(EOMONTH($C4,0))-DAY($C4)+1,IF($D4&lt;$C4,"NA",IF(AND(MONTH(S$2)=MONTH($D4),YEAR(S$2)=YEAR($D4),MONTH($C4)=MONTH(S$2)),$D4-$C4,IF(AND(MONTH(S$2)&lt;MONTH($D4),YEAR(S$2)=YEAR($D4),MONTH($C4)&lt;MONTH(S$2)),DAY(EOMONTH(S$2,0)),DAY($D4)-1)))))))</f>
        <v>1000.0000000000001</v>
      </c>
      <c r="T4" cm="1" s="15">
        <f t="array" ref="T4">SUMPRODUCT((($G$1:$J$1=T$1)*($G4:$J4)*IF(NOT(AND(EOMONTH(T$2,0)&gt;=EOMONTH($C4,0),EOMONTH($D4,0)&gt;=EOMONTH(T$2,0))),0,IF(AND($D4&gt;$C4,MONTH(T$2)=MONTH($C4),MONTH(T$2)&lt;&gt;MONTH($D4),YEAR(T$2)=YEAR($C4)),DAY(EOMONTH($C4,0))-DAY($C4)+1,IF($D4&lt;$C4,"NA",IF(AND(MONTH(T$2)=MONTH($D4),YEAR(T$2)=YEAR($D4),MONTH($C4)=MONTH(T$2)),$D4-$C4,IF(AND(MONTH(T$2)&lt;MONTH($D4),YEAR(T$2)=YEAR($D4),MONTH($C4)&lt;MONTH(T$2)),DAY(EOMONTH(T$2,0)),DAY($D4)-1)))))))</f>
        <v>483.87096774193543</v>
      </c>
      <c r="U4" cm="1" s="15">
        <f t="array" ref="U4">SUMPRODUCT((($G$1:$J$1=U$1)*($G4:$J4)*IF(NOT(AND(EOMONTH(U$2,0)&gt;=EOMONTH($C4,0),EOMONTH($D4,0)&gt;=EOMONTH(U$2,0))),0,IF(AND($D4&gt;$C4,MONTH(U$2)=MONTH($C4),MONTH(U$2)&lt;&gt;MONTH($D4),YEAR(U$2)=YEAR($C4)),DAY(EOMONTH($C4,0))-DAY($C4)+1,IF($D4&lt;$C4,"NA",IF(AND(MONTH(U$2)=MONTH($D4),YEAR(U$2)=YEAR($D4),MONTH($C4)=MONTH(U$2)),$D4-$C4,IF(AND(MONTH(U$2)&lt;MONTH($D4),YEAR(U$2)=YEAR($D4),MONTH($C4)&lt;MONTH(U$2)),DAY(EOMONTH(U$2,0)),DAY($D4)-1)))))))</f>
        <v>0</v>
      </c>
      <c r="V4" cm="1" s="15">
        <f t="array" ref="V4">SUMPRODUCT((($G$1:$J$1=V$1)*($G4:$J4)*IF(NOT(AND(EOMONTH(V$2,0)&gt;=EOMONTH($C4,0),EOMONTH($D4,0)&gt;=EOMONTH(V$2,0))),0,IF(AND($D4&gt;$C4,MONTH(V$2)=MONTH($C4),MONTH(V$2)&lt;&gt;MONTH($D4),YEAR(V$2)=YEAR($C4)),DAY(EOMONTH($C4,0))-DAY($C4)+1,IF($D4&lt;$C4,"NA",IF(AND(MONTH(V$2)=MONTH($D4),YEAR(V$2)=YEAR($D4),MONTH($C4)=MONTH(V$2)),$D4-$C4,IF(AND(MONTH(V$2)&lt;MONTH($D4),YEAR(V$2)=YEAR($D4),MONTH($C4)&lt;MONTH(V$2)),DAY(EOMONTH(V$2,0)),DAY($D4)-1)))))))</f>
        <v>0</v>
      </c>
      <c r="W4" s="16">
        <v>7419.35</v>
      </c>
      <c r="X4" s="17"/>
      <c r="Y4" s="17"/>
    </row>
    <row r="5" ht="24.00" customHeight="true">
      <c r="A5" s="9">
        <f t="shared" si="2"/>
        <v>3</v>
      </c>
      <c r="B5" t="s" s="10">
        <v>14</v>
      </c>
      <c r="C5" s="11">
        <v>44000</v>
      </c>
      <c r="D5" s="11">
        <v>44149</v>
      </c>
      <c r="E5" s="12">
        <f t="shared" si="5"/>
        <v>149</v>
      </c>
      <c r="F5" s="13">
        <v>4500</v>
      </c>
      <c r="G5" s="13">
        <f t="shared" si="3"/>
        <v>160.714285714286</v>
      </c>
      <c r="H5" s="13">
        <f t="shared" si="0"/>
        <v>155.172413793103</v>
      </c>
      <c r="I5" s="14">
        <f t="shared" si="4"/>
        <v>150</v>
      </c>
      <c r="J5" s="14">
        <f t="shared" si="1"/>
        <v>145.161290322581</v>
      </c>
      <c r="K5" cm="1" s="15">
        <f t="array" ref="K5">SUMPRODUCT((($G$1:$J$1=K$1)*($G5:$J5)*IF(NOT(AND(EOMONTH(K$2,0)&gt;=EOMONTH($C5,0),EOMONTH($D5,0)&gt;=EOMONTH(K$2,0))),0,IF(AND($D5&gt;$C5,MONTH(K$2)=MONTH($C5),MONTH(K$2)&lt;&gt;MONTH($D5),YEAR(K$2)=YEAR($C5)),DAY(EOMONTH($C5,0))-DAY($C5)+1,IF($D5&lt;$C5,"NA",IF(AND(MONTH(K$2)=MONTH($D5),YEAR(K$2)=YEAR($D5),MONTH($C5)=MONTH(K$2)),$D5-$C5,IF(AND(MONTH(K$2)&lt;MONTH($D5),YEAR(K$2)=YEAR($D5),MONTH($C5)&lt;MONTH(K$2)),DAY(EOMONTH(K$2,0)),DAY($D5)-1)))))))</f>
        <v>0</v>
      </c>
      <c r="L5" cm="1" s="15">
        <f t="array" ref="L5">SUMPRODUCT((($G$1:$J$1=L$1)*($G5:$J5)*IF(NOT(AND(EOMONTH(L$2,0)&gt;=EOMONTH($C5,0),EOMONTH($D5,0)&gt;=EOMONTH(L$2,0))),0,IF(AND($D5&gt;$C5,MONTH(L$2)=MONTH($C5),MONTH(L$2)&lt;&gt;MONTH($D5),YEAR(L$2)=YEAR($C5)),DAY(EOMONTH($C5,0))-DAY($C5)+1,IF($D5&lt;$C5,"NA",IF(AND(MONTH(L$2)=MONTH($D5),YEAR(L$2)=YEAR($D5),MONTH($C5)=MONTH(L$2)),$D5-$C5,IF(AND(MONTH(L$2)&lt;MONTH($D5),YEAR(L$2)=YEAR($D5),MONTH($C5)&lt;MONTH(L$2)),DAY(EOMONTH(L$2,0)),DAY($D5)-1)))))))</f>
        <v>0</v>
      </c>
      <c r="M5" cm="1" s="15">
        <f t="array" ref="M5">SUMPRODUCT((($G$1:$J$1=M$1)*($G5:$J5)*IF(NOT(AND(EOMONTH(M$2,0)&gt;=EOMONTH($C5,0),EOMONTH($D5,0)&gt;=EOMONTH(M$2,0))),0,IF(AND($D5&gt;$C5,MONTH(M$2)=MONTH($C5),MONTH(M$2)&lt;&gt;MONTH($D5),YEAR(M$2)=YEAR($C5)),DAY(EOMONTH($C5,0))-DAY($C5)+1,IF($D5&lt;$C5,"NA",IF(AND(MONTH(M$2)=MONTH($D5),YEAR(M$2)=YEAR($D5),MONTH($C5)=MONTH(M$2)),$D5-$C5,IF(AND(MONTH(M$2)&lt;MONTH($D5),YEAR(M$2)=YEAR($D5),MONTH($C5)&lt;MONTH(M$2)),DAY(EOMONTH(M$2,0)),DAY($D5)-1)))))))</f>
        <v>0</v>
      </c>
      <c r="N5" cm="1" s="15">
        <f t="array" ref="N5">SUMPRODUCT((($G$1:$J$1=N$1)*($G5:$J5)*IF(NOT(AND(EOMONTH(N$2,0)&gt;=EOMONTH($C5,0),EOMONTH($D5,0)&gt;=EOMONTH(N$2,0))),0,IF(AND($D5&gt;$C5,MONTH(N$2)=MONTH($C5),MONTH(N$2)&lt;&gt;MONTH($D5),YEAR(N$2)=YEAR($C5)),DAY(EOMONTH($C5,0))-DAY($C5)+1,IF($D5&lt;$C5,"NA",IF(AND(MONTH(N$2)=MONTH($D5),YEAR(N$2)=YEAR($D5),MONTH($C5)=MONTH(N$2)),$D5-$C5,IF(AND(MONTH(N$2)&lt;MONTH($D5),YEAR(N$2)=YEAR($D5),MONTH($C5)&lt;MONTH(N$2)),DAY(EOMONTH(N$2,0)),DAY($D5)-1)))))))</f>
        <v>0</v>
      </c>
      <c r="O5" cm="1" s="15">
        <f t="array" ref="O5">SUMPRODUCT((($G$1:$J$1=O$1)*($G5:$J5)*IF(NOT(AND(EOMONTH(O$2,0)&gt;=EOMONTH($C5,0),EOMONTH($D5,0)&gt;=EOMONTH(O$2,0))),0,IF(AND($D5&gt;$C5,MONTH(O$2)=MONTH($C5),MONTH(O$2)&lt;&gt;MONTH($D5),YEAR(O$2)=YEAR($C5)),DAY(EOMONTH($C5,0))-DAY($C5)+1,IF($D5&lt;$C5,"NA",IF(AND(MONTH(O$2)=MONTH($D5),YEAR(O$2)=YEAR($D5),MONTH($C5)=MONTH(O$2)),$D5-$C5,IF(AND(MONTH(O$2)&lt;MONTH($D5),YEAR(O$2)=YEAR($D5),MONTH($C5)&lt;MONTH(O$2)),DAY(EOMONTH(O$2,0)),DAY($D5)-1)))))))</f>
        <v>0</v>
      </c>
      <c r="P5" cm="1" s="15">
        <f t="array" ref="P5">SUMPRODUCT((($G$1:$J$1=P$1)*($G5:$J5)*IF(NOT(AND(EOMONTH(P$2,0)&gt;=EOMONTH($C5,0),EOMONTH($D5,0)&gt;=EOMONTH(P$2,0))),0,IF(AND($D5&gt;$C5,MONTH(P$2)=MONTH($C5),MONTH(P$2)&lt;&gt;MONTH($D5),YEAR(P$2)=YEAR($C5)),DAY(EOMONTH($C5,0))-DAY($C5)+1,IF($D5&lt;$C5,"NA",IF(AND(MONTH(P$2)=MONTH($D5),YEAR(P$2)=YEAR($D5),MONTH($C5)=MONTH(P$2)),$D5-$C5,IF(AND(MONTH(P$2)&lt;MONTH($D5),YEAR(P$2)=YEAR($D5),MONTH($C5)&lt;MONTH(P$2)),DAY(EOMONTH(P$2,0)),DAY($D5)-1)))))))</f>
        <v>1950</v>
      </c>
      <c r="Q5" cm="1" s="15">
        <f t="array" ref="Q5">SUMPRODUCT((($G$1:$J$1=Q$1)*($G5:$J5)*IF(NOT(AND(EOMONTH(Q$2,0)&gt;=EOMONTH($C5,0),EOMONTH($D5,0)&gt;=EOMONTH(Q$2,0))),0,IF(AND($D5&gt;$C5,MONTH(Q$2)=MONTH($C5),MONTH(Q$2)&lt;&gt;MONTH($D5),YEAR(Q$2)=YEAR($C5)),DAY(EOMONTH($C5,0))-DAY($C5)+1,IF($D5&lt;$C5,"NA",IF(AND(MONTH(Q$2)=MONTH($D5),YEAR(Q$2)=YEAR($D5),MONTH($C5)=MONTH(Q$2)),$D5-$C5,IF(AND(MONTH(Q$2)&lt;MONTH($D5),YEAR(Q$2)=YEAR($D5),MONTH($C5)&lt;MONTH(Q$2)),DAY(EOMONTH(Q$2,0)),DAY($D5)-1)))))))</f>
        <v>4500.000000000011</v>
      </c>
      <c r="R5" cm="1" s="15">
        <f t="array" ref="R5">SUMPRODUCT((($G$1:$J$1=R$1)*($G5:$J5)*IF(NOT(AND(EOMONTH(R$2,0)&gt;=EOMONTH($C5,0),EOMONTH($D5,0)&gt;=EOMONTH(R$2,0))),0,IF(AND($D5&gt;$C5,MONTH(R$2)=MONTH($C5),MONTH(R$2)&lt;&gt;MONTH($D5),YEAR(R$2)=YEAR($C5)),DAY(EOMONTH($C5,0))-DAY($C5)+1,IF($D5&lt;$C5,"NA",IF(AND(MONTH(R$2)=MONTH($D5),YEAR(R$2)=YEAR($D5),MONTH($C5)=MONTH(R$2)),$D5-$C5,IF(AND(MONTH(R$2)&lt;MONTH($D5),YEAR(R$2)=YEAR($D5),MONTH($C5)&lt;MONTH(R$2)),DAY(EOMONTH(R$2,0)),DAY($D5)-1)))))))</f>
        <v>4500.000000000011</v>
      </c>
      <c r="S5" cm="1" s="15">
        <f t="array" ref="S5">SUMPRODUCT((($G$1:$J$1=S$1)*($G5:$J5)*IF(NOT(AND(EOMONTH(S$2,0)&gt;=EOMONTH($C5,0),EOMONTH($D5,0)&gt;=EOMONTH(S$2,0))),0,IF(AND($D5&gt;$C5,MONTH(S$2)=MONTH($C5),MONTH(S$2)&lt;&gt;MONTH($D5),YEAR(S$2)=YEAR($C5)),DAY(EOMONTH($C5,0))-DAY($C5)+1,IF($D5&lt;$C5,"NA",IF(AND(MONTH(S$2)=MONTH($D5),YEAR(S$2)=YEAR($D5),MONTH($C5)=MONTH(S$2)),$D5-$C5,IF(AND(MONTH(S$2)&lt;MONTH($D5),YEAR(S$2)=YEAR($D5),MONTH($C5)&lt;MONTH(S$2)),DAY(EOMONTH(S$2,0)),DAY($D5)-1)))))))</f>
        <v>4500</v>
      </c>
      <c r="T5" cm="1" s="15">
        <f t="array" ref="T5">SUMPRODUCT((($G$1:$J$1=T$1)*($G5:$J5)*IF(NOT(AND(EOMONTH(T$2,0)&gt;=EOMONTH($C5,0),EOMONTH($D5,0)&gt;=EOMONTH(T$2,0))),0,IF(AND($D5&gt;$C5,MONTH(T$2)=MONTH($C5),MONTH(T$2)&lt;&gt;MONTH($D5),YEAR(T$2)=YEAR($C5)),DAY(EOMONTH($C5,0))-DAY($C5)+1,IF($D5&lt;$C5,"NA",IF(AND(MONTH(T$2)=MONTH($D5),YEAR(T$2)=YEAR($D5),MONTH($C5)=MONTH(T$2)),$D5-$C5,IF(AND(MONTH(T$2)&lt;MONTH($D5),YEAR(T$2)=YEAR($D5),MONTH($C5)&lt;MONTH(T$2)),DAY(EOMONTH(T$2,0)),DAY($D5)-1)))))))</f>
        <v>4500.000000000011</v>
      </c>
      <c r="U5" cm="1" s="15">
        <f t="array" ref="U5">SUMPRODUCT((($G$1:$J$1=U$1)*($G5:$J5)*IF(NOT(AND(EOMONTH(U$2,0)&gt;=EOMONTH($C5,0),EOMONTH($D5,0)&gt;=EOMONTH(U$2,0))),0,IF(AND($D5&gt;$C5,MONTH(U$2)=MONTH($C5),MONTH(U$2)&lt;&gt;MONTH($D5),YEAR(U$2)=YEAR($C5)),DAY(EOMONTH($C5,0))-DAY($C5)+1,IF($D5&lt;$C5,"NA",IF(AND(MONTH(U$2)=MONTH($D5),YEAR(U$2)=YEAR($D5),MONTH($C5)=MONTH(U$2)),$D5-$C5,IF(AND(MONTH(U$2)&lt;MONTH($D5),YEAR(U$2)=YEAR($D5),MONTH($C5)&lt;MONTH(U$2)),DAY(EOMONTH(U$2,0)),DAY($D5)-1)))))))</f>
        <v>1950</v>
      </c>
      <c r="V5" cm="1" s="15">
        <f t="array" ref="V5">SUMPRODUCT((($G$1:$J$1=V$1)*($G5:$J5)*IF(NOT(AND(EOMONTH(V$2,0)&gt;=EOMONTH($C5,0),EOMONTH($D5,0)&gt;=EOMONTH(V$2,0))),0,IF(AND($D5&gt;$C5,MONTH(V$2)=MONTH($C5),MONTH(V$2)&lt;&gt;MONTH($D5),YEAR(V$2)=YEAR($C5)),DAY(EOMONTH($C5,0))-DAY($C5)+1,IF($D5&lt;$C5,"NA",IF(AND(MONTH(V$2)=MONTH($D5),YEAR(V$2)=YEAR($D5),MONTH($C5)=MONTH(V$2)),$D5-$C5,IF(AND(MONTH(V$2)&lt;MONTH($D5),YEAR(V$2)=YEAR($D5),MONTH($C5)&lt;MONTH(V$2)),DAY(EOMONTH(V$2,0)),DAY($D5)-1)))))))</f>
        <v>0</v>
      </c>
      <c r="W5" s="16">
        <v>21900</v>
      </c>
      <c r="X5" s="17"/>
      <c r="Y5" s="17"/>
    </row>
    <row r="6" ht="24.00" customHeight="true">
      <c r="A6" s="9">
        <f t="shared" si="2"/>
        <v>4</v>
      </c>
      <c r="B6" t="s" s="10">
        <v>15</v>
      </c>
      <c r="C6" s="11">
        <v>44043</v>
      </c>
      <c r="D6" s="11">
        <v>44188</v>
      </c>
      <c r="E6" s="12">
        <f t="shared" si="5"/>
        <v>145</v>
      </c>
      <c r="F6" s="13">
        <v>6500</v>
      </c>
      <c r="G6" s="13">
        <f t="shared" si="3"/>
        <v>232.142857142857</v>
      </c>
      <c r="H6" s="13">
        <f t="shared" si="0"/>
        <v>224.137931034483</v>
      </c>
      <c r="I6" s="14">
        <f t="shared" si="4"/>
        <v>216.666666666667</v>
      </c>
      <c r="J6" s="14">
        <f t="shared" si="1"/>
        <v>209.677419354839</v>
      </c>
      <c r="K6" cm="1" s="15">
        <f t="array" ref="K6">SUMPRODUCT((($G$1:$J$1=K$1)*($G6:$J6)*IF(NOT(AND(EOMONTH(K$2,0)&gt;=EOMONTH($C6,0),EOMONTH($D6,0)&gt;=EOMONTH(K$2,0))),0,IF(AND($D6&gt;$C6,MONTH(K$2)=MONTH($C6),MONTH(K$2)&lt;&gt;MONTH($D6),YEAR(K$2)=YEAR($C6)),DAY(EOMONTH($C6,0))-DAY($C6)+1,IF($D6&lt;$C6,"NA",IF(AND(MONTH(K$2)=MONTH($D6),YEAR(K$2)=YEAR($D6),MONTH($C6)=MONTH(K$2)),$D6-$C6,IF(AND(MONTH(K$2)&lt;MONTH($D6),YEAR(K$2)=YEAR($D6),MONTH($C6)&lt;MONTH(K$2)),DAY(EOMONTH(K$2,0)),DAY($D6)-1)))))))</f>
        <v>0</v>
      </c>
      <c r="L6" cm="1" s="15">
        <f t="array" ref="L6">SUMPRODUCT((($G$1:$J$1=L$1)*($G6:$J6)*IF(NOT(AND(EOMONTH(L$2,0)&gt;=EOMONTH($C6,0),EOMONTH($D6,0)&gt;=EOMONTH(L$2,0))),0,IF(AND($D6&gt;$C6,MONTH(L$2)=MONTH($C6),MONTH(L$2)&lt;&gt;MONTH($D6),YEAR(L$2)=YEAR($C6)),DAY(EOMONTH($C6,0))-DAY($C6)+1,IF($D6&lt;$C6,"NA",IF(AND(MONTH(L$2)=MONTH($D6),YEAR(L$2)=YEAR($D6),MONTH($C6)=MONTH(L$2)),$D6-$C6,IF(AND(MONTH(L$2)&lt;MONTH($D6),YEAR(L$2)=YEAR($D6),MONTH($C6)&lt;MONTH(L$2)),DAY(EOMONTH(L$2,0)),DAY($D6)-1)))))))</f>
        <v>0</v>
      </c>
      <c r="M6" cm="1" s="15">
        <f t="array" ref="M6">SUMPRODUCT((($G$1:$J$1=M$1)*($G6:$J6)*IF(NOT(AND(EOMONTH(M$2,0)&gt;=EOMONTH($C6,0),EOMONTH($D6,0)&gt;=EOMONTH(M$2,0))),0,IF(AND($D6&gt;$C6,MONTH(M$2)=MONTH($C6),MONTH(M$2)&lt;&gt;MONTH($D6),YEAR(M$2)=YEAR($C6)),DAY(EOMONTH($C6,0))-DAY($C6)+1,IF($D6&lt;$C6,"NA",IF(AND(MONTH(M$2)=MONTH($D6),YEAR(M$2)=YEAR($D6),MONTH($C6)=MONTH(M$2)),$D6-$C6,IF(AND(MONTH(M$2)&lt;MONTH($D6),YEAR(M$2)=YEAR($D6),MONTH($C6)&lt;MONTH(M$2)),DAY(EOMONTH(M$2,0)),DAY($D6)-1)))))))</f>
        <v>0</v>
      </c>
      <c r="N6" cm="1" s="15">
        <f t="array" ref="N6">SUMPRODUCT((($G$1:$J$1=N$1)*($G6:$J6)*IF(NOT(AND(EOMONTH(N$2,0)&gt;=EOMONTH($C6,0),EOMONTH($D6,0)&gt;=EOMONTH(N$2,0))),0,IF(AND($D6&gt;$C6,MONTH(N$2)=MONTH($C6),MONTH(N$2)&lt;&gt;MONTH($D6),YEAR(N$2)=YEAR($C6)),DAY(EOMONTH($C6,0))-DAY($C6)+1,IF($D6&lt;$C6,"NA",IF(AND(MONTH(N$2)=MONTH($D6),YEAR(N$2)=YEAR($D6),MONTH($C6)=MONTH(N$2)),$D6-$C6,IF(AND(MONTH(N$2)&lt;MONTH($D6),YEAR(N$2)=YEAR($D6),MONTH($C6)&lt;MONTH(N$2)),DAY(EOMONTH(N$2,0)),DAY($D6)-1)))))))</f>
        <v>0</v>
      </c>
      <c r="O6" cm="1" s="15">
        <f t="array" ref="O6">SUMPRODUCT((($G$1:$J$1=O$1)*($G6:$J6)*IF(NOT(AND(EOMONTH(O$2,0)&gt;=EOMONTH($C6,0),EOMONTH($D6,0)&gt;=EOMONTH(O$2,0))),0,IF(AND($D6&gt;$C6,MONTH(O$2)=MONTH($C6),MONTH(O$2)&lt;&gt;MONTH($D6),YEAR(O$2)=YEAR($C6)),DAY(EOMONTH($C6,0))-DAY($C6)+1,IF($D6&lt;$C6,"NA",IF(AND(MONTH(O$2)=MONTH($D6),YEAR(O$2)=YEAR($D6),MONTH($C6)=MONTH(O$2)),$D6-$C6,IF(AND(MONTH(O$2)&lt;MONTH($D6),YEAR(O$2)=YEAR($D6),MONTH($C6)&lt;MONTH(O$2)),DAY(EOMONTH(O$2,0)),DAY($D6)-1)))))))</f>
        <v>0</v>
      </c>
      <c r="P6" cm="1" s="15">
        <f t="array" ref="P6">SUMPRODUCT((($G$1:$J$1=P$1)*($G6:$J6)*IF(NOT(AND(EOMONTH(P$2,0)&gt;=EOMONTH($C6,0),EOMONTH($D6,0)&gt;=EOMONTH(P$2,0))),0,IF(AND($D6&gt;$C6,MONTH(P$2)=MONTH($C6),MONTH(P$2)&lt;&gt;MONTH($D6),YEAR(P$2)=YEAR($C6)),DAY(EOMONTH($C6,0))-DAY($C6)+1,IF($D6&lt;$C6,"NA",IF(AND(MONTH(P$2)=MONTH($D6),YEAR(P$2)=YEAR($D6),MONTH($C6)=MONTH(P$2)),$D6-$C6,IF(AND(MONTH(P$2)&lt;MONTH($D6),YEAR(P$2)=YEAR($D6),MONTH($C6)&lt;MONTH(P$2)),DAY(EOMONTH(P$2,0)),DAY($D6)-1)))))))</f>
        <v>0</v>
      </c>
      <c r="Q6" cm="1" s="15">
        <f t="array" ref="Q6">SUMPRODUCT((($G$1:$J$1=Q$1)*($G6:$J6)*IF(NOT(AND(EOMONTH(Q$2,0)&gt;=EOMONTH($C6,0),EOMONTH($D6,0)&gt;=EOMONTH(Q$2,0))),0,IF(AND($D6&gt;$C6,MONTH(Q$2)=MONTH($C6),MONTH(Q$2)&lt;&gt;MONTH($D6),YEAR(Q$2)=YEAR($C6)),DAY(EOMONTH($C6,0))-DAY($C6)+1,IF($D6&lt;$C6,"NA",IF(AND(MONTH(Q$2)=MONTH($D6),YEAR(Q$2)=YEAR($D6),MONTH($C6)=MONTH(Q$2)),$D6-$C6,IF(AND(MONTH(Q$2)&lt;MONTH($D6),YEAR(Q$2)=YEAR($D6),MONTH($C6)&lt;MONTH(Q$2)),DAY(EOMONTH(Q$2,0)),DAY($D6)-1)))))))</f>
        <v>209.677419354839</v>
      </c>
      <c r="R6" cm="1" s="15">
        <f t="array" ref="R6">SUMPRODUCT((($G$1:$J$1=R$1)*($G6:$J6)*IF(NOT(AND(EOMONTH(R$2,0)&gt;=EOMONTH($C6,0),EOMONTH($D6,0)&gt;=EOMONTH(R$2,0))),0,IF(AND($D6&gt;$C6,MONTH(R$2)=MONTH($C6),MONTH(R$2)&lt;&gt;MONTH($D6),YEAR(R$2)=YEAR($C6)),DAY(EOMONTH($C6,0))-DAY($C6)+1,IF($D6&lt;$C6,"NA",IF(AND(MONTH(R$2)=MONTH($D6),YEAR(R$2)=YEAR($D6),MONTH($C6)=MONTH(R$2)),$D6-$C6,IF(AND(MONTH(R$2)&lt;MONTH($D6),YEAR(R$2)=YEAR($D6),MONTH($C6)&lt;MONTH(R$2)),DAY(EOMONTH(R$2,0)),DAY($D6)-1)))))))</f>
        <v>6500.000000000009</v>
      </c>
      <c r="S6" cm="1" s="15">
        <f t="array" ref="S6">SUMPRODUCT((($G$1:$J$1=S$1)*($G6:$J6)*IF(NOT(AND(EOMONTH(S$2,0)&gt;=EOMONTH($C6,0),EOMONTH($D6,0)&gt;=EOMONTH(S$2,0))),0,IF(AND($D6&gt;$C6,MONTH(S$2)=MONTH($C6),MONTH(S$2)&lt;&gt;MONTH($D6),YEAR(S$2)=YEAR($C6)),DAY(EOMONTH($C6,0))-DAY($C6)+1,IF($D6&lt;$C6,"NA",IF(AND(MONTH(S$2)=MONTH($D6),YEAR(S$2)=YEAR($D6),MONTH($C6)=MONTH(S$2)),$D6-$C6,IF(AND(MONTH(S$2)&lt;MONTH($D6),YEAR(S$2)=YEAR($D6),MONTH($C6)&lt;MONTH(S$2)),DAY(EOMONTH(S$2,0)),DAY($D6)-1)))))))</f>
        <v>6500.00000000001</v>
      </c>
      <c r="T6" cm="1" s="15">
        <f t="array" ref="T6">SUMPRODUCT((($G$1:$J$1=T$1)*($G6:$J6)*IF(NOT(AND(EOMONTH(T$2,0)&gt;=EOMONTH($C6,0),EOMONTH($D6,0)&gt;=EOMONTH(T$2,0))),0,IF(AND($D6&gt;$C6,MONTH(T$2)=MONTH($C6),MONTH(T$2)&lt;&gt;MONTH($D6),YEAR(T$2)=YEAR($C6)),DAY(EOMONTH($C6,0))-DAY($C6)+1,IF($D6&lt;$C6,"NA",IF(AND(MONTH(T$2)=MONTH($D6),YEAR(T$2)=YEAR($D6),MONTH($C6)=MONTH(T$2)),$D6-$C6,IF(AND(MONTH(T$2)&lt;MONTH($D6),YEAR(T$2)=YEAR($D6),MONTH($C6)&lt;MONTH(T$2)),DAY(EOMONTH(T$2,0)),DAY($D6)-1)))))))</f>
        <v>6500.000000000009</v>
      </c>
      <c r="U6" cm="1" s="15">
        <f t="array" ref="U6">SUMPRODUCT((($G$1:$J$1=U$1)*($G6:$J6)*IF(NOT(AND(EOMONTH(U$2,0)&gt;=EOMONTH($C6,0),EOMONTH($D6,0)&gt;=EOMONTH(U$2,0))),0,IF(AND($D6&gt;$C6,MONTH(U$2)=MONTH($C6),MONTH(U$2)&lt;&gt;MONTH($D6),YEAR(U$2)=YEAR($C6)),DAY(EOMONTH($C6,0))-DAY($C6)+1,IF($D6&lt;$C6,"NA",IF(AND(MONTH(U$2)=MONTH($D6),YEAR(U$2)=YEAR($D6),MONTH($C6)=MONTH(U$2)),$D6-$C6,IF(AND(MONTH(U$2)&lt;MONTH($D6),YEAR(U$2)=YEAR($D6),MONTH($C6)&lt;MONTH(U$2)),DAY(EOMONTH(U$2,0)),DAY($D6)-1)))))))</f>
        <v>6500.00000000001</v>
      </c>
      <c r="V6" cm="1" s="15">
        <f t="array" ref="V6">SUMPRODUCT((($G$1:$J$1=V$1)*($G6:$J6)*IF(NOT(AND(EOMONTH(V$2,0)&gt;=EOMONTH($C6,0),EOMONTH($D6,0)&gt;=EOMONTH(V$2,0))),0,IF(AND($D6&gt;$C6,MONTH(V$2)=MONTH($C6),MONTH(V$2)&lt;&gt;MONTH($D6),YEAR(V$2)=YEAR($C6)),DAY(EOMONTH($C6,0))-DAY($C6)+1,IF($D6&lt;$C6,"NA",IF(AND(MONTH(V$2)=MONTH($D6),YEAR(V$2)=YEAR($D6),MONTH($C6)=MONTH(V$2)),$D6-$C6,IF(AND(MONTH(V$2)&lt;MONTH($D6),YEAR(V$2)=YEAR($D6),MONTH($C6)&lt;MONTH(V$2)),DAY(EOMONTH(V$2,0)),DAY($D6)-1)))))))</f>
        <v>4612.903225806458</v>
      </c>
      <c r="W6" s="16">
        <v>30822.58</v>
      </c>
      <c r="X6" s="17"/>
      <c r="Y6" s="17"/>
    </row>
    <row r="7" ht="24.00" customHeight="true">
      <c r="A7" s="9">
        <f t="shared" si="2"/>
        <v>5</v>
      </c>
      <c r="B7" t="s" s="10">
        <v>16</v>
      </c>
      <c r="C7" s="11">
        <v>44093</v>
      </c>
      <c r="D7" s="11">
        <v>44149</v>
      </c>
      <c r="E7" s="12">
        <f t="shared" si="5"/>
        <v>56</v>
      </c>
      <c r="F7" s="13">
        <v>8900</v>
      </c>
      <c r="G7" s="13">
        <f t="shared" si="3"/>
        <v>317.857142857143</v>
      </c>
      <c r="H7" s="13">
        <f t="shared" si="0"/>
        <v>306.896551724138</v>
      </c>
      <c r="I7" s="14">
        <f t="shared" si="4"/>
        <v>296.666666666667</v>
      </c>
      <c r="J7" s="14">
        <f t="shared" si="1"/>
        <v>287.096774193548</v>
      </c>
      <c r="K7" cm="1" s="15">
        <f t="array" ref="K7">SUMPRODUCT((($G$1:$J$1=K$1)*($G7:$J7)*IF(NOT(AND(EOMONTH(K$2,0)&gt;=EOMONTH($C7,0),EOMONTH($D7,0)&gt;=EOMONTH(K$2,0))),0,IF(AND($D7&gt;$C7,MONTH(K$2)=MONTH($C7),MONTH(K$2)&lt;&gt;MONTH($D7),YEAR(K$2)=YEAR($C7)),DAY(EOMONTH($C7,0))-DAY($C7)+1,IF($D7&lt;$C7,"NA",IF(AND(MONTH(K$2)=MONTH($D7),YEAR(K$2)=YEAR($D7),MONTH($C7)=MONTH(K$2)),$D7-$C7,IF(AND(MONTH(K$2)&lt;MONTH($D7),YEAR(K$2)=YEAR($D7),MONTH($C7)&lt;MONTH(K$2)),DAY(EOMONTH(K$2,0)),DAY($D7)-1)))))))</f>
        <v>0</v>
      </c>
      <c r="L7" cm="1" s="15">
        <f t="array" ref="L7">SUMPRODUCT((($G$1:$J$1=L$1)*($G7:$J7)*IF(NOT(AND(EOMONTH(L$2,0)&gt;=EOMONTH($C7,0),EOMONTH($D7,0)&gt;=EOMONTH(L$2,0))),0,IF(AND($D7&gt;$C7,MONTH(L$2)=MONTH($C7),MONTH(L$2)&lt;&gt;MONTH($D7),YEAR(L$2)=YEAR($C7)),DAY(EOMONTH($C7,0))-DAY($C7)+1,IF($D7&lt;$C7,"NA",IF(AND(MONTH(L$2)=MONTH($D7),YEAR(L$2)=YEAR($D7),MONTH($C7)=MONTH(L$2)),$D7-$C7,IF(AND(MONTH(L$2)&lt;MONTH($D7),YEAR(L$2)=YEAR($D7),MONTH($C7)&lt;MONTH(L$2)),DAY(EOMONTH(L$2,0)),DAY($D7)-1)))))))</f>
        <v>0</v>
      </c>
      <c r="M7" cm="1" s="15">
        <f t="array" ref="M7">SUMPRODUCT((($G$1:$J$1=M$1)*($G7:$J7)*IF(NOT(AND(EOMONTH(M$2,0)&gt;=EOMONTH($C7,0),EOMONTH($D7,0)&gt;=EOMONTH(M$2,0))),0,IF(AND($D7&gt;$C7,MONTH(M$2)=MONTH($C7),MONTH(M$2)&lt;&gt;MONTH($D7),YEAR(M$2)=YEAR($C7)),DAY(EOMONTH($C7,0))-DAY($C7)+1,IF($D7&lt;$C7,"NA",IF(AND(MONTH(M$2)=MONTH($D7),YEAR(M$2)=YEAR($D7),MONTH($C7)=MONTH(M$2)),$D7-$C7,IF(AND(MONTH(M$2)&lt;MONTH($D7),YEAR(M$2)=YEAR($D7),MONTH($C7)&lt;MONTH(M$2)),DAY(EOMONTH(M$2,0)),DAY($D7)-1)))))))</f>
        <v>0</v>
      </c>
      <c r="N7" cm="1" s="15">
        <f t="array" ref="N7">SUMPRODUCT((($G$1:$J$1=N$1)*($G7:$J7)*IF(NOT(AND(EOMONTH(N$2,0)&gt;=EOMONTH($C7,0),EOMONTH($D7,0)&gt;=EOMONTH(N$2,0))),0,IF(AND($D7&gt;$C7,MONTH(N$2)=MONTH($C7),MONTH(N$2)&lt;&gt;MONTH($D7),YEAR(N$2)=YEAR($C7)),DAY(EOMONTH($C7,0))-DAY($C7)+1,IF($D7&lt;$C7,"NA",IF(AND(MONTH(N$2)=MONTH($D7),YEAR(N$2)=YEAR($D7),MONTH($C7)=MONTH(N$2)),$D7-$C7,IF(AND(MONTH(N$2)&lt;MONTH($D7),YEAR(N$2)=YEAR($D7),MONTH($C7)&lt;MONTH(N$2)),DAY(EOMONTH(N$2,0)),DAY($D7)-1)))))))</f>
        <v>0</v>
      </c>
      <c r="O7" cm="1" s="15">
        <f t="array" ref="O7">SUMPRODUCT((($G$1:$J$1=O$1)*($G7:$J7)*IF(NOT(AND(EOMONTH(O$2,0)&gt;=EOMONTH($C7,0),EOMONTH($D7,0)&gt;=EOMONTH(O$2,0))),0,IF(AND($D7&gt;$C7,MONTH(O$2)=MONTH($C7),MONTH(O$2)&lt;&gt;MONTH($D7),YEAR(O$2)=YEAR($C7)),DAY(EOMONTH($C7,0))-DAY($C7)+1,IF($D7&lt;$C7,"NA",IF(AND(MONTH(O$2)=MONTH($D7),YEAR(O$2)=YEAR($D7),MONTH($C7)=MONTH(O$2)),$D7-$C7,IF(AND(MONTH(O$2)&lt;MONTH($D7),YEAR(O$2)=YEAR($D7),MONTH($C7)&lt;MONTH(O$2)),DAY(EOMONTH(O$2,0)),DAY($D7)-1)))))))</f>
        <v>0</v>
      </c>
      <c r="P7" cm="1" s="15">
        <f t="array" ref="P7">SUMPRODUCT((($G$1:$J$1=P$1)*($G7:$J7)*IF(NOT(AND(EOMONTH(P$2,0)&gt;=EOMONTH($C7,0),EOMONTH($D7,0)&gt;=EOMONTH(P$2,0))),0,IF(AND($D7&gt;$C7,MONTH(P$2)=MONTH($C7),MONTH(P$2)&lt;&gt;MONTH($D7),YEAR(P$2)=YEAR($C7)),DAY(EOMONTH($C7,0))-DAY($C7)+1,IF($D7&lt;$C7,"NA",IF(AND(MONTH(P$2)=MONTH($D7),YEAR(P$2)=YEAR($D7),MONTH($C7)=MONTH(P$2)),$D7-$C7,IF(AND(MONTH(P$2)&lt;MONTH($D7),YEAR(P$2)=YEAR($D7),MONTH($C7)&lt;MONTH(P$2)),DAY(EOMONTH(P$2,0)),DAY($D7)-1)))))))</f>
        <v>0</v>
      </c>
      <c r="Q7" cm="1" s="15">
        <f t="array" ref="Q7">SUMPRODUCT((($G$1:$J$1=Q$1)*($G7:$J7)*IF(NOT(AND(EOMONTH(Q$2,0)&gt;=EOMONTH($C7,0),EOMONTH($D7,0)&gt;=EOMONTH(Q$2,0))),0,IF(AND($D7&gt;$C7,MONTH(Q$2)=MONTH($C7),MONTH(Q$2)&lt;&gt;MONTH($D7),YEAR(Q$2)=YEAR($C7)),DAY(EOMONTH($C7,0))-DAY($C7)+1,IF($D7&lt;$C7,"NA",IF(AND(MONTH(Q$2)=MONTH($D7),YEAR(Q$2)=YEAR($D7),MONTH($C7)=MONTH(Q$2)),$D7-$C7,IF(AND(MONTH(Q$2)&lt;MONTH($D7),YEAR(Q$2)=YEAR($D7),MONTH($C7)&lt;MONTH(Q$2)),DAY(EOMONTH(Q$2,0)),DAY($D7)-1)))))))</f>
        <v>0</v>
      </c>
      <c r="R7" cm="1" s="15">
        <f t="array" ref="R7">SUMPRODUCT((($G$1:$J$1=R$1)*($G7:$J7)*IF(NOT(AND(EOMONTH(R$2,0)&gt;=EOMONTH($C7,0),EOMONTH($D7,0)&gt;=EOMONTH(R$2,0))),0,IF(AND($D7&gt;$C7,MONTH(R$2)=MONTH($C7),MONTH(R$2)&lt;&gt;MONTH($D7),YEAR(R$2)=YEAR($C7)),DAY(EOMONTH($C7,0))-DAY($C7)+1,IF($D7&lt;$C7,"NA",IF(AND(MONTH(R$2)=MONTH($D7),YEAR(R$2)=YEAR($D7),MONTH($C7)=MONTH(R$2)),$D7-$C7,IF(AND(MONTH(R$2)&lt;MONTH($D7),YEAR(R$2)=YEAR($D7),MONTH($C7)&lt;MONTH(R$2)),DAY(EOMONTH(R$2,0)),DAY($D7)-1)))))))</f>
        <v>0</v>
      </c>
      <c r="S7" cm="1" s="15">
        <f t="array" ref="S7">SUMPRODUCT((($G$1:$J$1=S$1)*($G7:$J7)*IF(NOT(AND(EOMONTH(S$2,0)&gt;=EOMONTH($C7,0),EOMONTH($D7,0)&gt;=EOMONTH(S$2,0))),0,IF(AND($D7&gt;$C7,MONTH(S$2)=MONTH($C7),MONTH(S$2)&lt;&gt;MONTH($D7),YEAR(S$2)=YEAR($C7)),DAY(EOMONTH($C7,0))-DAY($C7)+1,IF($D7&lt;$C7,"NA",IF(AND(MONTH(S$2)=MONTH($D7),YEAR(S$2)=YEAR($D7),MONTH($C7)=MONTH(S$2)),$D7-$C7,IF(AND(MONTH(S$2)&lt;MONTH($D7),YEAR(S$2)=YEAR($D7),MONTH($C7)&lt;MONTH(S$2)),DAY(EOMONTH(S$2,0)),DAY($D7)-1)))))))</f>
        <v>3560.000000000004</v>
      </c>
      <c r="T7" cm="1" s="15">
        <f t="array" ref="T7">SUMPRODUCT((($G$1:$J$1=T$1)*($G7:$J7)*IF(NOT(AND(EOMONTH(T$2,0)&gt;=EOMONTH($C7,0),EOMONTH($D7,0)&gt;=EOMONTH(T$2,0))),0,IF(AND($D7&gt;$C7,MONTH(T$2)=MONTH($C7),MONTH(T$2)&lt;&gt;MONTH($D7),YEAR(T$2)=YEAR($C7)),DAY(EOMONTH($C7,0))-DAY($C7)+1,IF($D7&lt;$C7,"NA",IF(AND(MONTH(T$2)=MONTH($D7),YEAR(T$2)=YEAR($D7),MONTH($C7)=MONTH(T$2)),$D7-$C7,IF(AND(MONTH(T$2)&lt;MONTH($D7),YEAR(T$2)=YEAR($D7),MONTH($C7)&lt;MONTH(T$2)),DAY(EOMONTH(T$2,0)),DAY($D7)-1)))))))</f>
        <v>8899.999999999987</v>
      </c>
      <c r="U7" cm="1" s="15">
        <f t="array" ref="U7">SUMPRODUCT((($G$1:$J$1=U$1)*($G7:$J7)*IF(NOT(AND(EOMONTH(U$2,0)&gt;=EOMONTH($C7,0),EOMONTH($D7,0)&gt;=EOMONTH(U$2,0))),0,IF(AND($D7&gt;$C7,MONTH(U$2)=MONTH($C7),MONTH(U$2)&lt;&gt;MONTH($D7),YEAR(U$2)=YEAR($C7)),DAY(EOMONTH($C7,0))-DAY($C7)+1,IF($D7&lt;$C7,"NA",IF(AND(MONTH(U$2)=MONTH($D7),YEAR(U$2)=YEAR($D7),MONTH($C7)=MONTH(U$2)),$D7-$C7,IF(AND(MONTH(U$2)&lt;MONTH($D7),YEAR(U$2)=YEAR($D7),MONTH($C7)&lt;MONTH(U$2)),DAY(EOMONTH(U$2,0)),DAY($D7)-1)))))))</f>
        <v>3856.666666666671</v>
      </c>
      <c r="V7" cm="1" s="15">
        <f t="array" ref="V7">SUMPRODUCT((($G$1:$J$1=V$1)*($G7:$J7)*IF(NOT(AND(EOMONTH(V$2,0)&gt;=EOMONTH($C7,0),EOMONTH($D7,0)&gt;=EOMONTH(V$2,0))),0,IF(AND($D7&gt;$C7,MONTH(V$2)=MONTH($C7),MONTH(V$2)&lt;&gt;MONTH($D7),YEAR(V$2)=YEAR($C7)),DAY(EOMONTH($C7,0))-DAY($C7)+1,IF($D7&lt;$C7,"NA",IF(AND(MONTH(V$2)=MONTH($D7),YEAR(V$2)=YEAR($D7),MONTH($C7)=MONTH(V$2)),$D7-$C7,IF(AND(MONTH(V$2)&lt;MONTH($D7),YEAR(V$2)=YEAR($D7),MONTH($C7)&lt;MONTH(V$2)),DAY(EOMONTH(V$2,0)),DAY($D7)-1)))))))</f>
        <v>0</v>
      </c>
      <c r="W7" s="16">
        <v>16316.67</v>
      </c>
      <c r="X7" s="17"/>
      <c r="Y7" s="17"/>
    </row>
    <row r="8" ht="13.00" customHeight="true">
      <c r="C8" s="19">
        <v>43856</v>
      </c>
      <c r="D8" s="19">
        <v>43859</v>
      </c>
      <c r="E8" s="20">
        <f>D8-C8</f>
        <v>3</v>
      </c>
      <c r="F8" s="21">
        <v>8901</v>
      </c>
      <c r="G8" s="21">
        <f>F8/28</f>
        <v>317.89285714285717</v>
      </c>
      <c r="H8" s="21">
        <f>F8/29</f>
        <v>306.9310344827586</v>
      </c>
      <c r="I8" s="22">
        <f>F8/30</f>
        <v>296.7</v>
      </c>
      <c r="J8" s="22">
        <f>F8/31</f>
        <v>287.1290322580645</v>
      </c>
      <c r="K8" cm="1" s="23">
        <f t="array" ref="K8">SUMPRODUCT((($G$1:$J$1=K$1)*($G8:$J8)*IF(NOT(AND(EOMONTH(K$2,0)&gt;=EOMONTH($C8,0),EOMONTH($D8,0)&gt;=EOMONTH(K$2,0))),0,IF(AND($D8&gt;$C8,MONTH(K$2)=MONTH($C8),MONTH(K$2)&lt;&gt;MONTH($D8),YEAR(K$2)=YEAR($C8)),DAY(EOMONTH($C8,0))-DAY($C8)+1,IF($D8&lt;$C8,"NA",IF(AND(MONTH(K$2)=MONTH($D8),YEAR(K$2)=YEAR($D8),MONTH($C8)=MONTH(K$2)),$D8-$C8,IF(AND(MONTH(K$2)&lt;MONTH($D8),YEAR(K$2)=YEAR($D8),MONTH($C8)&lt;MONTH(K$2)),DAY(EOMONTH(K$2,0)),DAY($D8)-1)))))))</f>
        <v>861.3870967741935</v>
      </c>
      <c r="L8" cm="1" s="23">
        <f t="array" ref="L8">SUMPRODUCT((($G$1:$J$1=L$1)*($G8:$J8)*IF(NOT(AND(EOMONTH(L$2,0)&gt;=EOMONTH($C8,0),EOMONTH($D8,0)&gt;=EOMONTH(L$2,0))),0,IF(AND($D8&gt;$C8,MONTH(L$2)=MONTH($C8),MONTH(L$2)&lt;&gt;MONTH($D8),YEAR(L$2)=YEAR($C8)),DAY(EOMONTH($C8,0))-DAY($C8)+1,IF($D8&lt;$C8,"NA",IF(AND(MONTH(L$2)=MONTH($D8),YEAR(L$2)=YEAR($D8),MONTH($C8)=MONTH(L$2)),$D8-$C8,IF(AND(MONTH(L$2)&lt;MONTH($D8),YEAR(L$2)=YEAR($D8),MONTH($C8)&lt;MONTH(L$2)),DAY(EOMONTH(L$2,0)),DAY($D8)-1)))))))</f>
        <v>0</v>
      </c>
      <c r="M8" cm="1" s="23">
        <f t="array" ref="M8">SUMPRODUCT((($G$1:$J$1=M$1)*($G8:$J8)*IF(NOT(AND(EOMONTH(M$2,0)&gt;=EOMONTH($C8,0),EOMONTH($D8,0)&gt;=EOMONTH(M$2,0))),0,IF(AND($D8&gt;$C8,MONTH(M$2)=MONTH($C8),MONTH(M$2)&lt;&gt;MONTH($D8),YEAR(M$2)=YEAR($C8)),DAY(EOMONTH($C8,0))-DAY($C8)+1,IF($D8&lt;$C8,"NA",IF(AND(MONTH(M$2)=MONTH($D8),YEAR(M$2)=YEAR($D8),MONTH($C8)=MONTH(M$2)),$D8-$C8,IF(AND(MONTH(M$2)&lt;MONTH($D8),YEAR(M$2)=YEAR($D8),MONTH($C8)&lt;MONTH(M$2)),DAY(EOMONTH(M$2,0)),DAY($D8)-1)))))))</f>
        <v>0</v>
      </c>
      <c r="N8" cm="1" s="23">
        <f t="array" ref="N8">SUMPRODUCT((($G$1:$J$1=N$1)*($G8:$J8)*IF(NOT(AND(EOMONTH(N$2,0)&gt;=EOMONTH($C8,0),EOMONTH($D8,0)&gt;=EOMONTH(N$2,0))),0,IF(AND($D8&gt;$C8,MONTH(N$2)=MONTH($C8),MONTH(N$2)&lt;&gt;MONTH($D8),YEAR(N$2)=YEAR($C8)),DAY(EOMONTH($C8,0))-DAY($C8)+1,IF($D8&lt;$C8,"NA",IF(AND(MONTH(N$2)=MONTH($D8),YEAR(N$2)=YEAR($D8),MONTH($C8)=MONTH(N$2)),$D8-$C8,IF(AND(MONTH(N$2)&lt;MONTH($D8),YEAR(N$2)=YEAR($D8),MONTH($C8)&lt;MONTH(N$2)),DAY(EOMONTH(N$2,0)),DAY($D8)-1)))))))</f>
        <v>0</v>
      </c>
      <c r="O8" cm="1" s="23">
        <f t="array" ref="O8">SUMPRODUCT((($G$1:$J$1=O$1)*($G8:$J8)*IF(NOT(AND(EOMONTH(O$2,0)&gt;=EOMONTH($C8,0),EOMONTH($D8,0)&gt;=EOMONTH(O$2,0))),0,IF(AND($D8&gt;$C8,MONTH(O$2)=MONTH($C8),MONTH(O$2)&lt;&gt;MONTH($D8),YEAR(O$2)=YEAR($C8)),DAY(EOMONTH($C8,0))-DAY($C8)+1,IF($D8&lt;$C8,"NA",IF(AND(MONTH(O$2)=MONTH($D8),YEAR(O$2)=YEAR($D8),MONTH($C8)=MONTH(O$2)),$D8-$C8,IF(AND(MONTH(O$2)&lt;MONTH($D8),YEAR(O$2)=YEAR($D8),MONTH($C8)&lt;MONTH(O$2)),DAY(EOMONTH(O$2,0)),DAY($D8)-1)))))))</f>
        <v>0</v>
      </c>
      <c r="P8" cm="1" s="23">
        <f t="array" ref="P8">SUMPRODUCT((($G$1:$J$1=P$1)*($G8:$J8)*IF(NOT(AND(EOMONTH(P$2,0)&gt;=EOMONTH($C8,0),EOMONTH($D8,0)&gt;=EOMONTH(P$2,0))),0,IF(AND($D8&gt;$C8,MONTH(P$2)=MONTH($C8),MONTH(P$2)&lt;&gt;MONTH($D8),YEAR(P$2)=YEAR($C8)),DAY(EOMONTH($C8,0))-DAY($C8)+1,IF($D8&lt;$C8,"NA",IF(AND(MONTH(P$2)=MONTH($D8),YEAR(P$2)=YEAR($D8),MONTH($C8)=MONTH(P$2)),$D8-$C8,IF(AND(MONTH(P$2)&lt;MONTH($D8),YEAR(P$2)=YEAR($D8),MONTH($C8)&lt;MONTH(P$2)),DAY(EOMONTH(P$2,0)),DAY($D8)-1)))))))</f>
        <v>0</v>
      </c>
      <c r="Q8" cm="1" s="23">
        <f t="array" ref="Q8">SUMPRODUCT((($G$1:$J$1=Q$1)*($G8:$J8)*IF(NOT(AND(EOMONTH(Q$2,0)&gt;=EOMONTH($C8,0),EOMONTH($D8,0)&gt;=EOMONTH(Q$2,0))),0,IF(AND($D8&gt;$C8,MONTH(Q$2)=MONTH($C8),MONTH(Q$2)&lt;&gt;MONTH($D8),YEAR(Q$2)=YEAR($C8)),DAY(EOMONTH($C8,0))-DAY($C8)+1,IF($D8&lt;$C8,"NA",IF(AND(MONTH(Q$2)=MONTH($D8),YEAR(Q$2)=YEAR($D8),MONTH($C8)=MONTH(Q$2)),$D8-$C8,IF(AND(MONTH(Q$2)&lt;MONTH($D8),YEAR(Q$2)=YEAR($D8),MONTH($C8)&lt;MONTH(Q$2)),DAY(EOMONTH(Q$2,0)),DAY($D8)-1)))))))</f>
        <v>0</v>
      </c>
      <c r="R8" cm="1" s="23">
        <f t="array" ref="R8">SUMPRODUCT((($G$1:$J$1=R$1)*($G8:$J8)*IF(NOT(AND(EOMONTH(R$2,0)&gt;=EOMONTH($C8,0),EOMONTH($D8,0)&gt;=EOMONTH(R$2,0))),0,IF(AND($D8&gt;$C8,MONTH(R$2)=MONTH($C8),MONTH(R$2)&lt;&gt;MONTH($D8),YEAR(R$2)=YEAR($C8)),DAY(EOMONTH($C8,0))-DAY($C8)+1,IF($D8&lt;$C8,"NA",IF(AND(MONTH(R$2)=MONTH($D8),YEAR(R$2)=YEAR($D8),MONTH($C8)=MONTH(R$2)),$D8-$C8,IF(AND(MONTH(R$2)&lt;MONTH($D8),YEAR(R$2)=YEAR($D8),MONTH($C8)&lt;MONTH(R$2)),DAY(EOMONTH(R$2,0)),DAY($D8)-1)))))))</f>
        <v>0</v>
      </c>
      <c r="S8" cm="1" s="23">
        <f t="array" ref="S8">SUMPRODUCT((($G$1:$J$1=S$1)*($G8:$J8)*IF(NOT(AND(EOMONTH(S$2,0)&gt;=EOMONTH($C8,0),EOMONTH($D8,0)&gt;=EOMONTH(S$2,0))),0,IF(AND($D8&gt;$C8,MONTH(S$2)=MONTH($C8),MONTH(S$2)&lt;&gt;MONTH($D8),YEAR(S$2)=YEAR($C8)),DAY(EOMONTH($C8,0))-DAY($C8)+1,IF($D8&lt;$C8,"NA",IF(AND(MONTH(S$2)=MONTH($D8),YEAR(S$2)=YEAR($D8),MONTH($C8)=MONTH(S$2)),$D8-$C8,IF(AND(MONTH(S$2)&lt;MONTH($D8),YEAR(S$2)=YEAR($D8),MONTH($C8)&lt;MONTH(S$2)),DAY(EOMONTH(S$2,0)),DAY($D8)-1)))))))</f>
        <v>0</v>
      </c>
      <c r="T8" cm="1" s="23">
        <f t="array" ref="T8">SUMPRODUCT((($G$1:$J$1=T$1)*($G8:$J8)*IF(NOT(AND(EOMONTH(T$2,0)&gt;=EOMONTH($C8,0),EOMONTH($D8,0)&gt;=EOMONTH(T$2,0))),0,IF(AND($D8&gt;$C8,MONTH(T$2)=MONTH($C8),MONTH(T$2)&lt;&gt;MONTH($D8),YEAR(T$2)=YEAR($C8)),DAY(EOMONTH($C8,0))-DAY($C8)+1,IF($D8&lt;$C8,"NA",IF(AND(MONTH(T$2)=MONTH($D8),YEAR(T$2)=YEAR($D8),MONTH($C8)=MONTH(T$2)),$D8-$C8,IF(AND(MONTH(T$2)&lt;MONTH($D8),YEAR(T$2)=YEAR($D8),MONTH($C8)&lt;MONTH(T$2)),DAY(EOMONTH(T$2,0)),DAY($D8)-1)))))))</f>
        <v>0</v>
      </c>
      <c r="U8" cm="1" s="23">
        <f t="array" ref="U8">SUMPRODUCT((($G$1:$J$1=U$1)*($G8:$J8)*IF(NOT(AND(EOMONTH(U$2,0)&gt;=EOMONTH($C8,0),EOMONTH($D8,0)&gt;=EOMONTH(U$2,0))),0,IF(AND($D8&gt;$C8,MONTH(U$2)=MONTH($C8),MONTH(U$2)&lt;&gt;MONTH($D8),YEAR(U$2)=YEAR($C8)),DAY(EOMONTH($C8,0))-DAY($C8)+1,IF($D8&lt;$C8,"NA",IF(AND(MONTH(U$2)=MONTH($D8),YEAR(U$2)=YEAR($D8),MONTH($C8)=MONTH(U$2)),$D8-$C8,IF(AND(MONTH(U$2)&lt;MONTH($D8),YEAR(U$2)=YEAR($D8),MONTH($C8)&lt;MONTH(U$2)),DAY(EOMONTH(U$2,0)),DAY($D8)-1)))))))</f>
        <v>0</v>
      </c>
      <c r="V8" cm="1" s="23">
        <f t="array" ref="V8">SUMPRODUCT((($G$1:$J$1=V$1)*($G8:$J8)*IF(NOT(AND(EOMONTH(V$2,0)&gt;=EOMONTH($C8,0),EOMONTH($D8,0)&gt;=EOMONTH(V$2,0))),0,IF(AND($D8&gt;$C8,MONTH(V$2)=MONTH($C8),MONTH(V$2)&lt;&gt;MONTH($D8),YEAR(V$2)=YEAR($C8)),DAY(EOMONTH($C8,0))-DAY($C8)+1,IF($D8&lt;$C8,"NA",IF(AND(MONTH(V$2)=MONTH($D8),YEAR(V$2)=YEAR($D8),MONTH($C8)=MONTH(V$2)),$D8-$C8,IF(AND(MONTH(V$2)&lt;MONTH($D8),YEAR(V$2)=YEAR($D8),MONTH($C8)&lt;MONTH(V$2)),DAY(EOMONTH(V$2,0)),DAY($D8)-1)))))))</f>
        <v>0</v>
      </c>
      <c r="W8" s="16">
        <v>861.39</v>
      </c>
      <c r="Y8" s="24"/>
    </row>
    <row r="9" ht="13.00" customHeight="true">
      <c r="Y9" s="24"/>
    </row>
    <row r="10" ht="13.00" customHeight="true">
      <c r="G10" s="25"/>
      <c r="L10" s="26"/>
    </row>
    <row r="11" ht="13.00" customHeight="true">
      <c r="G11" s="25"/>
      <c r="L11" s="26"/>
    </row>
    <row r="12" ht="13.00" customHeight="true">
      <c r="L12" s="26"/>
    </row>
    <row r="13" ht="13.00" customHeight="true">
      <c r="L13" s="26"/>
    </row>
    <row r="14" ht="13.00" customHeight="true">
      <c r="L14" s="26"/>
    </row>
  </sheetData>
  <phoneticPr fontId="0" type="noConversion"/>
  <conditionalFormatting sqref="B2:B7">
    <cfRule priority="1" type="duplicateValues" dxfId="0"/>
  </conditionalFormatting>
  <conditionalFormatting sqref="B3:B7">
    <cfRule priority="2" type="duplicateValues" dxfId="1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2026-06-01T02:43:00Z</dcterms:created>
  <dcterms:modified xsi:type="dcterms:W3CDTF">2026-06-01T02:43:00Z</dcterms:modified>
</cp:coreProperties>
</file>