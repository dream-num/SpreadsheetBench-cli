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0D7636C-7DC7-41A4-A476-B82A4BEF3595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  <sheet name="BIRJU PRESS PRINT" sheetId="2" r:id="rId2"/>
    <sheet name="BIRJU PAYMENT" sheetId="3" r:id="rId3"/>
    <sheet name="PRINT" sheetId="4" r:id="rId4"/>
    <sheet name="PAYMENT" sheetId="5" r:id="rId5"/>
    <sheet name="PRICE LIST" sheetId="6" r:id="rId6"/>
    <sheet name="Sheet7" sheetId="7" r:id="rId7"/>
  </sheets>
  <definedNames>
    <definedName name="_xlnm._FilterDatabase" localSheetId="0" hidden="true">Sheet1!$A$2:$AD$1001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"/>
  <c r="E10" i="5"/>
  <c r="F10" i="5"/>
  <c r="E11" i="5"/>
  <c r="F11" i="5"/>
  <c r="E2" i="5"/>
  <c r="G2" i="5"/>
  <c r="A6" i="5"/>
  <c r="C6" i="5"/>
  <c r="D6" i="5"/>
  <c r="E6" i="5"/>
  <c r="F6" i="5"/>
  <c r="B1" i="5"/>
  <c r="F14" i="5"/>
  <c r="E14" i="5"/>
  <c r="F5" i="5"/>
  <c r="E5" i="5"/>
  <c r="C5" i="5"/>
  <c r="B5" i="5"/>
  <c r="D5" i="5"/>
  <c r="A5" i="5"/>
  <c r="E13" i="5"/>
  <c r="F13" i="5"/>
  <c r="B4" i="5"/>
  <c r="D4" i="5"/>
  <c r="E4" i="5"/>
  <c r="F4" i="5"/>
  <c r="C4" i="5"/>
  <c r="G4" i="5"/>
  <c r="A4" i="5"/>
  <c r="E8" i="5"/>
  <c r="F8" i="5"/>
  <c r="C8" i="5"/>
  <c r="D8" i="5"/>
  <c r="E12" i="5"/>
  <c r="F12" i="5"/>
  <c r="E7" i="5"/>
  <c r="C7" i="5"/>
  <c r="D7" i="5"/>
  <c r="F7" i="5"/>
  <c r="F9" i="5"/>
  <c r="D9" i="5"/>
  <c r="E9" i="5"/>
  <c r="C9" i="5"/>
  <c r="I3" i="6"/>
  <c r="I8" i="6"/>
  <c r="I2" i="6"/>
  <c r="I9" i="6"/>
  <c r="I6" i="6"/>
  <c r="I4" i="6"/>
  <c r="I7" i="6"/>
  <c r="I5" i="6"/>
  <c r="D8" i="7"/>
  <c r="E8" i="7"/>
  <c r="F8" i="7"/>
  <c r="C8" i="7"/>
  <c r="E11" i="7"/>
  <c r="F11" i="7"/>
  <c r="E2" i="7"/>
  <c r="G2" i="7"/>
  <c r="E10" i="7"/>
  <c r="F10" i="7"/>
  <c r="E5" i="7"/>
  <c r="F5" i="7"/>
  <c r="A5" i="7"/>
  <c r="B5" i="7"/>
  <c r="C5" i="7"/>
  <c r="D5" i="7"/>
  <c r="A4" i="7"/>
  <c r="B4" i="7"/>
  <c r="C4" i="7"/>
  <c r="D4" i="7"/>
  <c r="E4" i="7"/>
  <c r="F4" i="7"/>
  <c r="G4" i="7"/>
  <c r="E6" i="7"/>
  <c r="F6" i="7"/>
  <c r="A6" i="7"/>
  <c r="C6" i="7"/>
  <c r="D6" i="7"/>
  <c r="B1" i="7"/>
  <c r="E12" i="7"/>
  <c r="F12" i="7"/>
  <c r="C9" i="7"/>
  <c r="D9" i="7"/>
  <c r="E9" i="7"/>
  <c r="F9" i="7"/>
  <c r="E14" i="7"/>
  <c r="F14" i="7"/>
  <c r="F13" i="7"/>
  <c r="E13" i="7"/>
  <c r="E7" i="7"/>
  <c r="F7" i="7"/>
  <c r="C7" i="7"/>
  <c r="D7" i="7"/>
  <c r="S978" i="1"/>
  <c r="R978" i="1"/>
  <c r="L978" i="1"/>
  <c r="Q978" i="1"/>
  <c r="T978" i="1"/>
  <c r="O978" i="1"/>
  <c r="K978" i="1"/>
  <c r="W978" i="1"/>
  <c r="V978" i="1"/>
  <c r="U978" i="1"/>
  <c r="P978" i="1"/>
  <c r="X978" i="1"/>
  <c r="M978" i="1"/>
  <c r="L137" i="1"/>
  <c r="V137" i="1"/>
  <c r="Q137" i="1"/>
  <c r="T137" i="1"/>
  <c r="K137" i="1"/>
  <c r="S137" i="1"/>
  <c r="M137" i="1"/>
  <c r="R137" i="1"/>
  <c r="X137" i="1"/>
  <c r="W137" i="1"/>
  <c r="P137" i="1"/>
  <c r="U137" i="1"/>
  <c r="O137" i="1"/>
  <c r="S586" i="1"/>
  <c r="T586" i="1"/>
  <c r="V586" i="1"/>
  <c r="W586" i="1"/>
  <c r="R586" i="1"/>
  <c r="L586" i="1"/>
  <c r="K586" i="1"/>
  <c r="O586" i="1"/>
  <c r="P586" i="1"/>
  <c r="U586" i="1"/>
  <c r="Q586" i="1"/>
  <c r="X586" i="1"/>
  <c r="M586" i="1"/>
  <c r="L450" i="1"/>
  <c r="K450" i="1"/>
  <c r="T450" i="1"/>
  <c r="W450" i="1"/>
  <c r="Q450" i="1"/>
  <c r="X450" i="1"/>
  <c r="M450" i="1"/>
  <c r="R450" i="1"/>
  <c r="O450" i="1"/>
  <c r="S450" i="1"/>
  <c r="P450" i="1"/>
  <c r="U450" i="1"/>
  <c r="V450" i="1"/>
  <c r="X167" i="1"/>
  <c r="U167" i="1"/>
  <c r="S167" i="1"/>
  <c r="K167" i="1"/>
  <c r="L167" i="1"/>
  <c r="W167" i="1"/>
  <c r="V167" i="1"/>
  <c r="Q167" i="1"/>
  <c r="T167" i="1"/>
  <c r="P167" i="1"/>
  <c r="O167" i="1"/>
  <c r="M167" i="1"/>
  <c r="R167" i="1"/>
  <c r="S401" i="1"/>
  <c r="K401" i="1"/>
  <c r="Q401" i="1"/>
  <c r="V401" i="1"/>
  <c r="X401" i="1"/>
  <c r="R401" i="1"/>
  <c r="L401" i="1"/>
  <c r="O401" i="1"/>
  <c r="T401" i="1"/>
  <c r="U401" i="1"/>
  <c r="P401" i="1"/>
  <c r="W401" i="1"/>
  <c r="M401" i="1"/>
  <c r="O632" i="1"/>
  <c r="S632" i="1"/>
  <c r="K632" i="1"/>
  <c r="P632" i="1"/>
  <c r="T632" i="1"/>
  <c r="U632" i="1"/>
  <c r="W632" i="1"/>
  <c r="R632" i="1"/>
  <c r="Q632" i="1"/>
  <c r="V632" i="1"/>
  <c r="X632" i="1"/>
  <c r="M632" i="1"/>
  <c r="L632" i="1"/>
  <c r="O746" i="1"/>
  <c r="S746" i="1"/>
  <c r="K746" i="1"/>
  <c r="P746" i="1"/>
  <c r="U746" i="1"/>
  <c r="T746" i="1"/>
  <c r="Q746" i="1"/>
  <c r="V746" i="1"/>
  <c r="W746" i="1"/>
  <c r="R746" i="1"/>
  <c r="X746" i="1"/>
  <c r="M746" i="1"/>
  <c r="L746" i="1"/>
  <c r="P458" i="1"/>
  <c r="T458" i="1"/>
  <c r="W458" i="1"/>
  <c r="X458" i="1"/>
  <c r="M458" i="1"/>
  <c r="S458" i="1"/>
  <c r="K458" i="1"/>
  <c r="O458" i="1"/>
  <c r="U458" i="1"/>
  <c r="Q458" i="1"/>
  <c r="V458" i="1"/>
  <c r="R458" i="1"/>
  <c r="L458" i="1"/>
  <c r="R908" i="1"/>
  <c r="Q908" i="1"/>
  <c r="P908" i="1"/>
  <c r="K908" i="1"/>
  <c r="S908" i="1"/>
  <c r="M908" i="1"/>
  <c r="L908" i="1"/>
  <c r="W908" i="1"/>
  <c r="V908" i="1"/>
  <c r="U908" i="1"/>
  <c r="T908" i="1"/>
  <c r="O908" i="1"/>
  <c r="X908" i="1"/>
  <c r="M24" i="1"/>
  <c r="W24" i="1"/>
  <c r="U24" i="1"/>
  <c r="S24" i="1"/>
  <c r="K24" i="1"/>
  <c r="O24" i="1"/>
  <c r="L24" i="1"/>
  <c r="P24" i="1"/>
  <c r="H24" i="1"/>
  <c r="R24" i="1"/>
  <c r="V24" i="1"/>
  <c r="T24" i="1"/>
  <c r="X24" i="1"/>
  <c r="Q24" i="1"/>
  <c r="S703" i="1"/>
  <c r="Q703" i="1"/>
  <c r="V703" i="1"/>
  <c r="W703" i="1"/>
  <c r="R703" i="1"/>
  <c r="L703" i="1"/>
  <c r="K703" i="1"/>
  <c r="P703" i="1"/>
  <c r="T703" i="1"/>
  <c r="U703" i="1"/>
  <c r="X703" i="1"/>
  <c r="M703" i="1"/>
  <c r="O703" i="1"/>
  <c r="M18" i="1"/>
  <c r="X18" i="1"/>
  <c r="L18" i="1"/>
  <c r="Q18" i="1"/>
  <c r="O18" i="1"/>
  <c r="H18" i="1"/>
  <c r="R18" i="1"/>
  <c r="V18" i="1"/>
  <c r="K18" i="1"/>
  <c r="S18" i="1"/>
  <c r="U18" i="1"/>
  <c r="P18" i="1"/>
  <c r="W18" i="1"/>
  <c r="T18" i="1"/>
  <c r="L944" i="1"/>
  <c r="Q944" i="1"/>
  <c r="W944" i="1"/>
  <c r="V944" i="1"/>
  <c r="T944" i="1"/>
  <c r="O944" i="1"/>
  <c r="K944" i="1"/>
  <c r="M944" i="1"/>
  <c r="P944" i="1"/>
  <c r="U944" i="1"/>
  <c r="S944" i="1"/>
  <c r="X944" i="1"/>
  <c r="R944" i="1"/>
  <c r="O428" i="1"/>
  <c r="S428" i="1"/>
  <c r="K428" i="1"/>
  <c r="W428" i="1"/>
  <c r="R428" i="1"/>
  <c r="L428" i="1"/>
  <c r="P428" i="1"/>
  <c r="U428" i="1"/>
  <c r="T428" i="1"/>
  <c r="Q428" i="1"/>
  <c r="V428" i="1"/>
  <c r="X428" i="1"/>
  <c r="M428" i="1"/>
  <c r="Q54" i="1"/>
  <c r="S54" i="1"/>
  <c r="L54" i="1"/>
  <c r="W54" i="1"/>
  <c r="R54" i="1"/>
  <c r="X54" i="1"/>
  <c r="V54" i="1"/>
  <c r="U54" i="1"/>
  <c r="T54" i="1"/>
  <c r="O54" i="1"/>
  <c r="H54" i="1"/>
  <c r="M54" i="1"/>
  <c r="P54" i="1"/>
  <c r="K54" i="1"/>
  <c r="S451" i="1"/>
  <c r="O451" i="1"/>
  <c r="P451" i="1"/>
  <c r="W451" i="1"/>
  <c r="X451" i="1"/>
  <c r="R451" i="1"/>
  <c r="L451" i="1"/>
  <c r="K451" i="1"/>
  <c r="U451" i="1"/>
  <c r="T451" i="1"/>
  <c r="Q451" i="1"/>
  <c r="V451" i="1"/>
  <c r="M451" i="1"/>
  <c r="Q715" i="1"/>
  <c r="V715" i="1"/>
  <c r="X715" i="1"/>
  <c r="W715" i="1"/>
  <c r="R715" i="1"/>
  <c r="S715" i="1"/>
  <c r="P715" i="1"/>
  <c r="U715" i="1"/>
  <c r="L715" i="1"/>
  <c r="M715" i="1"/>
  <c r="O715" i="1"/>
  <c r="K715" i="1"/>
  <c r="T715" i="1"/>
  <c r="S915" i="1"/>
  <c r="O915" i="1"/>
  <c r="K915" i="1"/>
  <c r="X915" i="1"/>
  <c r="Q915" i="1"/>
  <c r="W915" i="1"/>
  <c r="V915" i="1"/>
  <c r="R915" i="1"/>
  <c r="M915" i="1"/>
  <c r="L915" i="1"/>
  <c r="P915" i="1"/>
  <c r="T915" i="1"/>
  <c r="U915" i="1"/>
  <c r="X536" i="1"/>
  <c r="R536" i="1"/>
  <c r="O536" i="1"/>
  <c r="K536" i="1"/>
  <c r="T536" i="1"/>
  <c r="U536" i="1"/>
  <c r="Q536" i="1"/>
  <c r="V536" i="1"/>
  <c r="L536" i="1"/>
  <c r="S536" i="1"/>
  <c r="P536" i="1"/>
  <c r="M536" i="1"/>
  <c r="W536" i="1"/>
  <c r="V414" i="1"/>
  <c r="R414" i="1"/>
  <c r="K414" i="1"/>
  <c r="O414" i="1"/>
  <c r="U414" i="1"/>
  <c r="W414" i="1"/>
  <c r="X414" i="1"/>
  <c r="M414" i="1"/>
  <c r="L414" i="1"/>
  <c r="S414" i="1"/>
  <c r="T414" i="1"/>
  <c r="P414" i="1"/>
  <c r="Q414" i="1"/>
  <c r="R234" i="1"/>
  <c r="X234" i="1"/>
  <c r="Q234" i="1"/>
  <c r="T234" i="1"/>
  <c r="S234" i="1"/>
  <c r="L234" i="1"/>
  <c r="M234" i="1"/>
  <c r="V234" i="1"/>
  <c r="P234" i="1"/>
  <c r="U234" i="1"/>
  <c r="K234" i="1"/>
  <c r="O234" i="1"/>
  <c r="W234" i="1"/>
  <c r="S164" i="1"/>
  <c r="L164" i="1"/>
  <c r="M164" i="1"/>
  <c r="P164" i="1"/>
  <c r="U164" i="1"/>
  <c r="O164" i="1"/>
  <c r="K164" i="1"/>
  <c r="R164" i="1"/>
  <c r="X164" i="1"/>
  <c r="W164" i="1"/>
  <c r="V164" i="1"/>
  <c r="Q164" i="1"/>
  <c r="T164" i="1"/>
  <c r="O306" i="1"/>
  <c r="U306" i="1"/>
  <c r="W306" i="1"/>
  <c r="Q306" i="1"/>
  <c r="X306" i="1"/>
  <c r="R306" i="1"/>
  <c r="S306" i="1"/>
  <c r="T306" i="1"/>
  <c r="P306" i="1"/>
  <c r="V306" i="1"/>
  <c r="M306" i="1"/>
  <c r="L306" i="1"/>
  <c r="K306" i="1"/>
  <c r="X971" i="1"/>
  <c r="M971" i="1"/>
  <c r="L971" i="1"/>
  <c r="Q971" i="1"/>
  <c r="W971" i="1"/>
  <c r="V971" i="1"/>
  <c r="S971" i="1"/>
  <c r="O971" i="1"/>
  <c r="U971" i="1"/>
  <c r="T971" i="1"/>
  <c r="P971" i="1"/>
  <c r="K971" i="1"/>
  <c r="R971" i="1"/>
  <c r="O659" i="1"/>
  <c r="K659" i="1"/>
  <c r="S659" i="1"/>
  <c r="M659" i="1"/>
  <c r="R659" i="1"/>
  <c r="P659" i="1"/>
  <c r="U659" i="1"/>
  <c r="T659" i="1"/>
  <c r="Q659" i="1"/>
  <c r="V659" i="1"/>
  <c r="X659" i="1"/>
  <c r="W659" i="1"/>
  <c r="L659" i="1"/>
  <c r="Q636" i="1"/>
  <c r="M636" i="1"/>
  <c r="W636" i="1"/>
  <c r="K636" i="1"/>
  <c r="S636" i="1"/>
  <c r="O636" i="1"/>
  <c r="U636" i="1"/>
  <c r="P636" i="1"/>
  <c r="L636" i="1"/>
  <c r="T636" i="1"/>
  <c r="V636" i="1"/>
  <c r="X636" i="1"/>
  <c r="R636" i="1"/>
  <c r="L495" i="1"/>
  <c r="S495" i="1"/>
  <c r="T495" i="1"/>
  <c r="P495" i="1"/>
  <c r="W495" i="1"/>
  <c r="X495" i="1"/>
  <c r="M495" i="1"/>
  <c r="R495" i="1"/>
  <c r="K495" i="1"/>
  <c r="O495" i="1"/>
  <c r="U495" i="1"/>
  <c r="Q495" i="1"/>
  <c r="V495" i="1"/>
  <c r="K829" i="1"/>
  <c r="S829" i="1"/>
  <c r="Q829" i="1"/>
  <c r="T829" i="1"/>
  <c r="L829" i="1"/>
  <c r="W829" i="1"/>
  <c r="V829" i="1"/>
  <c r="P829" i="1"/>
  <c r="O829" i="1"/>
  <c r="X829" i="1"/>
  <c r="R829" i="1"/>
  <c r="M829" i="1"/>
  <c r="U829" i="1"/>
  <c r="O92" i="1"/>
  <c r="S92" i="1"/>
  <c r="M92" i="1"/>
  <c r="R92" i="1"/>
  <c r="X92" i="1"/>
  <c r="W92" i="1"/>
  <c r="V92" i="1"/>
  <c r="U92" i="1"/>
  <c r="K92" i="1"/>
  <c r="L92" i="1"/>
  <c r="Q92" i="1"/>
  <c r="P92" i="1"/>
  <c r="T92" i="1"/>
  <c r="R242" i="1"/>
  <c r="V242" i="1"/>
  <c r="Q242" i="1"/>
  <c r="P242" i="1"/>
  <c r="U242" i="1"/>
  <c r="T242" i="1"/>
  <c r="O242" i="1"/>
  <c r="K242" i="1"/>
  <c r="S242" i="1"/>
  <c r="L242" i="1"/>
  <c r="M242" i="1"/>
  <c r="X242" i="1"/>
  <c r="W242" i="1"/>
  <c r="O371" i="1"/>
  <c r="P371" i="1"/>
  <c r="T371" i="1"/>
  <c r="Q371" i="1"/>
  <c r="V371" i="1"/>
  <c r="R371" i="1"/>
  <c r="K371" i="1"/>
  <c r="S371" i="1"/>
  <c r="U371" i="1"/>
  <c r="W371" i="1"/>
  <c r="X371" i="1"/>
  <c r="M371" i="1"/>
  <c r="L371" i="1"/>
  <c r="P630" i="1"/>
  <c r="Q630" i="1"/>
  <c r="V630" i="1"/>
  <c r="X630" i="1"/>
  <c r="W630" i="1"/>
  <c r="R630" i="1"/>
  <c r="S630" i="1"/>
  <c r="O630" i="1"/>
  <c r="K630" i="1"/>
  <c r="U630" i="1"/>
  <c r="T630" i="1"/>
  <c r="M630" i="1"/>
  <c r="L630" i="1"/>
  <c r="K937" i="1"/>
  <c r="S937" i="1"/>
  <c r="X937" i="1"/>
  <c r="M937" i="1"/>
  <c r="Q937" i="1"/>
  <c r="T937" i="1"/>
  <c r="O937" i="1"/>
  <c r="R937" i="1"/>
  <c r="L937" i="1"/>
  <c r="W937" i="1"/>
  <c r="V937" i="1"/>
  <c r="U937" i="1"/>
  <c r="P937" i="1"/>
  <c r="U330" i="1"/>
  <c r="V330" i="1"/>
  <c r="X330" i="1"/>
  <c r="M330" i="1"/>
  <c r="R330" i="1"/>
  <c r="S330" i="1"/>
  <c r="K330" i="1"/>
  <c r="T330" i="1"/>
  <c r="P330" i="1"/>
  <c r="W330" i="1"/>
  <c r="Q330" i="1"/>
  <c r="L330" i="1"/>
  <c r="O330" i="1"/>
  <c r="K912" i="1"/>
  <c r="R912" i="1"/>
  <c r="Q912" i="1"/>
  <c r="W912" i="1"/>
  <c r="V912" i="1"/>
  <c r="S912" i="1"/>
  <c r="X912" i="1"/>
  <c r="M912" i="1"/>
  <c r="L912" i="1"/>
  <c r="U912" i="1"/>
  <c r="T912" i="1"/>
  <c r="P912" i="1"/>
  <c r="O912" i="1"/>
  <c r="U706" i="1"/>
  <c r="P706" i="1"/>
  <c r="V706" i="1"/>
  <c r="M706" i="1"/>
  <c r="W706" i="1"/>
  <c r="K706" i="1"/>
  <c r="S706" i="1"/>
  <c r="T706" i="1"/>
  <c r="R706" i="1"/>
  <c r="L706" i="1"/>
  <c r="O706" i="1"/>
  <c r="Q706" i="1"/>
  <c r="X706" i="1"/>
  <c r="W49" i="1"/>
  <c r="Q49" i="1"/>
  <c r="H49" i="1"/>
  <c r="L49" i="1"/>
  <c r="M49" i="1"/>
  <c r="R49" i="1"/>
  <c r="V49" i="1"/>
  <c r="P49" i="1"/>
  <c r="S49" i="1"/>
  <c r="K49" i="1"/>
  <c r="X49" i="1"/>
  <c r="U49" i="1"/>
  <c r="O49" i="1"/>
  <c r="T49" i="1"/>
  <c r="P354" i="1"/>
  <c r="V354" i="1"/>
  <c r="X354" i="1"/>
  <c r="O354" i="1"/>
  <c r="U354" i="1"/>
  <c r="T354" i="1"/>
  <c r="W354" i="1"/>
  <c r="Q354" i="1"/>
  <c r="M354" i="1"/>
  <c r="R354" i="1"/>
  <c r="L354" i="1"/>
  <c r="S354" i="1"/>
  <c r="K354" i="1"/>
  <c r="R665" i="1"/>
  <c r="L665" i="1"/>
  <c r="K665" i="1"/>
  <c r="S665" i="1"/>
  <c r="U665" i="1"/>
  <c r="M665" i="1"/>
  <c r="W665" i="1"/>
  <c r="X665" i="1"/>
  <c r="O665" i="1"/>
  <c r="T665" i="1"/>
  <c r="P665" i="1"/>
  <c r="Q665" i="1"/>
  <c r="V665" i="1"/>
  <c r="T15" i="1"/>
  <c r="M15" i="1"/>
  <c r="W15" i="1"/>
  <c r="P15" i="1"/>
  <c r="H15" i="1"/>
  <c r="R15" i="1"/>
  <c r="X15" i="1"/>
  <c r="V15" i="1"/>
  <c r="K15" i="1"/>
  <c r="O15" i="1"/>
  <c r="L15" i="1"/>
  <c r="S15" i="1"/>
  <c r="Q15" i="1"/>
  <c r="U15" i="1"/>
  <c r="O845" i="1"/>
  <c r="R845" i="1"/>
  <c r="M845" i="1"/>
  <c r="Q845" i="1"/>
  <c r="W845" i="1"/>
  <c r="T845" i="1"/>
  <c r="U845" i="1"/>
  <c r="K845" i="1"/>
  <c r="X845" i="1"/>
  <c r="L845" i="1"/>
  <c r="V845" i="1"/>
  <c r="P845" i="1"/>
  <c r="S845" i="1"/>
  <c r="M595" i="1"/>
  <c r="L595" i="1"/>
  <c r="K595" i="1"/>
  <c r="P595" i="1"/>
  <c r="U595" i="1"/>
  <c r="T595" i="1"/>
  <c r="Q595" i="1"/>
  <c r="X595" i="1"/>
  <c r="O595" i="1"/>
  <c r="S595" i="1"/>
  <c r="V595" i="1"/>
  <c r="W595" i="1"/>
  <c r="R595" i="1"/>
  <c r="V831" i="1"/>
  <c r="T831" i="1"/>
  <c r="O831" i="1"/>
  <c r="S831" i="1"/>
  <c r="R831" i="1"/>
  <c r="M831" i="1"/>
  <c r="Q831" i="1"/>
  <c r="W831" i="1"/>
  <c r="U831" i="1"/>
  <c r="K831" i="1"/>
  <c r="X831" i="1"/>
  <c r="L831" i="1"/>
  <c r="P831" i="1"/>
  <c r="M125" i="1"/>
  <c r="R125" i="1"/>
  <c r="W125" i="1"/>
  <c r="V125" i="1"/>
  <c r="U125" i="1"/>
  <c r="T125" i="1"/>
  <c r="L125" i="1"/>
  <c r="S125" i="1"/>
  <c r="K125" i="1"/>
  <c r="X125" i="1"/>
  <c r="Q125" i="1"/>
  <c r="P125" i="1"/>
  <c r="O125" i="1"/>
  <c r="K506" i="1"/>
  <c r="V506" i="1"/>
  <c r="M506" i="1"/>
  <c r="R506" i="1"/>
  <c r="U506" i="1"/>
  <c r="W506" i="1"/>
  <c r="Q506" i="1"/>
  <c r="X506" i="1"/>
  <c r="S506" i="1"/>
  <c r="O506" i="1"/>
  <c r="P506" i="1"/>
  <c r="T506" i="1"/>
  <c r="L506" i="1"/>
  <c r="S28" i="1"/>
  <c r="L28" i="1"/>
  <c r="R28" i="1"/>
  <c r="X28" i="1"/>
  <c r="W28" i="1"/>
  <c r="V28" i="1"/>
  <c r="H28" i="1"/>
  <c r="O28" i="1"/>
  <c r="Q28" i="1"/>
  <c r="U28" i="1"/>
  <c r="K28" i="1"/>
  <c r="M28" i="1"/>
  <c r="P28" i="1"/>
  <c r="T28" i="1"/>
  <c r="K628" i="1"/>
  <c r="T628" i="1"/>
  <c r="U628" i="1"/>
  <c r="V628" i="1"/>
  <c r="M628" i="1"/>
  <c r="W628" i="1"/>
  <c r="L628" i="1"/>
  <c r="O628" i="1"/>
  <c r="S628" i="1"/>
  <c r="P628" i="1"/>
  <c r="Q628" i="1"/>
  <c r="X628" i="1"/>
  <c r="R628" i="1"/>
  <c r="S301" i="1"/>
  <c r="K301" i="1"/>
  <c r="T301" i="1"/>
  <c r="P301" i="1"/>
  <c r="W301" i="1"/>
  <c r="Q301" i="1"/>
  <c r="M301" i="1"/>
  <c r="L301" i="1"/>
  <c r="O301" i="1"/>
  <c r="U301" i="1"/>
  <c r="V301" i="1"/>
  <c r="X301" i="1"/>
  <c r="R301" i="1"/>
  <c r="K969" i="1"/>
  <c r="W969" i="1"/>
  <c r="P969" i="1"/>
  <c r="U969" i="1"/>
  <c r="T969" i="1"/>
  <c r="O969" i="1"/>
  <c r="S969" i="1"/>
  <c r="X969" i="1"/>
  <c r="R969" i="1"/>
  <c r="M969" i="1"/>
  <c r="L969" i="1"/>
  <c r="Q969" i="1"/>
  <c r="V969" i="1"/>
  <c r="O188" i="1"/>
  <c r="X188" i="1"/>
  <c r="V188" i="1"/>
  <c r="Q188" i="1"/>
  <c r="T188" i="1"/>
  <c r="P188" i="1"/>
  <c r="K188" i="1"/>
  <c r="S188" i="1"/>
  <c r="L188" i="1"/>
  <c r="M188" i="1"/>
  <c r="R188" i="1"/>
  <c r="W188" i="1"/>
  <c r="U188" i="1"/>
  <c r="K583" i="1"/>
  <c r="P583" i="1"/>
  <c r="Q583" i="1"/>
  <c r="S583" i="1"/>
  <c r="U583" i="1"/>
  <c r="T583" i="1"/>
  <c r="V583" i="1"/>
  <c r="X583" i="1"/>
  <c r="M583" i="1"/>
  <c r="W583" i="1"/>
  <c r="R583" i="1"/>
  <c r="O583" i="1"/>
  <c r="L583" i="1"/>
  <c r="S946" i="1"/>
  <c r="K946" i="1"/>
  <c r="X946" i="1"/>
  <c r="R946" i="1"/>
  <c r="V946" i="1"/>
  <c r="P946" i="1"/>
  <c r="U946" i="1"/>
  <c r="O946" i="1"/>
  <c r="M946" i="1"/>
  <c r="L946" i="1"/>
  <c r="Q946" i="1"/>
  <c r="W946" i="1"/>
  <c r="T946" i="1"/>
  <c r="P278" i="1"/>
  <c r="W278" i="1"/>
  <c r="Q278" i="1"/>
  <c r="X278" i="1"/>
  <c r="S278" i="1"/>
  <c r="O278" i="1"/>
  <c r="K278" i="1"/>
  <c r="T278" i="1"/>
  <c r="R278" i="1"/>
  <c r="U278" i="1"/>
  <c r="V278" i="1"/>
  <c r="M278" i="1"/>
  <c r="L278" i="1"/>
  <c r="O588" i="1"/>
  <c r="K588" i="1"/>
  <c r="P588" i="1"/>
  <c r="U588" i="1"/>
  <c r="X588" i="1"/>
  <c r="M588" i="1"/>
  <c r="R588" i="1"/>
  <c r="S588" i="1"/>
  <c r="T588" i="1"/>
  <c r="Q588" i="1"/>
  <c r="V588" i="1"/>
  <c r="W588" i="1"/>
  <c r="L588" i="1"/>
  <c r="W96" i="1"/>
  <c r="V96" i="1"/>
  <c r="Q96" i="1"/>
  <c r="T96" i="1"/>
  <c r="O96" i="1"/>
  <c r="S96" i="1"/>
  <c r="K96" i="1"/>
  <c r="L96" i="1"/>
  <c r="U96" i="1"/>
  <c r="M96" i="1"/>
  <c r="R96" i="1"/>
  <c r="X96" i="1"/>
  <c r="P96" i="1"/>
  <c r="T331" i="1"/>
  <c r="U331" i="1"/>
  <c r="W331" i="1"/>
  <c r="V331" i="1"/>
  <c r="L331" i="1"/>
  <c r="K331" i="1"/>
  <c r="O331" i="1"/>
  <c r="P331" i="1"/>
  <c r="M331" i="1"/>
  <c r="R331" i="1"/>
  <c r="S331" i="1"/>
  <c r="Q331" i="1"/>
  <c r="X331" i="1"/>
  <c r="W816" i="1"/>
  <c r="V816" i="1"/>
  <c r="P816" i="1"/>
  <c r="U816" i="1"/>
  <c r="T816" i="1"/>
  <c r="R816" i="1"/>
  <c r="M816" i="1"/>
  <c r="S816" i="1"/>
  <c r="X816" i="1"/>
  <c r="L816" i="1"/>
  <c r="Q816" i="1"/>
  <c r="O816" i="1"/>
  <c r="K816" i="1"/>
  <c r="S456" i="1"/>
  <c r="K456" i="1"/>
  <c r="O456" i="1"/>
  <c r="P456" i="1"/>
  <c r="Q456" i="1"/>
  <c r="M456" i="1"/>
  <c r="L456" i="1"/>
  <c r="T456" i="1"/>
  <c r="U456" i="1"/>
  <c r="W456" i="1"/>
  <c r="V456" i="1"/>
  <c r="X456" i="1"/>
  <c r="R456" i="1"/>
  <c r="O241" i="1"/>
  <c r="M241" i="1"/>
  <c r="R241" i="1"/>
  <c r="X241" i="1"/>
  <c r="W241" i="1"/>
  <c r="V241" i="1"/>
  <c r="T241" i="1"/>
  <c r="P241" i="1"/>
  <c r="K241" i="1"/>
  <c r="S241" i="1"/>
  <c r="L241" i="1"/>
  <c r="Q241" i="1"/>
  <c r="U241" i="1"/>
  <c r="P614" i="1"/>
  <c r="M614" i="1"/>
  <c r="R614" i="1"/>
  <c r="S614" i="1"/>
  <c r="K614" i="1"/>
  <c r="U614" i="1"/>
  <c r="T614" i="1"/>
  <c r="Q614" i="1"/>
  <c r="V614" i="1"/>
  <c r="X614" i="1"/>
  <c r="W614" i="1"/>
  <c r="O614" i="1"/>
  <c r="L614" i="1"/>
  <c r="K739" i="1"/>
  <c r="V739" i="1"/>
  <c r="M739" i="1"/>
  <c r="W739" i="1"/>
  <c r="R739" i="1"/>
  <c r="L739" i="1"/>
  <c r="O739" i="1"/>
  <c r="S739" i="1"/>
  <c r="P739" i="1"/>
  <c r="U739" i="1"/>
  <c r="T739" i="1"/>
  <c r="Q739" i="1"/>
  <c r="X739" i="1"/>
  <c r="S445" i="1"/>
  <c r="O445" i="1"/>
  <c r="U445" i="1"/>
  <c r="P445" i="1"/>
  <c r="L445" i="1"/>
  <c r="X445" i="1"/>
  <c r="M445" i="1"/>
  <c r="R445" i="1"/>
  <c r="K445" i="1"/>
  <c r="T445" i="1"/>
  <c r="W445" i="1"/>
  <c r="Q445" i="1"/>
  <c r="V445" i="1"/>
  <c r="L255" i="1"/>
  <c r="M255" i="1"/>
  <c r="R255" i="1"/>
  <c r="W255" i="1"/>
  <c r="V255" i="1"/>
  <c r="U255" i="1"/>
  <c r="P255" i="1"/>
  <c r="K255" i="1"/>
  <c r="S255" i="1"/>
  <c r="O255" i="1"/>
  <c r="X255" i="1"/>
  <c r="Q255" i="1"/>
  <c r="T255" i="1"/>
  <c r="M184" i="1"/>
  <c r="W184" i="1"/>
  <c r="V184" i="1"/>
  <c r="K184" i="1"/>
  <c r="L184" i="1"/>
  <c r="R184" i="1"/>
  <c r="X184" i="1"/>
  <c r="Q184" i="1"/>
  <c r="T184" i="1"/>
  <c r="U184" i="1"/>
  <c r="P184" i="1"/>
  <c r="S184" i="1"/>
  <c r="O184" i="1"/>
  <c r="W349" i="1"/>
  <c r="X349" i="1"/>
  <c r="M349" i="1"/>
  <c r="Q349" i="1"/>
  <c r="V349" i="1"/>
  <c r="K349" i="1"/>
  <c r="O349" i="1"/>
  <c r="S349" i="1"/>
  <c r="P349" i="1"/>
  <c r="U349" i="1"/>
  <c r="T349" i="1"/>
  <c r="R349" i="1"/>
  <c r="L349" i="1"/>
  <c r="V551" i="1"/>
  <c r="R551" i="1"/>
  <c r="L551" i="1"/>
  <c r="K551" i="1"/>
  <c r="T551" i="1"/>
  <c r="P551" i="1"/>
  <c r="Q551" i="1"/>
  <c r="M551" i="1"/>
  <c r="W551" i="1"/>
  <c r="S551" i="1"/>
  <c r="O551" i="1"/>
  <c r="U551" i="1"/>
  <c r="X551" i="1"/>
  <c r="R254" i="1"/>
  <c r="Q254" i="1"/>
  <c r="P254" i="1"/>
  <c r="O254" i="1"/>
  <c r="M254" i="1"/>
  <c r="L254" i="1"/>
  <c r="X254" i="1"/>
  <c r="W254" i="1"/>
  <c r="V254" i="1"/>
  <c r="U254" i="1"/>
  <c r="T254" i="1"/>
  <c r="S254" i="1"/>
  <c r="K254" i="1"/>
  <c r="V935" i="1"/>
  <c r="T935" i="1"/>
  <c r="X935" i="1"/>
  <c r="O935" i="1"/>
  <c r="S935" i="1"/>
  <c r="R935" i="1"/>
  <c r="M935" i="1"/>
  <c r="L935" i="1"/>
  <c r="Q935" i="1"/>
  <c r="W935" i="1"/>
  <c r="K935" i="1"/>
  <c r="U935" i="1"/>
  <c r="P935" i="1"/>
  <c r="K757" i="1"/>
  <c r="P757" i="1"/>
  <c r="T757" i="1"/>
  <c r="W757" i="1"/>
  <c r="R757" i="1"/>
  <c r="S757" i="1"/>
  <c r="U757" i="1"/>
  <c r="Q757" i="1"/>
  <c r="V757" i="1"/>
  <c r="X757" i="1"/>
  <c r="M757" i="1"/>
  <c r="L757" i="1"/>
  <c r="O757" i="1"/>
  <c r="K479" i="1"/>
  <c r="T479" i="1"/>
  <c r="P479" i="1"/>
  <c r="X479" i="1"/>
  <c r="M479" i="1"/>
  <c r="R479" i="1"/>
  <c r="O479" i="1"/>
  <c r="S479" i="1"/>
  <c r="U479" i="1"/>
  <c r="W479" i="1"/>
  <c r="Q479" i="1"/>
  <c r="V479" i="1"/>
  <c r="L479" i="1"/>
  <c r="U225" i="1"/>
  <c r="S225" i="1"/>
  <c r="K225" i="1"/>
  <c r="M225" i="1"/>
  <c r="X225" i="1"/>
  <c r="W225" i="1"/>
  <c r="V225" i="1"/>
  <c r="O225" i="1"/>
  <c r="L225" i="1"/>
  <c r="R225" i="1"/>
  <c r="Q225" i="1"/>
  <c r="T225" i="1"/>
  <c r="P225" i="1"/>
  <c r="T380" i="1"/>
  <c r="U380" i="1"/>
  <c r="W380" i="1"/>
  <c r="Q380" i="1"/>
  <c r="M380" i="1"/>
  <c r="R380" i="1"/>
  <c r="S380" i="1"/>
  <c r="O380" i="1"/>
  <c r="P380" i="1"/>
  <c r="V380" i="1"/>
  <c r="X380" i="1"/>
  <c r="L380" i="1"/>
  <c r="K380" i="1"/>
  <c r="K751" i="1"/>
  <c r="U751" i="1"/>
  <c r="T751" i="1"/>
  <c r="W751" i="1"/>
  <c r="L751" i="1"/>
  <c r="R751" i="1"/>
  <c r="S751" i="1"/>
  <c r="O751" i="1"/>
  <c r="P751" i="1"/>
  <c r="Q751" i="1"/>
  <c r="V751" i="1"/>
  <c r="X751" i="1"/>
  <c r="M751" i="1"/>
  <c r="K909" i="1"/>
  <c r="X909" i="1"/>
  <c r="L909" i="1"/>
  <c r="W909" i="1"/>
  <c r="P909" i="1"/>
  <c r="O909" i="1"/>
  <c r="S909" i="1"/>
  <c r="Q909" i="1"/>
  <c r="V909" i="1"/>
  <c r="U909" i="1"/>
  <c r="T909" i="1"/>
  <c r="R909" i="1"/>
  <c r="M909" i="1"/>
  <c r="S281" i="1"/>
  <c r="W281" i="1"/>
  <c r="L281" i="1"/>
  <c r="K281" i="1"/>
  <c r="U281" i="1"/>
  <c r="T281" i="1"/>
  <c r="P281" i="1"/>
  <c r="Q281" i="1"/>
  <c r="V281" i="1"/>
  <c r="X281" i="1"/>
  <c r="M281" i="1"/>
  <c r="O281" i="1"/>
  <c r="R281" i="1"/>
  <c r="R120" i="1"/>
  <c r="W120" i="1"/>
  <c r="Q120" i="1"/>
  <c r="P120" i="1"/>
  <c r="S120" i="1"/>
  <c r="O120" i="1"/>
  <c r="L120" i="1"/>
  <c r="M120" i="1"/>
  <c r="X120" i="1"/>
  <c r="V120" i="1"/>
  <c r="T120" i="1"/>
  <c r="U120" i="1"/>
  <c r="K120" i="1"/>
  <c r="V679" i="1"/>
  <c r="W679" i="1"/>
  <c r="R679" i="1"/>
  <c r="L679" i="1"/>
  <c r="S679" i="1"/>
  <c r="Q679" i="1"/>
  <c r="P679" i="1"/>
  <c r="T679" i="1"/>
  <c r="U679" i="1"/>
  <c r="X679" i="1"/>
  <c r="M679" i="1"/>
  <c r="O679" i="1"/>
  <c r="K679" i="1"/>
  <c r="O196" i="1"/>
  <c r="R196" i="1"/>
  <c r="X196" i="1"/>
  <c r="V196" i="1"/>
  <c r="Q196" i="1"/>
  <c r="U196" i="1"/>
  <c r="T196" i="1"/>
  <c r="K196" i="1"/>
  <c r="L196" i="1"/>
  <c r="M196" i="1"/>
  <c r="W196" i="1"/>
  <c r="P196" i="1"/>
  <c r="S196" i="1"/>
  <c r="S404" i="1"/>
  <c r="P404" i="1"/>
  <c r="U404" i="1"/>
  <c r="W404" i="1"/>
  <c r="Q404" i="1"/>
  <c r="V404" i="1"/>
  <c r="O404" i="1"/>
  <c r="K404" i="1"/>
  <c r="X404" i="1"/>
  <c r="L404" i="1"/>
  <c r="R404" i="1"/>
  <c r="T404" i="1"/>
  <c r="M404" i="1"/>
  <c r="V837" i="1"/>
  <c r="P837" i="1"/>
  <c r="T837" i="1"/>
  <c r="K837" i="1"/>
  <c r="R837" i="1"/>
  <c r="L837" i="1"/>
  <c r="Q837" i="1"/>
  <c r="W837" i="1"/>
  <c r="U837" i="1"/>
  <c r="O837" i="1"/>
  <c r="S837" i="1"/>
  <c r="X837" i="1"/>
  <c r="M837" i="1"/>
  <c r="K622" i="1"/>
  <c r="S622" i="1"/>
  <c r="O622" i="1"/>
  <c r="T622" i="1"/>
  <c r="U622" i="1"/>
  <c r="P622" i="1"/>
  <c r="Q622" i="1"/>
  <c r="X622" i="1"/>
  <c r="W622" i="1"/>
  <c r="R622" i="1"/>
  <c r="L622" i="1"/>
  <c r="V622" i="1"/>
  <c r="M622" i="1"/>
  <c r="L224" i="1"/>
  <c r="M224" i="1"/>
  <c r="X224" i="1"/>
  <c r="Q224" i="1"/>
  <c r="T224" i="1"/>
  <c r="P224" i="1"/>
  <c r="K224" i="1"/>
  <c r="O224" i="1"/>
  <c r="R224" i="1"/>
  <c r="W224" i="1"/>
  <c r="V224" i="1"/>
  <c r="U224" i="1"/>
  <c r="S224" i="1"/>
  <c r="R702" i="1"/>
  <c r="L702" i="1"/>
  <c r="S702" i="1"/>
  <c r="K702" i="1"/>
  <c r="U702" i="1"/>
  <c r="T702" i="1"/>
  <c r="Q702" i="1"/>
  <c r="W702" i="1"/>
  <c r="O702" i="1"/>
  <c r="P702" i="1"/>
  <c r="V702" i="1"/>
  <c r="X702" i="1"/>
  <c r="M702" i="1"/>
  <c r="S887" i="1"/>
  <c r="X887" i="1"/>
  <c r="R887" i="1"/>
  <c r="L887" i="1"/>
  <c r="W887" i="1"/>
  <c r="P887" i="1"/>
  <c r="O887" i="1"/>
  <c r="K887" i="1"/>
  <c r="U887" i="1"/>
  <c r="V887" i="1"/>
  <c r="T887" i="1"/>
  <c r="M887" i="1"/>
  <c r="Q887" i="1"/>
  <c r="Q455" i="1"/>
  <c r="V455" i="1"/>
  <c r="X455" i="1"/>
  <c r="S455" i="1"/>
  <c r="P455" i="1"/>
  <c r="W455" i="1"/>
  <c r="T455" i="1"/>
  <c r="M455" i="1"/>
  <c r="R455" i="1"/>
  <c r="L455" i="1"/>
  <c r="O455" i="1"/>
  <c r="K455" i="1"/>
  <c r="U455" i="1"/>
  <c r="T336" i="1"/>
  <c r="U336" i="1"/>
  <c r="M336" i="1"/>
  <c r="R336" i="1"/>
  <c r="W336" i="1"/>
  <c r="Q336" i="1"/>
  <c r="V336" i="1"/>
  <c r="X336" i="1"/>
  <c r="K336" i="1"/>
  <c r="S336" i="1"/>
  <c r="O336" i="1"/>
  <c r="P336" i="1"/>
  <c r="L336" i="1"/>
  <c r="U552" i="1"/>
  <c r="P552" i="1"/>
  <c r="W552" i="1"/>
  <c r="R552" i="1"/>
  <c r="K552" i="1"/>
  <c r="O552" i="1"/>
  <c r="S552" i="1"/>
  <c r="X552" i="1"/>
  <c r="M552" i="1"/>
  <c r="L552" i="1"/>
  <c r="T552" i="1"/>
  <c r="Q552" i="1"/>
  <c r="V552" i="1"/>
  <c r="K29" i="1"/>
  <c r="T29" i="1"/>
  <c r="U29" i="1"/>
  <c r="O29" i="1"/>
  <c r="H29" i="1"/>
  <c r="V29" i="1"/>
  <c r="W29" i="1"/>
  <c r="Q29" i="1"/>
  <c r="R29" i="1"/>
  <c r="X29" i="1"/>
  <c r="M29" i="1"/>
  <c r="P29" i="1"/>
  <c r="S29" i="1"/>
  <c r="L29" i="1"/>
  <c r="M997" i="1"/>
  <c r="Q997" i="1"/>
  <c r="V997" i="1"/>
  <c r="U997" i="1"/>
  <c r="T997" i="1"/>
  <c r="S997" i="1"/>
  <c r="O997" i="1"/>
  <c r="R997" i="1"/>
  <c r="L997" i="1"/>
  <c r="W997" i="1"/>
  <c r="P997" i="1"/>
  <c r="K997" i="1"/>
  <c r="X997" i="1"/>
  <c r="S881" i="1"/>
  <c r="R881" i="1"/>
  <c r="M881" i="1"/>
  <c r="U881" i="1"/>
  <c r="O881" i="1"/>
  <c r="X881" i="1"/>
  <c r="L881" i="1"/>
  <c r="Q881" i="1"/>
  <c r="W881" i="1"/>
  <c r="V881" i="1"/>
  <c r="P881" i="1"/>
  <c r="T881" i="1"/>
  <c r="K881" i="1"/>
  <c r="K596" i="1"/>
  <c r="S596" i="1"/>
  <c r="O596" i="1"/>
  <c r="P596" i="1"/>
  <c r="V596" i="1"/>
  <c r="X596" i="1"/>
  <c r="W596" i="1"/>
  <c r="R596" i="1"/>
  <c r="T596" i="1"/>
  <c r="U596" i="1"/>
  <c r="Q596" i="1"/>
  <c r="M596" i="1"/>
  <c r="L596" i="1"/>
  <c r="O85" i="1"/>
  <c r="M85" i="1"/>
  <c r="R85" i="1"/>
  <c r="X85" i="1"/>
  <c r="P85" i="1"/>
  <c r="T85" i="1"/>
  <c r="U85" i="1"/>
  <c r="K85" i="1"/>
  <c r="S85" i="1"/>
  <c r="L85" i="1"/>
  <c r="W85" i="1"/>
  <c r="V85" i="1"/>
  <c r="Q85" i="1"/>
  <c r="L471" i="1"/>
  <c r="K471" i="1"/>
  <c r="P471" i="1"/>
  <c r="W471" i="1"/>
  <c r="Q471" i="1"/>
  <c r="V471" i="1"/>
  <c r="M471" i="1"/>
  <c r="R471" i="1"/>
  <c r="S471" i="1"/>
  <c r="O471" i="1"/>
  <c r="T471" i="1"/>
  <c r="U471" i="1"/>
  <c r="X471" i="1"/>
  <c r="P187" i="1"/>
  <c r="K187" i="1"/>
  <c r="O187" i="1"/>
  <c r="L187" i="1"/>
  <c r="R187" i="1"/>
  <c r="V187" i="1"/>
  <c r="U187" i="1"/>
  <c r="S187" i="1"/>
  <c r="M187" i="1"/>
  <c r="X187" i="1"/>
  <c r="W187" i="1"/>
  <c r="Q187" i="1"/>
  <c r="T187" i="1"/>
  <c r="U355" i="1"/>
  <c r="V355" i="1"/>
  <c r="X355" i="1"/>
  <c r="M355" i="1"/>
  <c r="R355" i="1"/>
  <c r="O355" i="1"/>
  <c r="S355" i="1"/>
  <c r="T355" i="1"/>
  <c r="L355" i="1"/>
  <c r="Q355" i="1"/>
  <c r="K355" i="1"/>
  <c r="P355" i="1"/>
  <c r="W355" i="1"/>
  <c r="S949" i="1"/>
  <c r="X949" i="1"/>
  <c r="Q949" i="1"/>
  <c r="V949" i="1"/>
  <c r="P949" i="1"/>
  <c r="U949" i="1"/>
  <c r="T949" i="1"/>
  <c r="K949" i="1"/>
  <c r="O949" i="1"/>
  <c r="R949" i="1"/>
  <c r="M949" i="1"/>
  <c r="L949" i="1"/>
  <c r="W949" i="1"/>
  <c r="W724" i="1"/>
  <c r="L724" i="1"/>
  <c r="S724" i="1"/>
  <c r="O724" i="1"/>
  <c r="T724" i="1"/>
  <c r="P724" i="1"/>
  <c r="Q724" i="1"/>
  <c r="V724" i="1"/>
  <c r="K724" i="1"/>
  <c r="U724" i="1"/>
  <c r="X724" i="1"/>
  <c r="M724" i="1"/>
  <c r="R724" i="1"/>
  <c r="L191" i="1"/>
  <c r="X191" i="1"/>
  <c r="V191" i="1"/>
  <c r="Q191" i="1"/>
  <c r="T191" i="1"/>
  <c r="S191" i="1"/>
  <c r="O191" i="1"/>
  <c r="R191" i="1"/>
  <c r="W191" i="1"/>
  <c r="U191" i="1"/>
  <c r="P191" i="1"/>
  <c r="K191" i="1"/>
  <c r="M191" i="1"/>
  <c r="X815" i="1"/>
  <c r="R815" i="1"/>
  <c r="Q815" i="1"/>
  <c r="W815" i="1"/>
  <c r="V815" i="1"/>
  <c r="P815" i="1"/>
  <c r="T815" i="1"/>
  <c r="K815" i="1"/>
  <c r="U815" i="1"/>
  <c r="S815" i="1"/>
  <c r="M815" i="1"/>
  <c r="L815" i="1"/>
  <c r="O815" i="1"/>
  <c r="R530" i="1"/>
  <c r="L530" i="1"/>
  <c r="O530" i="1"/>
  <c r="P530" i="1"/>
  <c r="V530" i="1"/>
  <c r="M530" i="1"/>
  <c r="W530" i="1"/>
  <c r="X530" i="1"/>
  <c r="S530" i="1"/>
  <c r="K530" i="1"/>
  <c r="T530" i="1"/>
  <c r="U530" i="1"/>
  <c r="Q530" i="1"/>
  <c r="S435" i="1"/>
  <c r="W435" i="1"/>
  <c r="Q435" i="1"/>
  <c r="V435" i="1"/>
  <c r="M435" i="1"/>
  <c r="R435" i="1"/>
  <c r="O435" i="1"/>
  <c r="P435" i="1"/>
  <c r="T435" i="1"/>
  <c r="U435" i="1"/>
  <c r="X435" i="1"/>
  <c r="L435" i="1"/>
  <c r="K435" i="1"/>
  <c r="T644" i="1"/>
  <c r="Q644" i="1"/>
  <c r="X644" i="1"/>
  <c r="R644" i="1"/>
  <c r="K644" i="1"/>
  <c r="O644" i="1"/>
  <c r="S644" i="1"/>
  <c r="U644" i="1"/>
  <c r="L644" i="1"/>
  <c r="P644" i="1"/>
  <c r="V644" i="1"/>
  <c r="M644" i="1"/>
  <c r="W644" i="1"/>
  <c r="X180" i="1"/>
  <c r="W180" i="1"/>
  <c r="V180" i="1"/>
  <c r="U180" i="1"/>
  <c r="K180" i="1"/>
  <c r="O180" i="1"/>
  <c r="R180" i="1"/>
  <c r="Q180" i="1"/>
  <c r="T180" i="1"/>
  <c r="P180" i="1"/>
  <c r="S180" i="1"/>
  <c r="L180" i="1"/>
  <c r="M180" i="1"/>
  <c r="V868" i="1"/>
  <c r="X868" i="1"/>
  <c r="S868" i="1"/>
  <c r="O868" i="1"/>
  <c r="R868" i="1"/>
  <c r="M868" i="1"/>
  <c r="L868" i="1"/>
  <c r="Q868" i="1"/>
  <c r="W868" i="1"/>
  <c r="K868" i="1"/>
  <c r="U868" i="1"/>
  <c r="P868" i="1"/>
  <c r="T868" i="1"/>
  <c r="U509" i="1"/>
  <c r="T509" i="1"/>
  <c r="X509" i="1"/>
  <c r="M509" i="1"/>
  <c r="K509" i="1"/>
  <c r="S509" i="1"/>
  <c r="W509" i="1"/>
  <c r="Q509" i="1"/>
  <c r="V509" i="1"/>
  <c r="R509" i="1"/>
  <c r="L509" i="1"/>
  <c r="O509" i="1"/>
  <c r="P509" i="1"/>
  <c r="K410" i="1"/>
  <c r="S410" i="1"/>
  <c r="T410" i="1"/>
  <c r="Q410" i="1"/>
  <c r="V410" i="1"/>
  <c r="X410" i="1"/>
  <c r="R410" i="1"/>
  <c r="O410" i="1"/>
  <c r="P410" i="1"/>
  <c r="U410" i="1"/>
  <c r="W410" i="1"/>
  <c r="M410" i="1"/>
  <c r="L410" i="1"/>
  <c r="S955" i="1"/>
  <c r="V955" i="1"/>
  <c r="P955" i="1"/>
  <c r="U955" i="1"/>
  <c r="O955" i="1"/>
  <c r="K955" i="1"/>
  <c r="X955" i="1"/>
  <c r="R955" i="1"/>
  <c r="M955" i="1"/>
  <c r="L955" i="1"/>
  <c r="Q955" i="1"/>
  <c r="W955" i="1"/>
  <c r="T955" i="1"/>
  <c r="L181" i="1"/>
  <c r="M181" i="1"/>
  <c r="W181" i="1"/>
  <c r="V181" i="1"/>
  <c r="Q181" i="1"/>
  <c r="P181" i="1"/>
  <c r="U181" i="1"/>
  <c r="S181" i="1"/>
  <c r="O181" i="1"/>
  <c r="K181" i="1"/>
  <c r="R181" i="1"/>
  <c r="X181" i="1"/>
  <c r="T181" i="1"/>
  <c r="R633" i="1"/>
  <c r="O633" i="1"/>
  <c r="P633" i="1"/>
  <c r="T633" i="1"/>
  <c r="Q633" i="1"/>
  <c r="W633" i="1"/>
  <c r="M633" i="1"/>
  <c r="L633" i="1"/>
  <c r="S633" i="1"/>
  <c r="K633" i="1"/>
  <c r="U633" i="1"/>
  <c r="V633" i="1"/>
  <c r="X633" i="1"/>
  <c r="P560" i="1"/>
  <c r="Q560" i="1"/>
  <c r="X560" i="1"/>
  <c r="M560" i="1"/>
  <c r="R560" i="1"/>
  <c r="L560" i="1"/>
  <c r="K560" i="1"/>
  <c r="O560" i="1"/>
  <c r="S560" i="1"/>
  <c r="U560" i="1"/>
  <c r="T560" i="1"/>
  <c r="V560" i="1"/>
  <c r="W560" i="1"/>
  <c r="T844" i="1"/>
  <c r="K844" i="1"/>
  <c r="R844" i="1"/>
  <c r="L844" i="1"/>
  <c r="P844" i="1"/>
  <c r="Q844" i="1"/>
  <c r="W844" i="1"/>
  <c r="V844" i="1"/>
  <c r="U844" i="1"/>
  <c r="O844" i="1"/>
  <c r="S844" i="1"/>
  <c r="X844" i="1"/>
  <c r="M844" i="1"/>
  <c r="K231" i="1"/>
  <c r="M231" i="1"/>
  <c r="X231" i="1"/>
  <c r="Q231" i="1"/>
  <c r="U231" i="1"/>
  <c r="T231" i="1"/>
  <c r="P231" i="1"/>
  <c r="S231" i="1"/>
  <c r="O231" i="1"/>
  <c r="L231" i="1"/>
  <c r="R231" i="1"/>
  <c r="W231" i="1"/>
  <c r="V231" i="1"/>
  <c r="O309" i="1"/>
  <c r="T309" i="1"/>
  <c r="V309" i="1"/>
  <c r="M309" i="1"/>
  <c r="S309" i="1"/>
  <c r="K309" i="1"/>
  <c r="P309" i="1"/>
  <c r="U309" i="1"/>
  <c r="W309" i="1"/>
  <c r="Q309" i="1"/>
  <c r="X309" i="1"/>
  <c r="R309" i="1"/>
  <c r="L309" i="1"/>
  <c r="U470" i="1"/>
  <c r="V470" i="1"/>
  <c r="R470" i="1"/>
  <c r="K470" i="1"/>
  <c r="T470" i="1"/>
  <c r="P470" i="1"/>
  <c r="W470" i="1"/>
  <c r="Q470" i="1"/>
  <c r="X470" i="1"/>
  <c r="M470" i="1"/>
  <c r="L470" i="1"/>
  <c r="S470" i="1"/>
  <c r="O470" i="1"/>
  <c r="Q645" i="1"/>
  <c r="X645" i="1"/>
  <c r="M645" i="1"/>
  <c r="W645" i="1"/>
  <c r="S645" i="1"/>
  <c r="O645" i="1"/>
  <c r="T645" i="1"/>
  <c r="U645" i="1"/>
  <c r="P645" i="1"/>
  <c r="V645" i="1"/>
  <c r="R645" i="1"/>
  <c r="L645" i="1"/>
  <c r="K645" i="1"/>
  <c r="V905" i="1"/>
  <c r="P905" i="1"/>
  <c r="T905" i="1"/>
  <c r="O905" i="1"/>
  <c r="S905" i="1"/>
  <c r="R905" i="1"/>
  <c r="L905" i="1"/>
  <c r="W905" i="1"/>
  <c r="U905" i="1"/>
  <c r="K905" i="1"/>
  <c r="X905" i="1"/>
  <c r="M905" i="1"/>
  <c r="Q905" i="1"/>
  <c r="K210" i="1"/>
  <c r="L210" i="1"/>
  <c r="M210" i="1"/>
  <c r="Q210" i="1"/>
  <c r="T210" i="1"/>
  <c r="U210" i="1"/>
  <c r="S210" i="1"/>
  <c r="R210" i="1"/>
  <c r="X210" i="1"/>
  <c r="W210" i="1"/>
  <c r="V210" i="1"/>
  <c r="P210" i="1"/>
  <c r="O210" i="1"/>
  <c r="S79" i="1"/>
  <c r="L79" i="1"/>
  <c r="X79" i="1"/>
  <c r="W79" i="1"/>
  <c r="Q79" i="1"/>
  <c r="T79" i="1"/>
  <c r="U79" i="1"/>
  <c r="O79" i="1"/>
  <c r="K79" i="1"/>
  <c r="M79" i="1"/>
  <c r="R79" i="1"/>
  <c r="V79" i="1"/>
  <c r="P79" i="1"/>
  <c r="O650" i="1"/>
  <c r="T650" i="1"/>
  <c r="U650" i="1"/>
  <c r="V650" i="1"/>
  <c r="M650" i="1"/>
  <c r="W650" i="1"/>
  <c r="L650" i="1"/>
  <c r="K650" i="1"/>
  <c r="S650" i="1"/>
  <c r="P650" i="1"/>
  <c r="Q650" i="1"/>
  <c r="X650" i="1"/>
  <c r="R650" i="1"/>
  <c r="P967" i="1"/>
  <c r="O967" i="1"/>
  <c r="X967" i="1"/>
  <c r="L967" i="1"/>
  <c r="Q967" i="1"/>
  <c r="V967" i="1"/>
  <c r="T967" i="1"/>
  <c r="K967" i="1"/>
  <c r="S967" i="1"/>
  <c r="R967" i="1"/>
  <c r="M967" i="1"/>
  <c r="W967" i="1"/>
  <c r="U967" i="1"/>
  <c r="Q375" i="1"/>
  <c r="V375" i="1"/>
  <c r="R375" i="1"/>
  <c r="L375" i="1"/>
  <c r="U375" i="1"/>
  <c r="S375" i="1"/>
  <c r="O375" i="1"/>
  <c r="T375" i="1"/>
  <c r="P375" i="1"/>
  <c r="W375" i="1"/>
  <c r="X375" i="1"/>
  <c r="M375" i="1"/>
  <c r="K375" i="1"/>
  <c r="O443" i="1"/>
  <c r="K443" i="1"/>
  <c r="P443" i="1"/>
  <c r="W443" i="1"/>
  <c r="Q443" i="1"/>
  <c r="R443" i="1"/>
  <c r="S443" i="1"/>
  <c r="U443" i="1"/>
  <c r="T443" i="1"/>
  <c r="V443" i="1"/>
  <c r="X443" i="1"/>
  <c r="M443" i="1"/>
  <c r="L443" i="1"/>
  <c r="P99" i="1"/>
  <c r="S99" i="1"/>
  <c r="R99" i="1"/>
  <c r="X99" i="1"/>
  <c r="W99" i="1"/>
  <c r="U99" i="1"/>
  <c r="Q99" i="1"/>
  <c r="T99" i="1"/>
  <c r="O99" i="1"/>
  <c r="K99" i="1"/>
  <c r="L99" i="1"/>
  <c r="M99" i="1"/>
  <c r="V99" i="1"/>
  <c r="V922" i="1"/>
  <c r="T922" i="1"/>
  <c r="K922" i="1"/>
  <c r="S922" i="1"/>
  <c r="R922" i="1"/>
  <c r="M922" i="1"/>
  <c r="Q922" i="1"/>
  <c r="W922" i="1"/>
  <c r="P922" i="1"/>
  <c r="O922" i="1"/>
  <c r="X922" i="1"/>
  <c r="L922" i="1"/>
  <c r="U922" i="1"/>
  <c r="R730" i="1"/>
  <c r="L730" i="1"/>
  <c r="K730" i="1"/>
  <c r="U730" i="1"/>
  <c r="M730" i="1"/>
  <c r="T730" i="1"/>
  <c r="Q730" i="1"/>
  <c r="V730" i="1"/>
  <c r="X730" i="1"/>
  <c r="W730" i="1"/>
  <c r="S730" i="1"/>
  <c r="O730" i="1"/>
  <c r="P730" i="1"/>
  <c r="L310" i="1"/>
  <c r="S310" i="1"/>
  <c r="T310" i="1"/>
  <c r="X310" i="1"/>
  <c r="R310" i="1"/>
  <c r="W310" i="1"/>
  <c r="Q310" i="1"/>
  <c r="V310" i="1"/>
  <c r="M310" i="1"/>
  <c r="O310" i="1"/>
  <c r="K310" i="1"/>
  <c r="P310" i="1"/>
  <c r="U310" i="1"/>
  <c r="S554" i="1"/>
  <c r="K554" i="1"/>
  <c r="O554" i="1"/>
  <c r="U554" i="1"/>
  <c r="P554" i="1"/>
  <c r="V554" i="1"/>
  <c r="W554" i="1"/>
  <c r="R554" i="1"/>
  <c r="T554" i="1"/>
  <c r="Q554" i="1"/>
  <c r="X554" i="1"/>
  <c r="M554" i="1"/>
  <c r="L554" i="1"/>
  <c r="R941" i="1"/>
  <c r="Q941" i="1"/>
  <c r="W941" i="1"/>
  <c r="U941" i="1"/>
  <c r="M941" i="1"/>
  <c r="L941" i="1"/>
  <c r="V941" i="1"/>
  <c r="P941" i="1"/>
  <c r="S941" i="1"/>
  <c r="O941" i="1"/>
  <c r="K941" i="1"/>
  <c r="X941" i="1"/>
  <c r="T941" i="1"/>
  <c r="W195" i="1"/>
  <c r="V195" i="1"/>
  <c r="U195" i="1"/>
  <c r="T195" i="1"/>
  <c r="L195" i="1"/>
  <c r="R195" i="1"/>
  <c r="X195" i="1"/>
  <c r="M195" i="1"/>
  <c r="Q195" i="1"/>
  <c r="P195" i="1"/>
  <c r="S195" i="1"/>
  <c r="O195" i="1"/>
  <c r="K195" i="1"/>
  <c r="S940" i="1"/>
  <c r="X940" i="1"/>
  <c r="V940" i="1"/>
  <c r="K940" i="1"/>
  <c r="O940" i="1"/>
  <c r="L940" i="1"/>
  <c r="Q940" i="1"/>
  <c r="W940" i="1"/>
  <c r="P940" i="1"/>
  <c r="T940" i="1"/>
  <c r="U940" i="1"/>
  <c r="R940" i="1"/>
  <c r="M940" i="1"/>
  <c r="S728" i="1"/>
  <c r="T728" i="1"/>
  <c r="Q728" i="1"/>
  <c r="V728" i="1"/>
  <c r="R728" i="1"/>
  <c r="L728" i="1"/>
  <c r="K728" i="1"/>
  <c r="U728" i="1"/>
  <c r="P728" i="1"/>
  <c r="X728" i="1"/>
  <c r="M728" i="1"/>
  <c r="W728" i="1"/>
  <c r="O728" i="1"/>
  <c r="M88" i="1"/>
  <c r="V88" i="1"/>
  <c r="Q88" i="1"/>
  <c r="U88" i="1"/>
  <c r="K88" i="1"/>
  <c r="S88" i="1"/>
  <c r="O88" i="1"/>
  <c r="W88" i="1"/>
  <c r="T88" i="1"/>
  <c r="P88" i="1"/>
  <c r="L88" i="1"/>
  <c r="R88" i="1"/>
  <c r="X88" i="1"/>
  <c r="W432" i="1"/>
  <c r="X432" i="1"/>
  <c r="K432" i="1"/>
  <c r="P432" i="1"/>
  <c r="T432" i="1"/>
  <c r="U432" i="1"/>
  <c r="M432" i="1"/>
  <c r="R432" i="1"/>
  <c r="L432" i="1"/>
  <c r="O432" i="1"/>
  <c r="S432" i="1"/>
  <c r="Q432" i="1"/>
  <c r="V432" i="1"/>
  <c r="V625" i="1"/>
  <c r="M625" i="1"/>
  <c r="R625" i="1"/>
  <c r="L625" i="1"/>
  <c r="S625" i="1"/>
  <c r="Q625" i="1"/>
  <c r="P625" i="1"/>
  <c r="T625" i="1"/>
  <c r="U625" i="1"/>
  <c r="X625" i="1"/>
  <c r="W625" i="1"/>
  <c r="K625" i="1"/>
  <c r="O625" i="1"/>
  <c r="K98" i="1"/>
  <c r="O98" i="1"/>
  <c r="L98" i="1"/>
  <c r="M98" i="1"/>
  <c r="R98" i="1"/>
  <c r="W98" i="1"/>
  <c r="U98" i="1"/>
  <c r="T98" i="1"/>
  <c r="P98" i="1"/>
  <c r="S98" i="1"/>
  <c r="X98" i="1"/>
  <c r="V98" i="1"/>
  <c r="Q98" i="1"/>
  <c r="O852" i="1"/>
  <c r="R852" i="1"/>
  <c r="Q852" i="1"/>
  <c r="U852" i="1"/>
  <c r="T852" i="1"/>
  <c r="S852" i="1"/>
  <c r="X852" i="1"/>
  <c r="M852" i="1"/>
  <c r="L852" i="1"/>
  <c r="W852" i="1"/>
  <c r="V852" i="1"/>
  <c r="P852" i="1"/>
  <c r="K852" i="1"/>
  <c r="K271" i="1"/>
  <c r="W271" i="1"/>
  <c r="V271" i="1"/>
  <c r="M271" i="1"/>
  <c r="R271" i="1"/>
  <c r="L271" i="1"/>
  <c r="O271" i="1"/>
  <c r="P271" i="1"/>
  <c r="U271" i="1"/>
  <c r="T271" i="1"/>
  <c r="Q271" i="1"/>
  <c r="X271" i="1"/>
  <c r="S271" i="1"/>
  <c r="L168" i="1"/>
  <c r="M168" i="1"/>
  <c r="R168" i="1"/>
  <c r="Q168" i="1"/>
  <c r="U168" i="1"/>
  <c r="O168" i="1"/>
  <c r="K168" i="1"/>
  <c r="S168" i="1"/>
  <c r="X168" i="1"/>
  <c r="W168" i="1"/>
  <c r="V168" i="1"/>
  <c r="P168" i="1"/>
  <c r="T168" i="1"/>
  <c r="V465" i="1"/>
  <c r="X465" i="1"/>
  <c r="K465" i="1"/>
  <c r="O465" i="1"/>
  <c r="U465" i="1"/>
  <c r="P465" i="1"/>
  <c r="W465" i="1"/>
  <c r="Q465" i="1"/>
  <c r="M465" i="1"/>
  <c r="R465" i="1"/>
  <c r="S465" i="1"/>
  <c r="T465" i="1"/>
  <c r="L465" i="1"/>
  <c r="V646" i="1"/>
  <c r="M646" i="1"/>
  <c r="W646" i="1"/>
  <c r="O646" i="1"/>
  <c r="T646" i="1"/>
  <c r="U646" i="1"/>
  <c r="Q646" i="1"/>
  <c r="R646" i="1"/>
  <c r="L646" i="1"/>
  <c r="K646" i="1"/>
  <c r="S646" i="1"/>
  <c r="P646" i="1"/>
  <c r="X646" i="1"/>
  <c r="P578" i="1"/>
  <c r="V578" i="1"/>
  <c r="M578" i="1"/>
  <c r="W578" i="1"/>
  <c r="R578" i="1"/>
  <c r="O578" i="1"/>
  <c r="K578" i="1"/>
  <c r="U578" i="1"/>
  <c r="L578" i="1"/>
  <c r="X578" i="1"/>
  <c r="S578" i="1"/>
  <c r="T578" i="1"/>
  <c r="Q578" i="1"/>
  <c r="L498" i="1"/>
  <c r="X498" i="1"/>
  <c r="O498" i="1"/>
  <c r="S498" i="1"/>
  <c r="P498" i="1"/>
  <c r="U498" i="1"/>
  <c r="T498" i="1"/>
  <c r="W498" i="1"/>
  <c r="Q498" i="1"/>
  <c r="K498" i="1"/>
  <c r="M498" i="1"/>
  <c r="R498" i="1"/>
  <c r="V498" i="1"/>
  <c r="S115" i="1"/>
  <c r="O115" i="1"/>
  <c r="L115" i="1"/>
  <c r="R115" i="1"/>
  <c r="X115" i="1"/>
  <c r="T115" i="1"/>
  <c r="U115" i="1"/>
  <c r="K115" i="1"/>
  <c r="P115" i="1"/>
  <c r="W115" i="1"/>
  <c r="V115" i="1"/>
  <c r="Q115" i="1"/>
  <c r="M115" i="1"/>
  <c r="P820" i="1"/>
  <c r="S820" i="1"/>
  <c r="M820" i="1"/>
  <c r="W820" i="1"/>
  <c r="T820" i="1"/>
  <c r="U820" i="1"/>
  <c r="Q820" i="1"/>
  <c r="V820" i="1"/>
  <c r="K820" i="1"/>
  <c r="O820" i="1"/>
  <c r="X820" i="1"/>
  <c r="R820" i="1"/>
  <c r="L820" i="1"/>
  <c r="R257" i="1"/>
  <c r="W257" i="1"/>
  <c r="Q257" i="1"/>
  <c r="P257" i="1"/>
  <c r="T257" i="1"/>
  <c r="O257" i="1"/>
  <c r="K257" i="1"/>
  <c r="L257" i="1"/>
  <c r="U257" i="1"/>
  <c r="V257" i="1"/>
  <c r="S257" i="1"/>
  <c r="M257" i="1"/>
  <c r="X257" i="1"/>
  <c r="O558" i="1"/>
  <c r="U558" i="1"/>
  <c r="T558" i="1"/>
  <c r="Q558" i="1"/>
  <c r="V558" i="1"/>
  <c r="M558" i="1"/>
  <c r="S558" i="1"/>
  <c r="K558" i="1"/>
  <c r="R558" i="1"/>
  <c r="L558" i="1"/>
  <c r="W558" i="1"/>
  <c r="P558" i="1"/>
  <c r="X558" i="1"/>
  <c r="O859" i="1"/>
  <c r="S859" i="1"/>
  <c r="X859" i="1"/>
  <c r="M859" i="1"/>
  <c r="Q859" i="1"/>
  <c r="V859" i="1"/>
  <c r="P859" i="1"/>
  <c r="K859" i="1"/>
  <c r="R859" i="1"/>
  <c r="L859" i="1"/>
  <c r="W859" i="1"/>
  <c r="T859" i="1"/>
  <c r="U859" i="1"/>
  <c r="M240" i="1"/>
  <c r="R240" i="1"/>
  <c r="W240" i="1"/>
  <c r="V240" i="1"/>
  <c r="Q240" i="1"/>
  <c r="P240" i="1"/>
  <c r="O240" i="1"/>
  <c r="K240" i="1"/>
  <c r="L240" i="1"/>
  <c r="X240" i="1"/>
  <c r="U240" i="1"/>
  <c r="T240" i="1"/>
  <c r="S240" i="1"/>
  <c r="T984" i="1"/>
  <c r="P984" i="1"/>
  <c r="K984" i="1"/>
  <c r="S984" i="1"/>
  <c r="X984" i="1"/>
  <c r="M984" i="1"/>
  <c r="V984" i="1"/>
  <c r="U984" i="1"/>
  <c r="O984" i="1"/>
  <c r="R984" i="1"/>
  <c r="L984" i="1"/>
  <c r="Q984" i="1"/>
  <c r="W984" i="1"/>
  <c r="K684" i="1"/>
  <c r="O684" i="1"/>
  <c r="T684" i="1"/>
  <c r="P684" i="1"/>
  <c r="Q684" i="1"/>
  <c r="V684" i="1"/>
  <c r="S684" i="1"/>
  <c r="U684" i="1"/>
  <c r="X684" i="1"/>
  <c r="M684" i="1"/>
  <c r="W684" i="1"/>
  <c r="R684" i="1"/>
  <c r="L684" i="1"/>
  <c r="R179" i="1"/>
  <c r="X179" i="1"/>
  <c r="W179" i="1"/>
  <c r="Q179" i="1"/>
  <c r="P179" i="1"/>
  <c r="T179" i="1"/>
  <c r="O179" i="1"/>
  <c r="K179" i="1"/>
  <c r="S179" i="1"/>
  <c r="L179" i="1"/>
  <c r="M179" i="1"/>
  <c r="V179" i="1"/>
  <c r="U179" i="1"/>
  <c r="V447" i="1"/>
  <c r="L447" i="1"/>
  <c r="O447" i="1"/>
  <c r="S447" i="1"/>
  <c r="Q447" i="1"/>
  <c r="U447" i="1"/>
  <c r="W447" i="1"/>
  <c r="X447" i="1"/>
  <c r="M447" i="1"/>
  <c r="R447" i="1"/>
  <c r="K447" i="1"/>
  <c r="P447" i="1"/>
  <c r="T447" i="1"/>
  <c r="Q771" i="1"/>
  <c r="V771" i="1"/>
  <c r="U771" i="1"/>
  <c r="T771" i="1"/>
  <c r="O771" i="1"/>
  <c r="R771" i="1"/>
  <c r="M771" i="1"/>
  <c r="L771" i="1"/>
  <c r="W771" i="1"/>
  <c r="P771" i="1"/>
  <c r="K771" i="1"/>
  <c r="S771" i="1"/>
  <c r="X771" i="1"/>
  <c r="S160" i="1"/>
  <c r="X160" i="1"/>
  <c r="U160" i="1"/>
  <c r="K160" i="1"/>
  <c r="O160" i="1"/>
  <c r="L160" i="1"/>
  <c r="M160" i="1"/>
  <c r="R160" i="1"/>
  <c r="W160" i="1"/>
  <c r="V160" i="1"/>
  <c r="Q160" i="1"/>
  <c r="P160" i="1"/>
  <c r="T160" i="1"/>
  <c r="U289" i="1"/>
  <c r="Q289" i="1"/>
  <c r="X289" i="1"/>
  <c r="R289" i="1"/>
  <c r="O289" i="1"/>
  <c r="K289" i="1"/>
  <c r="S289" i="1"/>
  <c r="V289" i="1"/>
  <c r="M289" i="1"/>
  <c r="L289" i="1"/>
  <c r="T289" i="1"/>
  <c r="P289" i="1"/>
  <c r="W289" i="1"/>
  <c r="U719" i="1"/>
  <c r="Q719" i="1"/>
  <c r="V719" i="1"/>
  <c r="M719" i="1"/>
  <c r="W719" i="1"/>
  <c r="P719" i="1"/>
  <c r="T719" i="1"/>
  <c r="S719" i="1"/>
  <c r="X719" i="1"/>
  <c r="R719" i="1"/>
  <c r="L719" i="1"/>
  <c r="O719" i="1"/>
  <c r="K719" i="1"/>
  <c r="M528" i="1"/>
  <c r="O528" i="1"/>
  <c r="P528" i="1"/>
  <c r="T528" i="1"/>
  <c r="U528" i="1"/>
  <c r="Q528" i="1"/>
  <c r="V528" i="1"/>
  <c r="X528" i="1"/>
  <c r="K528" i="1"/>
  <c r="S528" i="1"/>
  <c r="W528" i="1"/>
  <c r="R528" i="1"/>
  <c r="L528" i="1"/>
  <c r="S126" i="1"/>
  <c r="O126" i="1"/>
  <c r="L126" i="1"/>
  <c r="M126" i="1"/>
  <c r="R126" i="1"/>
  <c r="X126" i="1"/>
  <c r="Q126" i="1"/>
  <c r="T126" i="1"/>
  <c r="K126" i="1"/>
  <c r="W126" i="1"/>
  <c r="V126" i="1"/>
  <c r="U126" i="1"/>
  <c r="P126" i="1"/>
  <c r="S469" i="1"/>
  <c r="T469" i="1"/>
  <c r="P469" i="1"/>
  <c r="W469" i="1"/>
  <c r="Q469" i="1"/>
  <c r="R469" i="1"/>
  <c r="K469" i="1"/>
  <c r="O469" i="1"/>
  <c r="X469" i="1"/>
  <c r="M469" i="1"/>
  <c r="L469" i="1"/>
  <c r="U469" i="1"/>
  <c r="V469" i="1"/>
  <c r="K911" i="1"/>
  <c r="M911" i="1"/>
  <c r="V911" i="1"/>
  <c r="P911" i="1"/>
  <c r="T911" i="1"/>
  <c r="O911" i="1"/>
  <c r="X911" i="1"/>
  <c r="R911" i="1"/>
  <c r="L911" i="1"/>
  <c r="Q911" i="1"/>
  <c r="W911" i="1"/>
  <c r="U911" i="1"/>
  <c r="S911" i="1"/>
  <c r="X420" i="1"/>
  <c r="R420" i="1"/>
  <c r="K420" i="1"/>
  <c r="U420" i="1"/>
  <c r="W420" i="1"/>
  <c r="V420" i="1"/>
  <c r="Q420" i="1"/>
  <c r="M420" i="1"/>
  <c r="L420" i="1"/>
  <c r="S420" i="1"/>
  <c r="O420" i="1"/>
  <c r="T420" i="1"/>
  <c r="P420" i="1"/>
  <c r="O50" i="1"/>
  <c r="X50" i="1"/>
  <c r="W50" i="1"/>
  <c r="Q50" i="1"/>
  <c r="K50" i="1"/>
  <c r="L50" i="1"/>
  <c r="R50" i="1"/>
  <c r="T50" i="1"/>
  <c r="S50" i="1"/>
  <c r="V50" i="1"/>
  <c r="U50" i="1"/>
  <c r="H50" i="1"/>
  <c r="P50" i="1"/>
  <c r="M50" i="1"/>
  <c r="O810" i="1"/>
  <c r="R810" i="1"/>
  <c r="V810" i="1"/>
  <c r="P810" i="1"/>
  <c r="T810" i="1"/>
  <c r="U810" i="1"/>
  <c r="S810" i="1"/>
  <c r="K810" i="1"/>
  <c r="X810" i="1"/>
  <c r="M810" i="1"/>
  <c r="L810" i="1"/>
  <c r="Q810" i="1"/>
  <c r="W810" i="1"/>
  <c r="O685" i="1"/>
  <c r="P685" i="1"/>
  <c r="T685" i="1"/>
  <c r="Q685" i="1"/>
  <c r="L685" i="1"/>
  <c r="K685" i="1"/>
  <c r="S685" i="1"/>
  <c r="U685" i="1"/>
  <c r="V685" i="1"/>
  <c r="X685" i="1"/>
  <c r="M685" i="1"/>
  <c r="W685" i="1"/>
  <c r="R685" i="1"/>
  <c r="X718" i="1"/>
  <c r="T718" i="1"/>
  <c r="Q718" i="1"/>
  <c r="O718" i="1"/>
  <c r="P718" i="1"/>
  <c r="U718" i="1"/>
  <c r="V718" i="1"/>
  <c r="M718" i="1"/>
  <c r="W718" i="1"/>
  <c r="S718" i="1"/>
  <c r="K718" i="1"/>
  <c r="R718" i="1"/>
  <c r="L718" i="1"/>
  <c r="S395" i="1"/>
  <c r="Q395" i="1"/>
  <c r="V395" i="1"/>
  <c r="M395" i="1"/>
  <c r="R395" i="1"/>
  <c r="L395" i="1"/>
  <c r="O395" i="1"/>
  <c r="P395" i="1"/>
  <c r="U395" i="1"/>
  <c r="T395" i="1"/>
  <c r="W395" i="1"/>
  <c r="X395" i="1"/>
  <c r="K395" i="1"/>
  <c r="U233" i="1"/>
  <c r="T233" i="1"/>
  <c r="O233" i="1"/>
  <c r="L233" i="1"/>
  <c r="M233" i="1"/>
  <c r="R233" i="1"/>
  <c r="V233" i="1"/>
  <c r="Q233" i="1"/>
  <c r="S233" i="1"/>
  <c r="K233" i="1"/>
  <c r="X233" i="1"/>
  <c r="W233" i="1"/>
  <c r="P233" i="1"/>
  <c r="O147" i="1"/>
  <c r="L147" i="1"/>
  <c r="V147" i="1"/>
  <c r="Q147" i="1"/>
  <c r="P147" i="1"/>
  <c r="T147" i="1"/>
  <c r="K147" i="1"/>
  <c r="S147" i="1"/>
  <c r="M147" i="1"/>
  <c r="R147" i="1"/>
  <c r="X147" i="1"/>
  <c r="W147" i="1"/>
  <c r="U147" i="1"/>
  <c r="U822" i="1"/>
  <c r="T822" i="1"/>
  <c r="P822" i="1"/>
  <c r="O822" i="1"/>
  <c r="X822" i="1"/>
  <c r="M822" i="1"/>
  <c r="L822" i="1"/>
  <c r="Q822" i="1"/>
  <c r="W822" i="1"/>
  <c r="V822" i="1"/>
  <c r="K822" i="1"/>
  <c r="S822" i="1"/>
  <c r="R822" i="1"/>
  <c r="O429" i="1"/>
  <c r="K429" i="1"/>
  <c r="P429" i="1"/>
  <c r="T429" i="1"/>
  <c r="W429" i="1"/>
  <c r="M429" i="1"/>
  <c r="R429" i="1"/>
  <c r="L429" i="1"/>
  <c r="S429" i="1"/>
  <c r="U429" i="1"/>
  <c r="Q429" i="1"/>
  <c r="V429" i="1"/>
  <c r="X429" i="1"/>
  <c r="K676" i="1"/>
  <c r="O676" i="1"/>
  <c r="T676" i="1"/>
  <c r="U676" i="1"/>
  <c r="V676" i="1"/>
  <c r="R676" i="1"/>
  <c r="L676" i="1"/>
  <c r="S676" i="1"/>
  <c r="P676" i="1"/>
  <c r="Q676" i="1"/>
  <c r="X676" i="1"/>
  <c r="M676" i="1"/>
  <c r="W676" i="1"/>
  <c r="K477" i="1"/>
  <c r="P477" i="1"/>
  <c r="U477" i="1"/>
  <c r="W477" i="1"/>
  <c r="M477" i="1"/>
  <c r="L477" i="1"/>
  <c r="O477" i="1"/>
  <c r="S477" i="1"/>
  <c r="T477" i="1"/>
  <c r="Q477" i="1"/>
  <c r="V477" i="1"/>
  <c r="X477" i="1"/>
  <c r="R477" i="1"/>
  <c r="U591" i="1"/>
  <c r="Q591" i="1"/>
  <c r="X591" i="1"/>
  <c r="R591" i="1"/>
  <c r="L591" i="1"/>
  <c r="K591" i="1"/>
  <c r="S591" i="1"/>
  <c r="P591" i="1"/>
  <c r="M591" i="1"/>
  <c r="W591" i="1"/>
  <c r="O591" i="1"/>
  <c r="T591" i="1"/>
  <c r="V591" i="1"/>
  <c r="X840" i="1"/>
  <c r="R840" i="1"/>
  <c r="M840" i="1"/>
  <c r="L840" i="1"/>
  <c r="W840" i="1"/>
  <c r="V840" i="1"/>
  <c r="U840" i="1"/>
  <c r="O840" i="1"/>
  <c r="S840" i="1"/>
  <c r="K840" i="1"/>
  <c r="Q840" i="1"/>
  <c r="P840" i="1"/>
  <c r="T840" i="1"/>
  <c r="R138" i="1"/>
  <c r="X138" i="1"/>
  <c r="W138" i="1"/>
  <c r="V138" i="1"/>
  <c r="Q138" i="1"/>
  <c r="P138" i="1"/>
  <c r="M138" i="1"/>
  <c r="S138" i="1"/>
  <c r="K138" i="1"/>
  <c r="L138" i="1"/>
  <c r="T138" i="1"/>
  <c r="U138" i="1"/>
  <c r="O138" i="1"/>
  <c r="V639" i="1"/>
  <c r="X639" i="1"/>
  <c r="M639" i="1"/>
  <c r="W639" i="1"/>
  <c r="K639" i="1"/>
  <c r="S639" i="1"/>
  <c r="P639" i="1"/>
  <c r="Q639" i="1"/>
  <c r="R639" i="1"/>
  <c r="O639" i="1"/>
  <c r="U639" i="1"/>
  <c r="T639" i="1"/>
  <c r="L639" i="1"/>
  <c r="K478" i="1"/>
  <c r="O478" i="1"/>
  <c r="U478" i="1"/>
  <c r="T478" i="1"/>
  <c r="V478" i="1"/>
  <c r="R478" i="1"/>
  <c r="S478" i="1"/>
  <c r="P478" i="1"/>
  <c r="W478" i="1"/>
  <c r="Q478" i="1"/>
  <c r="X478" i="1"/>
  <c r="M478" i="1"/>
  <c r="L478" i="1"/>
  <c r="S86" i="1"/>
  <c r="L86" i="1"/>
  <c r="V86" i="1"/>
  <c r="Q86" i="1"/>
  <c r="T86" i="1"/>
  <c r="O86" i="1"/>
  <c r="K86" i="1"/>
  <c r="M86" i="1"/>
  <c r="R86" i="1"/>
  <c r="X86" i="1"/>
  <c r="W86" i="1"/>
  <c r="U86" i="1"/>
  <c r="P86" i="1"/>
  <c r="S880" i="1"/>
  <c r="O880" i="1"/>
  <c r="K880" i="1"/>
  <c r="X880" i="1"/>
  <c r="L880" i="1"/>
  <c r="Q880" i="1"/>
  <c r="W880" i="1"/>
  <c r="R880" i="1"/>
  <c r="M880" i="1"/>
  <c r="V880" i="1"/>
  <c r="U880" i="1"/>
  <c r="T880" i="1"/>
  <c r="P880" i="1"/>
  <c r="W606" i="1"/>
  <c r="S606" i="1"/>
  <c r="O606" i="1"/>
  <c r="P606" i="1"/>
  <c r="U606" i="1"/>
  <c r="T606" i="1"/>
  <c r="Q606" i="1"/>
  <c r="V606" i="1"/>
  <c r="X606" i="1"/>
  <c r="K606" i="1"/>
  <c r="R606" i="1"/>
  <c r="L606" i="1"/>
  <c r="M606" i="1"/>
  <c r="O265" i="1"/>
  <c r="P265" i="1"/>
  <c r="W265" i="1"/>
  <c r="Q265" i="1"/>
  <c r="V265" i="1"/>
  <c r="X265" i="1"/>
  <c r="L265" i="1"/>
  <c r="K265" i="1"/>
  <c r="S265" i="1"/>
  <c r="U265" i="1"/>
  <c r="T265" i="1"/>
  <c r="M265" i="1"/>
  <c r="R265" i="1"/>
  <c r="U182" i="1"/>
  <c r="O182" i="1"/>
  <c r="R182" i="1"/>
  <c r="X182" i="1"/>
  <c r="W182" i="1"/>
  <c r="V182" i="1"/>
  <c r="Q182" i="1"/>
  <c r="T182" i="1"/>
  <c r="K182" i="1"/>
  <c r="S182" i="1"/>
  <c r="L182" i="1"/>
  <c r="M182" i="1"/>
  <c r="P182" i="1"/>
  <c r="P994" i="1"/>
  <c r="O994" i="1"/>
  <c r="K994" i="1"/>
  <c r="X994" i="1"/>
  <c r="M994" i="1"/>
  <c r="L994" i="1"/>
  <c r="W994" i="1"/>
  <c r="V994" i="1"/>
  <c r="T994" i="1"/>
  <c r="S994" i="1"/>
  <c r="R994" i="1"/>
  <c r="Q994" i="1"/>
  <c r="U994" i="1"/>
  <c r="O70" i="1"/>
  <c r="S70" i="1"/>
  <c r="K70" i="1"/>
  <c r="M70" i="1"/>
  <c r="R70" i="1"/>
  <c r="P70" i="1"/>
  <c r="T70" i="1"/>
  <c r="L70" i="1"/>
  <c r="X70" i="1"/>
  <c r="W70" i="1"/>
  <c r="V70" i="1"/>
  <c r="Q70" i="1"/>
  <c r="U70" i="1"/>
  <c r="S975" i="1"/>
  <c r="M975" i="1"/>
  <c r="L975" i="1"/>
  <c r="Q975" i="1"/>
  <c r="T975" i="1"/>
  <c r="U975" i="1"/>
  <c r="P975" i="1"/>
  <c r="O975" i="1"/>
  <c r="K975" i="1"/>
  <c r="X975" i="1"/>
  <c r="R975" i="1"/>
  <c r="W975" i="1"/>
  <c r="V975" i="1"/>
  <c r="S515" i="1"/>
  <c r="T515" i="1"/>
  <c r="Q515" i="1"/>
  <c r="V515" i="1"/>
  <c r="X515" i="1"/>
  <c r="M515" i="1"/>
  <c r="K515" i="1"/>
  <c r="O515" i="1"/>
  <c r="U515" i="1"/>
  <c r="P515" i="1"/>
  <c r="W515" i="1"/>
  <c r="R515" i="1"/>
  <c r="L515" i="1"/>
  <c r="O329" i="1"/>
  <c r="S329" i="1"/>
  <c r="P329" i="1"/>
  <c r="T329" i="1"/>
  <c r="V329" i="1"/>
  <c r="X329" i="1"/>
  <c r="M329" i="1"/>
  <c r="R329" i="1"/>
  <c r="K329" i="1"/>
  <c r="U329" i="1"/>
  <c r="W329" i="1"/>
  <c r="Q329" i="1"/>
  <c r="L329" i="1"/>
  <c r="Q436" i="1"/>
  <c r="V436" i="1"/>
  <c r="M436" i="1"/>
  <c r="R436" i="1"/>
  <c r="S436" i="1"/>
  <c r="T436" i="1"/>
  <c r="W436" i="1"/>
  <c r="U436" i="1"/>
  <c r="X436" i="1"/>
  <c r="L436" i="1"/>
  <c r="O436" i="1"/>
  <c r="K436" i="1"/>
  <c r="P436" i="1"/>
  <c r="L603" i="1"/>
  <c r="O603" i="1"/>
  <c r="K603" i="1"/>
  <c r="S603" i="1"/>
  <c r="P603" i="1"/>
  <c r="U603" i="1"/>
  <c r="T603" i="1"/>
  <c r="X603" i="1"/>
  <c r="Q603" i="1"/>
  <c r="V603" i="1"/>
  <c r="M603" i="1"/>
  <c r="W603" i="1"/>
  <c r="R603" i="1"/>
  <c r="W253" i="1"/>
  <c r="V253" i="1"/>
  <c r="P253" i="1"/>
  <c r="T253" i="1"/>
  <c r="U253" i="1"/>
  <c r="S253" i="1"/>
  <c r="R253" i="1"/>
  <c r="L253" i="1"/>
  <c r="M253" i="1"/>
  <c r="X253" i="1"/>
  <c r="Q253" i="1"/>
  <c r="O253" i="1"/>
  <c r="K253" i="1"/>
  <c r="L814" i="1"/>
  <c r="Q814" i="1"/>
  <c r="V814" i="1"/>
  <c r="P814" i="1"/>
  <c r="U814" i="1"/>
  <c r="K814" i="1"/>
  <c r="S814" i="1"/>
  <c r="R814" i="1"/>
  <c r="M814" i="1"/>
  <c r="W814" i="1"/>
  <c r="T814" i="1"/>
  <c r="O814" i="1"/>
  <c r="X814" i="1"/>
  <c r="S351" i="1"/>
  <c r="U351" i="1"/>
  <c r="W351" i="1"/>
  <c r="Q351" i="1"/>
  <c r="X351" i="1"/>
  <c r="M351" i="1"/>
  <c r="R351" i="1"/>
  <c r="K351" i="1"/>
  <c r="T351" i="1"/>
  <c r="P351" i="1"/>
  <c r="V351" i="1"/>
  <c r="L351" i="1"/>
  <c r="O351" i="1"/>
  <c r="X114" i="1"/>
  <c r="T114" i="1"/>
  <c r="O114" i="1"/>
  <c r="L114" i="1"/>
  <c r="M114" i="1"/>
  <c r="R114" i="1"/>
  <c r="W114" i="1"/>
  <c r="V114" i="1"/>
  <c r="S114" i="1"/>
  <c r="K114" i="1"/>
  <c r="P114" i="1"/>
  <c r="Q114" i="1"/>
  <c r="U114" i="1"/>
  <c r="K581" i="1"/>
  <c r="P581" i="1"/>
  <c r="V581" i="1"/>
  <c r="X581" i="1"/>
  <c r="W581" i="1"/>
  <c r="R581" i="1"/>
  <c r="O581" i="1"/>
  <c r="S581" i="1"/>
  <c r="T581" i="1"/>
  <c r="U581" i="1"/>
  <c r="Q581" i="1"/>
  <c r="M581" i="1"/>
  <c r="L581" i="1"/>
  <c r="U878" i="1"/>
  <c r="O878" i="1"/>
  <c r="S878" i="1"/>
  <c r="K878" i="1"/>
  <c r="W878" i="1"/>
  <c r="V878" i="1"/>
  <c r="P878" i="1"/>
  <c r="T878" i="1"/>
  <c r="X878" i="1"/>
  <c r="R878" i="1"/>
  <c r="M878" i="1"/>
  <c r="L878" i="1"/>
  <c r="Q878" i="1"/>
  <c r="U60" i="1"/>
  <c r="O60" i="1"/>
  <c r="K60" i="1"/>
  <c r="S60" i="1"/>
  <c r="L60" i="1"/>
  <c r="M60" i="1"/>
  <c r="V60" i="1"/>
  <c r="P60" i="1"/>
  <c r="T60" i="1"/>
  <c r="R60" i="1"/>
  <c r="X60" i="1"/>
  <c r="W60" i="1"/>
  <c r="Q60" i="1"/>
  <c r="O268" i="1"/>
  <c r="S268" i="1"/>
  <c r="T268" i="1"/>
  <c r="U268" i="1"/>
  <c r="W268" i="1"/>
  <c r="X268" i="1"/>
  <c r="K268" i="1"/>
  <c r="P268" i="1"/>
  <c r="Q268" i="1"/>
  <c r="V268" i="1"/>
  <c r="M268" i="1"/>
  <c r="R268" i="1"/>
  <c r="L268" i="1"/>
  <c r="O570" i="1"/>
  <c r="U570" i="1"/>
  <c r="W570" i="1"/>
  <c r="L570" i="1"/>
  <c r="Q570" i="1"/>
  <c r="V570" i="1"/>
  <c r="X570" i="1"/>
  <c r="M570" i="1"/>
  <c r="S570" i="1"/>
  <c r="K570" i="1"/>
  <c r="P570" i="1"/>
  <c r="T570" i="1"/>
  <c r="R570" i="1"/>
  <c r="K827" i="1"/>
  <c r="X827" i="1"/>
  <c r="M827" i="1"/>
  <c r="T827" i="1"/>
  <c r="P827" i="1"/>
  <c r="O827" i="1"/>
  <c r="R827" i="1"/>
  <c r="L827" i="1"/>
  <c r="Q827" i="1"/>
  <c r="W827" i="1"/>
  <c r="V827" i="1"/>
  <c r="U827" i="1"/>
  <c r="S827" i="1"/>
  <c r="P651" i="1"/>
  <c r="V651" i="1"/>
  <c r="M651" i="1"/>
  <c r="L651" i="1"/>
  <c r="K651" i="1"/>
  <c r="U651" i="1"/>
  <c r="T651" i="1"/>
  <c r="Q651" i="1"/>
  <c r="X651" i="1"/>
  <c r="W651" i="1"/>
  <c r="R651" i="1"/>
  <c r="S651" i="1"/>
  <c r="O651" i="1"/>
  <c r="K462" i="1"/>
  <c r="S462" i="1"/>
  <c r="O462" i="1"/>
  <c r="P462" i="1"/>
  <c r="Q462" i="1"/>
  <c r="M462" i="1"/>
  <c r="R462" i="1"/>
  <c r="U462" i="1"/>
  <c r="T462" i="1"/>
  <c r="W462" i="1"/>
  <c r="V462" i="1"/>
  <c r="X462" i="1"/>
  <c r="L462" i="1"/>
  <c r="L11" i="1"/>
  <c r="U11" i="1"/>
  <c r="T11" i="1"/>
  <c r="H11" i="1"/>
  <c r="V11" i="1"/>
  <c r="Q11" i="1"/>
  <c r="W11" i="1"/>
  <c r="P11" i="1"/>
  <c r="R11" i="1"/>
  <c r="X11" i="1"/>
  <c r="K11" i="1"/>
  <c r="O11" i="1"/>
  <c r="S11" i="1"/>
  <c r="M11" i="1"/>
  <c r="U472" i="1"/>
  <c r="P472" i="1"/>
  <c r="V472" i="1"/>
  <c r="L472" i="1"/>
  <c r="S472" i="1"/>
  <c r="T472" i="1"/>
  <c r="W472" i="1"/>
  <c r="Q472" i="1"/>
  <c r="X472" i="1"/>
  <c r="M472" i="1"/>
  <c r="R472" i="1"/>
  <c r="K472" i="1"/>
  <c r="O472" i="1"/>
  <c r="S47" i="1"/>
  <c r="M47" i="1"/>
  <c r="K47" i="1"/>
  <c r="H47" i="1"/>
  <c r="W47" i="1"/>
  <c r="U47" i="1"/>
  <c r="P47" i="1"/>
  <c r="O47" i="1"/>
  <c r="L47" i="1"/>
  <c r="V47" i="1"/>
  <c r="Q47" i="1"/>
  <c r="T47" i="1"/>
  <c r="R47" i="1"/>
  <c r="X47" i="1"/>
  <c r="R688" i="1"/>
  <c r="S688" i="1"/>
  <c r="T688" i="1"/>
  <c r="P688" i="1"/>
  <c r="Q688" i="1"/>
  <c r="V688" i="1"/>
  <c r="X688" i="1"/>
  <c r="M688" i="1"/>
  <c r="L688" i="1"/>
  <c r="K688" i="1"/>
  <c r="O688" i="1"/>
  <c r="U688" i="1"/>
  <c r="W688" i="1"/>
  <c r="L959" i="1"/>
  <c r="Q959" i="1"/>
  <c r="W959" i="1"/>
  <c r="K959" i="1"/>
  <c r="O959" i="1"/>
  <c r="X959" i="1"/>
  <c r="R959" i="1"/>
  <c r="M959" i="1"/>
  <c r="U959" i="1"/>
  <c r="S959" i="1"/>
  <c r="V959" i="1"/>
  <c r="T959" i="1"/>
  <c r="P959" i="1"/>
  <c r="T892" i="1"/>
  <c r="S892" i="1"/>
  <c r="K892" i="1"/>
  <c r="X892" i="1"/>
  <c r="M892" i="1"/>
  <c r="Q892" i="1"/>
  <c r="W892" i="1"/>
  <c r="U892" i="1"/>
  <c r="O892" i="1"/>
  <c r="R892" i="1"/>
  <c r="L892" i="1"/>
  <c r="V892" i="1"/>
  <c r="P892" i="1"/>
  <c r="P397" i="1"/>
  <c r="U397" i="1"/>
  <c r="Q397" i="1"/>
  <c r="X397" i="1"/>
  <c r="M397" i="1"/>
  <c r="K397" i="1"/>
  <c r="O397" i="1"/>
  <c r="S397" i="1"/>
  <c r="L397" i="1"/>
  <c r="R397" i="1"/>
  <c r="T397" i="1"/>
  <c r="W397" i="1"/>
  <c r="V397" i="1"/>
  <c r="O573" i="1"/>
  <c r="S573" i="1"/>
  <c r="U573" i="1"/>
  <c r="Q573" i="1"/>
  <c r="M573" i="1"/>
  <c r="L573" i="1"/>
  <c r="K573" i="1"/>
  <c r="P573" i="1"/>
  <c r="T573" i="1"/>
  <c r="V573" i="1"/>
  <c r="X573" i="1"/>
  <c r="W573" i="1"/>
  <c r="R573" i="1"/>
  <c r="V183" i="1"/>
  <c r="T183" i="1"/>
  <c r="U183" i="1"/>
  <c r="R183" i="1"/>
  <c r="X183" i="1"/>
  <c r="W183" i="1"/>
  <c r="S183" i="1"/>
  <c r="O183" i="1"/>
  <c r="K183" i="1"/>
  <c r="L183" i="1"/>
  <c r="M183" i="1"/>
  <c r="Q183" i="1"/>
  <c r="P183" i="1"/>
  <c r="W388" i="1"/>
  <c r="V388" i="1"/>
  <c r="M388" i="1"/>
  <c r="K388" i="1"/>
  <c r="O388" i="1"/>
  <c r="U388" i="1"/>
  <c r="Q388" i="1"/>
  <c r="X388" i="1"/>
  <c r="R388" i="1"/>
  <c r="L388" i="1"/>
  <c r="S388" i="1"/>
  <c r="P388" i="1"/>
  <c r="T388" i="1"/>
  <c r="W91" i="1"/>
  <c r="Q91" i="1"/>
  <c r="U91" i="1"/>
  <c r="S91" i="1"/>
  <c r="K91" i="1"/>
  <c r="L91" i="1"/>
  <c r="X91" i="1"/>
  <c r="P91" i="1"/>
  <c r="T91" i="1"/>
  <c r="O91" i="1"/>
  <c r="M91" i="1"/>
  <c r="R91" i="1"/>
  <c r="V91" i="1"/>
  <c r="S765" i="1"/>
  <c r="T765" i="1"/>
  <c r="Q765" i="1"/>
  <c r="V765" i="1"/>
  <c r="M765" i="1"/>
  <c r="K765" i="1"/>
  <c r="O765" i="1"/>
  <c r="P765" i="1"/>
  <c r="U765" i="1"/>
  <c r="X765" i="1"/>
  <c r="W765" i="1"/>
  <c r="R765" i="1"/>
  <c r="L765" i="1"/>
  <c r="K621" i="1"/>
  <c r="S621" i="1"/>
  <c r="P621" i="1"/>
  <c r="U621" i="1"/>
  <c r="Q621" i="1"/>
  <c r="L621" i="1"/>
  <c r="O621" i="1"/>
  <c r="T621" i="1"/>
  <c r="V621" i="1"/>
  <c r="X621" i="1"/>
  <c r="M621" i="1"/>
  <c r="W621" i="1"/>
  <c r="R621" i="1"/>
  <c r="K772" i="1"/>
  <c r="O772" i="1"/>
  <c r="X772" i="1"/>
  <c r="Q772" i="1"/>
  <c r="W772" i="1"/>
  <c r="V772" i="1"/>
  <c r="T772" i="1"/>
  <c r="S772" i="1"/>
  <c r="P772" i="1"/>
  <c r="M772" i="1"/>
  <c r="L772" i="1"/>
  <c r="U772" i="1"/>
  <c r="R772" i="1"/>
  <c r="S17" i="1"/>
  <c r="O17" i="1"/>
  <c r="W17" i="1"/>
  <c r="P17" i="1"/>
  <c r="H17" i="1"/>
  <c r="L17" i="1"/>
  <c r="Q17" i="1"/>
  <c r="T17" i="1"/>
  <c r="U17" i="1"/>
  <c r="K17" i="1"/>
  <c r="R17" i="1"/>
  <c r="X17" i="1"/>
  <c r="M17" i="1"/>
  <c r="V17" i="1"/>
  <c r="T421" i="1"/>
  <c r="U421" i="1"/>
  <c r="W421" i="1"/>
  <c r="V421" i="1"/>
  <c r="X421" i="1"/>
  <c r="L421" i="1"/>
  <c r="S421" i="1"/>
  <c r="O421" i="1"/>
  <c r="K421" i="1"/>
  <c r="P421" i="1"/>
  <c r="Q421" i="1"/>
  <c r="M421" i="1"/>
  <c r="R421" i="1"/>
  <c r="T460" i="1"/>
  <c r="W460" i="1"/>
  <c r="X460" i="1"/>
  <c r="M460" i="1"/>
  <c r="L460" i="1"/>
  <c r="O460" i="1"/>
  <c r="K460" i="1"/>
  <c r="U460" i="1"/>
  <c r="V460" i="1"/>
  <c r="R460" i="1"/>
  <c r="S460" i="1"/>
  <c r="P460" i="1"/>
  <c r="Q460" i="1"/>
  <c r="K708" i="1"/>
  <c r="T708" i="1"/>
  <c r="M708" i="1"/>
  <c r="R708" i="1"/>
  <c r="V708" i="1"/>
  <c r="X708" i="1"/>
  <c r="W708" i="1"/>
  <c r="O708" i="1"/>
  <c r="S708" i="1"/>
  <c r="P708" i="1"/>
  <c r="U708" i="1"/>
  <c r="Q708" i="1"/>
  <c r="L708" i="1"/>
  <c r="O110" i="1"/>
  <c r="R110" i="1"/>
  <c r="V110" i="1"/>
  <c r="T110" i="1"/>
  <c r="U110" i="1"/>
  <c r="P110" i="1"/>
  <c r="S110" i="1"/>
  <c r="K110" i="1"/>
  <c r="L110" i="1"/>
  <c r="M110" i="1"/>
  <c r="X110" i="1"/>
  <c r="W110" i="1"/>
  <c r="Q110" i="1"/>
  <c r="T882" i="1"/>
  <c r="K882" i="1"/>
  <c r="M882" i="1"/>
  <c r="L882" i="1"/>
  <c r="Q882" i="1"/>
  <c r="W882" i="1"/>
  <c r="V882" i="1"/>
  <c r="U882" i="1"/>
  <c r="O882" i="1"/>
  <c r="S882" i="1"/>
  <c r="X882" i="1"/>
  <c r="R882" i="1"/>
  <c r="P882" i="1"/>
  <c r="V236" i="1"/>
  <c r="P236" i="1"/>
  <c r="K236" i="1"/>
  <c r="S236" i="1"/>
  <c r="L236" i="1"/>
  <c r="X236" i="1"/>
  <c r="Q236" i="1"/>
  <c r="U236" i="1"/>
  <c r="T236" i="1"/>
  <c r="O236" i="1"/>
  <c r="M236" i="1"/>
  <c r="R236" i="1"/>
  <c r="W236" i="1"/>
  <c r="T262" i="1"/>
  <c r="W262" i="1"/>
  <c r="V262" i="1"/>
  <c r="R262" i="1"/>
  <c r="K262" i="1"/>
  <c r="O262" i="1"/>
  <c r="U262" i="1"/>
  <c r="P262" i="1"/>
  <c r="Q262" i="1"/>
  <c r="X262" i="1"/>
  <c r="M262" i="1"/>
  <c r="L262" i="1"/>
  <c r="S262" i="1"/>
  <c r="X519" i="1"/>
  <c r="M519" i="1"/>
  <c r="W519" i="1"/>
  <c r="K519" i="1"/>
  <c r="S519" i="1"/>
  <c r="U519" i="1"/>
  <c r="Q519" i="1"/>
  <c r="R519" i="1"/>
  <c r="L519" i="1"/>
  <c r="O519" i="1"/>
  <c r="P519" i="1"/>
  <c r="T519" i="1"/>
  <c r="V519" i="1"/>
  <c r="M899" i="1"/>
  <c r="Q899" i="1"/>
  <c r="V899" i="1"/>
  <c r="T899" i="1"/>
  <c r="S899" i="1"/>
  <c r="X899" i="1"/>
  <c r="R899" i="1"/>
  <c r="W899" i="1"/>
  <c r="U899" i="1"/>
  <c r="P899" i="1"/>
  <c r="O899" i="1"/>
  <c r="K899" i="1"/>
  <c r="L899" i="1"/>
  <c r="X580" i="1"/>
  <c r="O580" i="1"/>
  <c r="S580" i="1"/>
  <c r="K580" i="1"/>
  <c r="U580" i="1"/>
  <c r="P580" i="1"/>
  <c r="R580" i="1"/>
  <c r="L580" i="1"/>
  <c r="T580" i="1"/>
  <c r="Q580" i="1"/>
  <c r="V580" i="1"/>
  <c r="M580" i="1"/>
  <c r="W580" i="1"/>
  <c r="Q226" i="1"/>
  <c r="P226" i="1"/>
  <c r="T226" i="1"/>
  <c r="K226" i="1"/>
  <c r="O226" i="1"/>
  <c r="M226" i="1"/>
  <c r="X226" i="1"/>
  <c r="W226" i="1"/>
  <c r="S226" i="1"/>
  <c r="L226" i="1"/>
  <c r="R226" i="1"/>
  <c r="V226" i="1"/>
  <c r="U226" i="1"/>
  <c r="T441" i="1"/>
  <c r="U441" i="1"/>
  <c r="W441" i="1"/>
  <c r="Q441" i="1"/>
  <c r="X441" i="1"/>
  <c r="O441" i="1"/>
  <c r="S441" i="1"/>
  <c r="P441" i="1"/>
  <c r="R441" i="1"/>
  <c r="L441" i="1"/>
  <c r="K441" i="1"/>
  <c r="V441" i="1"/>
  <c r="M441" i="1"/>
  <c r="M950" i="1"/>
  <c r="L950" i="1"/>
  <c r="Q950" i="1"/>
  <c r="U950" i="1"/>
  <c r="K950" i="1"/>
  <c r="R950" i="1"/>
  <c r="X950" i="1"/>
  <c r="W950" i="1"/>
  <c r="V950" i="1"/>
  <c r="P950" i="1"/>
  <c r="T950" i="1"/>
  <c r="O950" i="1"/>
  <c r="S950" i="1"/>
  <c r="W745" i="1"/>
  <c r="L745" i="1"/>
  <c r="O745" i="1"/>
  <c r="K745" i="1"/>
  <c r="P745" i="1"/>
  <c r="T745" i="1"/>
  <c r="M745" i="1"/>
  <c r="R745" i="1"/>
  <c r="S745" i="1"/>
  <c r="U745" i="1"/>
  <c r="Q745" i="1"/>
  <c r="V745" i="1"/>
  <c r="X745" i="1"/>
  <c r="S787" i="1"/>
  <c r="K787" i="1"/>
  <c r="X787" i="1"/>
  <c r="M787" i="1"/>
  <c r="Q787" i="1"/>
  <c r="W787" i="1"/>
  <c r="T787" i="1"/>
  <c r="O787" i="1"/>
  <c r="U787" i="1"/>
  <c r="L787" i="1"/>
  <c r="V787" i="1"/>
  <c r="P787" i="1"/>
  <c r="R787" i="1"/>
  <c r="P267" i="1"/>
  <c r="W267" i="1"/>
  <c r="Q267" i="1"/>
  <c r="X267" i="1"/>
  <c r="S267" i="1"/>
  <c r="O267" i="1"/>
  <c r="U267" i="1"/>
  <c r="T267" i="1"/>
  <c r="V267" i="1"/>
  <c r="M267" i="1"/>
  <c r="R267" i="1"/>
  <c r="L267" i="1"/>
  <c r="K267" i="1"/>
  <c r="O206" i="1"/>
  <c r="L206" i="1"/>
  <c r="X206" i="1"/>
  <c r="U206" i="1"/>
  <c r="P206" i="1"/>
  <c r="K206" i="1"/>
  <c r="S206" i="1"/>
  <c r="M206" i="1"/>
  <c r="R206" i="1"/>
  <c r="W206" i="1"/>
  <c r="V206" i="1"/>
  <c r="Q206" i="1"/>
  <c r="T206" i="1"/>
  <c r="L957" i="1"/>
  <c r="V957" i="1"/>
  <c r="O957" i="1"/>
  <c r="M957" i="1"/>
  <c r="X957" i="1"/>
  <c r="R957" i="1"/>
  <c r="Q957" i="1"/>
  <c r="W957" i="1"/>
  <c r="P957" i="1"/>
  <c r="U957" i="1"/>
  <c r="K957" i="1"/>
  <c r="S957" i="1"/>
  <c r="T957" i="1"/>
  <c r="U497" i="1"/>
  <c r="T497" i="1"/>
  <c r="W497" i="1"/>
  <c r="Q497" i="1"/>
  <c r="K497" i="1"/>
  <c r="S497" i="1"/>
  <c r="O497" i="1"/>
  <c r="M497" i="1"/>
  <c r="R497" i="1"/>
  <c r="L497" i="1"/>
  <c r="P497" i="1"/>
  <c r="V497" i="1"/>
  <c r="X497" i="1"/>
  <c r="X667" i="1"/>
  <c r="M667" i="1"/>
  <c r="S667" i="1"/>
  <c r="K667" i="1"/>
  <c r="U667" i="1"/>
  <c r="Q667" i="1"/>
  <c r="V667" i="1"/>
  <c r="W667" i="1"/>
  <c r="R667" i="1"/>
  <c r="L667" i="1"/>
  <c r="O667" i="1"/>
  <c r="T667" i="1"/>
  <c r="P667" i="1"/>
  <c r="P200" i="1"/>
  <c r="T200" i="1"/>
  <c r="O200" i="1"/>
  <c r="M200" i="1"/>
  <c r="R200" i="1"/>
  <c r="Q200" i="1"/>
  <c r="W200" i="1"/>
  <c r="V200" i="1"/>
  <c r="U200" i="1"/>
  <c r="K200" i="1"/>
  <c r="S200" i="1"/>
  <c r="L200" i="1"/>
  <c r="X200" i="1"/>
  <c r="W635" i="1"/>
  <c r="R635" i="1"/>
  <c r="L635" i="1"/>
  <c r="S635" i="1"/>
  <c r="T635" i="1"/>
  <c r="U635" i="1"/>
  <c r="X635" i="1"/>
  <c r="V635" i="1"/>
  <c r="M635" i="1"/>
  <c r="K635" i="1"/>
  <c r="O635" i="1"/>
  <c r="P635" i="1"/>
  <c r="Q635" i="1"/>
  <c r="S44" i="1"/>
  <c r="V44" i="1"/>
  <c r="U44" i="1"/>
  <c r="O44" i="1"/>
  <c r="X44" i="1"/>
  <c r="W44" i="1"/>
  <c r="Q44" i="1"/>
  <c r="H44" i="1"/>
  <c r="L44" i="1"/>
  <c r="R44" i="1"/>
  <c r="P44" i="1"/>
  <c r="T44" i="1"/>
  <c r="K44" i="1"/>
  <c r="M44" i="1"/>
  <c r="S897" i="1"/>
  <c r="K897" i="1"/>
  <c r="R897" i="1"/>
  <c r="M897" i="1"/>
  <c r="V897" i="1"/>
  <c r="U897" i="1"/>
  <c r="P897" i="1"/>
  <c r="O897" i="1"/>
  <c r="X897" i="1"/>
  <c r="L897" i="1"/>
  <c r="Q897" i="1"/>
  <c r="W897" i="1"/>
  <c r="T897" i="1"/>
  <c r="K311" i="1"/>
  <c r="S311" i="1"/>
  <c r="P311" i="1"/>
  <c r="U311" i="1"/>
  <c r="W311" i="1"/>
  <c r="X311" i="1"/>
  <c r="L311" i="1"/>
  <c r="O311" i="1"/>
  <c r="T311" i="1"/>
  <c r="Q311" i="1"/>
  <c r="V311" i="1"/>
  <c r="M311" i="1"/>
  <c r="R311" i="1"/>
  <c r="U758" i="1"/>
  <c r="V758" i="1"/>
  <c r="W758" i="1"/>
  <c r="R758" i="1"/>
  <c r="L758" i="1"/>
  <c r="K758" i="1"/>
  <c r="S758" i="1"/>
  <c r="P758" i="1"/>
  <c r="X758" i="1"/>
  <c r="M758" i="1"/>
  <c r="O758" i="1"/>
  <c r="T758" i="1"/>
  <c r="Q758" i="1"/>
  <c r="M140" i="1"/>
  <c r="W140" i="1"/>
  <c r="V140" i="1"/>
  <c r="U140" i="1"/>
  <c r="Q140" i="1"/>
  <c r="T140" i="1"/>
  <c r="K140" i="1"/>
  <c r="S140" i="1"/>
  <c r="O140" i="1"/>
  <c r="L140" i="1"/>
  <c r="R140" i="1"/>
  <c r="X140" i="1"/>
  <c r="P140" i="1"/>
  <c r="W792" i="1"/>
  <c r="V792" i="1"/>
  <c r="U792" i="1"/>
  <c r="S792" i="1"/>
  <c r="O792" i="1"/>
  <c r="K792" i="1"/>
  <c r="X792" i="1"/>
  <c r="R792" i="1"/>
  <c r="P792" i="1"/>
  <c r="M792" i="1"/>
  <c r="L792" i="1"/>
  <c r="Q792" i="1"/>
  <c r="T792" i="1"/>
  <c r="X320" i="1"/>
  <c r="M320" i="1"/>
  <c r="R320" i="1"/>
  <c r="L320" i="1"/>
  <c r="O320" i="1"/>
  <c r="S320" i="1"/>
  <c r="U320" i="1"/>
  <c r="W320" i="1"/>
  <c r="Q320" i="1"/>
  <c r="V320" i="1"/>
  <c r="K320" i="1"/>
  <c r="P320" i="1"/>
  <c r="T320" i="1"/>
  <c r="S517" i="1"/>
  <c r="U517" i="1"/>
  <c r="P517" i="1"/>
  <c r="X517" i="1"/>
  <c r="R517" i="1"/>
  <c r="L517" i="1"/>
  <c r="K517" i="1"/>
  <c r="O517" i="1"/>
  <c r="T517" i="1"/>
  <c r="Q517" i="1"/>
  <c r="V517" i="1"/>
  <c r="M517" i="1"/>
  <c r="W517" i="1"/>
  <c r="O795" i="1"/>
  <c r="K795" i="1"/>
  <c r="R795" i="1"/>
  <c r="L795" i="1"/>
  <c r="T795" i="1"/>
  <c r="P795" i="1"/>
  <c r="U795" i="1"/>
  <c r="S795" i="1"/>
  <c r="X795" i="1"/>
  <c r="M795" i="1"/>
  <c r="Q795" i="1"/>
  <c r="W795" i="1"/>
  <c r="V795" i="1"/>
  <c r="M386" i="1"/>
  <c r="S386" i="1"/>
  <c r="K386" i="1"/>
  <c r="P386" i="1"/>
  <c r="W386" i="1"/>
  <c r="Q386" i="1"/>
  <c r="X386" i="1"/>
  <c r="O386" i="1"/>
  <c r="T386" i="1"/>
  <c r="U386" i="1"/>
  <c r="V386" i="1"/>
  <c r="R386" i="1"/>
  <c r="L386" i="1"/>
  <c r="W149" i="1"/>
  <c r="U149" i="1"/>
  <c r="T149" i="1"/>
  <c r="P149" i="1"/>
  <c r="L149" i="1"/>
  <c r="M149" i="1"/>
  <c r="S149" i="1"/>
  <c r="R149" i="1"/>
  <c r="X149" i="1"/>
  <c r="V149" i="1"/>
  <c r="Q149" i="1"/>
  <c r="O149" i="1"/>
  <c r="K149" i="1"/>
  <c r="R391" i="1"/>
  <c r="K391" i="1"/>
  <c r="S391" i="1"/>
  <c r="P391" i="1"/>
  <c r="X391" i="1"/>
  <c r="Q391" i="1"/>
  <c r="V391" i="1"/>
  <c r="M391" i="1"/>
  <c r="L391" i="1"/>
  <c r="O391" i="1"/>
  <c r="U391" i="1"/>
  <c r="T391" i="1"/>
  <c r="W391" i="1"/>
  <c r="P682" i="1"/>
  <c r="U682" i="1"/>
  <c r="V682" i="1"/>
  <c r="M682" i="1"/>
  <c r="W682" i="1"/>
  <c r="S682" i="1"/>
  <c r="O682" i="1"/>
  <c r="Q682" i="1"/>
  <c r="X682" i="1"/>
  <c r="R682" i="1"/>
  <c r="L682" i="1"/>
  <c r="K682" i="1"/>
  <c r="T682" i="1"/>
  <c r="K166" i="1"/>
  <c r="S166" i="1"/>
  <c r="X166" i="1"/>
  <c r="Q166" i="1"/>
  <c r="P166" i="1"/>
  <c r="U166" i="1"/>
  <c r="O166" i="1"/>
  <c r="L166" i="1"/>
  <c r="M166" i="1"/>
  <c r="R166" i="1"/>
  <c r="W166" i="1"/>
  <c r="V166" i="1"/>
  <c r="T166" i="1"/>
  <c r="O594" i="1"/>
  <c r="P594" i="1"/>
  <c r="M594" i="1"/>
  <c r="K594" i="1"/>
  <c r="S594" i="1"/>
  <c r="T594" i="1"/>
  <c r="U594" i="1"/>
  <c r="Q594" i="1"/>
  <c r="V594" i="1"/>
  <c r="X594" i="1"/>
  <c r="W594" i="1"/>
  <c r="R594" i="1"/>
  <c r="L594" i="1"/>
  <c r="O345" i="1"/>
  <c r="P345" i="1"/>
  <c r="Q345" i="1"/>
  <c r="V345" i="1"/>
  <c r="L345" i="1"/>
  <c r="S345" i="1"/>
  <c r="K345" i="1"/>
  <c r="T345" i="1"/>
  <c r="U345" i="1"/>
  <c r="W345" i="1"/>
  <c r="X345" i="1"/>
  <c r="M345" i="1"/>
  <c r="R345" i="1"/>
  <c r="S142" i="1"/>
  <c r="M142" i="1"/>
  <c r="R142" i="1"/>
  <c r="T142" i="1"/>
  <c r="U142" i="1"/>
  <c r="P142" i="1"/>
  <c r="O142" i="1"/>
  <c r="K142" i="1"/>
  <c r="L142" i="1"/>
  <c r="X142" i="1"/>
  <c r="W142" i="1"/>
  <c r="V142" i="1"/>
  <c r="Q142" i="1"/>
  <c r="T805" i="1"/>
  <c r="P805" i="1"/>
  <c r="S805" i="1"/>
  <c r="O805" i="1"/>
  <c r="X805" i="1"/>
  <c r="L805" i="1"/>
  <c r="Q805" i="1"/>
  <c r="W805" i="1"/>
  <c r="K805" i="1"/>
  <c r="R805" i="1"/>
  <c r="M805" i="1"/>
  <c r="V805" i="1"/>
  <c r="U805" i="1"/>
  <c r="P504" i="1"/>
  <c r="W504" i="1"/>
  <c r="Q504" i="1"/>
  <c r="S504" i="1"/>
  <c r="T504" i="1"/>
  <c r="U504" i="1"/>
  <c r="X504" i="1"/>
  <c r="M504" i="1"/>
  <c r="R504" i="1"/>
  <c r="L504" i="1"/>
  <c r="K504" i="1"/>
  <c r="O504" i="1"/>
  <c r="V504" i="1"/>
  <c r="K602" i="1"/>
  <c r="O602" i="1"/>
  <c r="P602" i="1"/>
  <c r="T602" i="1"/>
  <c r="U602" i="1"/>
  <c r="Q602" i="1"/>
  <c r="X602" i="1"/>
  <c r="W602" i="1"/>
  <c r="R602" i="1"/>
  <c r="L602" i="1"/>
  <c r="S602" i="1"/>
  <c r="V602" i="1"/>
  <c r="M602" i="1"/>
  <c r="O874" i="1"/>
  <c r="L874" i="1"/>
  <c r="Q874" i="1"/>
  <c r="U874" i="1"/>
  <c r="T874" i="1"/>
  <c r="K874" i="1"/>
  <c r="S874" i="1"/>
  <c r="X874" i="1"/>
  <c r="R874" i="1"/>
  <c r="M874" i="1"/>
  <c r="W874" i="1"/>
  <c r="V874" i="1"/>
  <c r="P874" i="1"/>
  <c r="M30" i="1"/>
  <c r="U30" i="1"/>
  <c r="K30" i="1"/>
  <c r="L30" i="1"/>
  <c r="V30" i="1"/>
  <c r="Q30" i="1"/>
  <c r="T30" i="1"/>
  <c r="H30" i="1"/>
  <c r="O30" i="1"/>
  <c r="R30" i="1"/>
  <c r="X30" i="1"/>
  <c r="S30" i="1"/>
  <c r="W30" i="1"/>
  <c r="P30" i="1"/>
  <c r="X364" i="1"/>
  <c r="R364" i="1"/>
  <c r="V364" i="1"/>
  <c r="K364" i="1"/>
  <c r="O364" i="1"/>
  <c r="U364" i="1"/>
  <c r="T364" i="1"/>
  <c r="P364" i="1"/>
  <c r="W364" i="1"/>
  <c r="Q364" i="1"/>
  <c r="S364" i="1"/>
  <c r="L364" i="1"/>
  <c r="M364" i="1"/>
  <c r="Q68" i="1"/>
  <c r="P68" i="1"/>
  <c r="S68" i="1"/>
  <c r="O68" i="1"/>
  <c r="M68" i="1"/>
  <c r="X68" i="1"/>
  <c r="W68" i="1"/>
  <c r="U68" i="1"/>
  <c r="K68" i="1"/>
  <c r="L68" i="1"/>
  <c r="R68" i="1"/>
  <c r="V68" i="1"/>
  <c r="T68" i="1"/>
  <c r="Q862" i="1"/>
  <c r="W862" i="1"/>
  <c r="S862" i="1"/>
  <c r="O862" i="1"/>
  <c r="K862" i="1"/>
  <c r="X862" i="1"/>
  <c r="R862" i="1"/>
  <c r="L862" i="1"/>
  <c r="T862" i="1"/>
  <c r="P862" i="1"/>
  <c r="M862" i="1"/>
  <c r="V862" i="1"/>
  <c r="U862" i="1"/>
  <c r="T738" i="1"/>
  <c r="U738" i="1"/>
  <c r="Q738" i="1"/>
  <c r="X738" i="1"/>
  <c r="M738" i="1"/>
  <c r="W738" i="1"/>
  <c r="R738" i="1"/>
  <c r="O738" i="1"/>
  <c r="K738" i="1"/>
  <c r="P738" i="1"/>
  <c r="V738" i="1"/>
  <c r="L738" i="1"/>
  <c r="S738" i="1"/>
  <c r="Q853" i="1"/>
  <c r="W853" i="1"/>
  <c r="V853" i="1"/>
  <c r="K853" i="1"/>
  <c r="S853" i="1"/>
  <c r="O853" i="1"/>
  <c r="X853" i="1"/>
  <c r="L853" i="1"/>
  <c r="T853" i="1"/>
  <c r="P853" i="1"/>
  <c r="R853" i="1"/>
  <c r="M853" i="1"/>
  <c r="U853" i="1"/>
  <c r="X409" i="1"/>
  <c r="M409" i="1"/>
  <c r="R409" i="1"/>
  <c r="S409" i="1"/>
  <c r="K409" i="1"/>
  <c r="P409" i="1"/>
  <c r="T409" i="1"/>
  <c r="U409" i="1"/>
  <c r="W409" i="1"/>
  <c r="Q409" i="1"/>
  <c r="V409" i="1"/>
  <c r="O409" i="1"/>
  <c r="L409" i="1"/>
  <c r="W113" i="1"/>
  <c r="T113" i="1"/>
  <c r="K113" i="1"/>
  <c r="S113" i="1"/>
  <c r="O113" i="1"/>
  <c r="L113" i="1"/>
  <c r="R113" i="1"/>
  <c r="P113" i="1"/>
  <c r="M113" i="1"/>
  <c r="X113" i="1"/>
  <c r="V113" i="1"/>
  <c r="Q113" i="1"/>
  <c r="U113" i="1"/>
  <c r="L610" i="1"/>
  <c r="S610" i="1"/>
  <c r="U610" i="1"/>
  <c r="P610" i="1"/>
  <c r="V610" i="1"/>
  <c r="M610" i="1"/>
  <c r="W610" i="1"/>
  <c r="R610" i="1"/>
  <c r="K610" i="1"/>
  <c r="O610" i="1"/>
  <c r="T610" i="1"/>
  <c r="Q610" i="1"/>
  <c r="X610" i="1"/>
  <c r="K704" i="1"/>
  <c r="T704" i="1"/>
  <c r="M704" i="1"/>
  <c r="W704" i="1"/>
  <c r="R704" i="1"/>
  <c r="L704" i="1"/>
  <c r="S704" i="1"/>
  <c r="O704" i="1"/>
  <c r="U704" i="1"/>
  <c r="P704" i="1"/>
  <c r="Q704" i="1"/>
  <c r="V704" i="1"/>
  <c r="X704" i="1"/>
  <c r="R439" i="1"/>
  <c r="L439" i="1"/>
  <c r="U439" i="1"/>
  <c r="Q439" i="1"/>
  <c r="V439" i="1"/>
  <c r="X439" i="1"/>
  <c r="P439" i="1"/>
  <c r="W439" i="1"/>
  <c r="M439" i="1"/>
  <c r="S439" i="1"/>
  <c r="K439" i="1"/>
  <c r="O439" i="1"/>
  <c r="T439" i="1"/>
  <c r="X141" i="1"/>
  <c r="W141" i="1"/>
  <c r="V141" i="1"/>
  <c r="Q141" i="1"/>
  <c r="P141" i="1"/>
  <c r="T141" i="1"/>
  <c r="K141" i="1"/>
  <c r="O141" i="1"/>
  <c r="S141" i="1"/>
  <c r="L141" i="1"/>
  <c r="M141" i="1"/>
  <c r="R141" i="1"/>
  <c r="U141" i="1"/>
  <c r="K993" i="1"/>
  <c r="S993" i="1"/>
  <c r="M993" i="1"/>
  <c r="L993" i="1"/>
  <c r="Q993" i="1"/>
  <c r="T993" i="1"/>
  <c r="U993" i="1"/>
  <c r="O993" i="1"/>
  <c r="X993" i="1"/>
  <c r="R993" i="1"/>
  <c r="W993" i="1"/>
  <c r="V993" i="1"/>
  <c r="P993" i="1"/>
  <c r="O794" i="1"/>
  <c r="K794" i="1"/>
  <c r="M794" i="1"/>
  <c r="Q794" i="1"/>
  <c r="W794" i="1"/>
  <c r="P794" i="1"/>
  <c r="S794" i="1"/>
  <c r="R794" i="1"/>
  <c r="L794" i="1"/>
  <c r="V794" i="1"/>
  <c r="U794" i="1"/>
  <c r="T794" i="1"/>
  <c r="X794" i="1"/>
  <c r="O468" i="1"/>
  <c r="V468" i="1"/>
  <c r="M468" i="1"/>
  <c r="K468" i="1"/>
  <c r="P468" i="1"/>
  <c r="T468" i="1"/>
  <c r="U468" i="1"/>
  <c r="W468" i="1"/>
  <c r="Q468" i="1"/>
  <c r="X468" i="1"/>
  <c r="R468" i="1"/>
  <c r="S468" i="1"/>
  <c r="L468" i="1"/>
  <c r="R611" i="1"/>
  <c r="L611" i="1"/>
  <c r="U611" i="1"/>
  <c r="Q611" i="1"/>
  <c r="X611" i="1"/>
  <c r="M611" i="1"/>
  <c r="W611" i="1"/>
  <c r="V611" i="1"/>
  <c r="K611" i="1"/>
  <c r="S611" i="1"/>
  <c r="O611" i="1"/>
  <c r="T611" i="1"/>
  <c r="P611" i="1"/>
  <c r="V218" i="1"/>
  <c r="P218" i="1"/>
  <c r="T218" i="1"/>
  <c r="O218" i="1"/>
  <c r="K218" i="1"/>
  <c r="L218" i="1"/>
  <c r="R218" i="1"/>
  <c r="Q218" i="1"/>
  <c r="U218" i="1"/>
  <c r="S218" i="1"/>
  <c r="M218" i="1"/>
  <c r="X218" i="1"/>
  <c r="W218" i="1"/>
  <c r="P192" i="1"/>
  <c r="T192" i="1"/>
  <c r="S192" i="1"/>
  <c r="L192" i="1"/>
  <c r="R192" i="1"/>
  <c r="X192" i="1"/>
  <c r="W192" i="1"/>
  <c r="V192" i="1"/>
  <c r="Q192" i="1"/>
  <c r="U192" i="1"/>
  <c r="O192" i="1"/>
  <c r="K192" i="1"/>
  <c r="M192" i="1"/>
  <c r="Q317" i="1"/>
  <c r="X317" i="1"/>
  <c r="M317" i="1"/>
  <c r="R317" i="1"/>
  <c r="L317" i="1"/>
  <c r="T317" i="1"/>
  <c r="P317" i="1"/>
  <c r="K317" i="1"/>
  <c r="U317" i="1"/>
  <c r="W317" i="1"/>
  <c r="V317" i="1"/>
  <c r="S317" i="1"/>
  <c r="O317" i="1"/>
  <c r="K653" i="1"/>
  <c r="O653" i="1"/>
  <c r="S653" i="1"/>
  <c r="T653" i="1"/>
  <c r="U653" i="1"/>
  <c r="P653" i="1"/>
  <c r="Q653" i="1"/>
  <c r="V653" i="1"/>
  <c r="M653" i="1"/>
  <c r="R653" i="1"/>
  <c r="X653" i="1"/>
  <c r="W653" i="1"/>
  <c r="L653" i="1"/>
  <c r="M440" i="1"/>
  <c r="R440" i="1"/>
  <c r="K440" i="1"/>
  <c r="P440" i="1"/>
  <c r="U440" i="1"/>
  <c r="W440" i="1"/>
  <c r="X440" i="1"/>
  <c r="L440" i="1"/>
  <c r="O440" i="1"/>
  <c r="S440" i="1"/>
  <c r="T440" i="1"/>
  <c r="Q440" i="1"/>
  <c r="V440" i="1"/>
  <c r="T776" i="1"/>
  <c r="S776" i="1"/>
  <c r="R776" i="1"/>
  <c r="M776" i="1"/>
  <c r="Q776" i="1"/>
  <c r="W776" i="1"/>
  <c r="P776" i="1"/>
  <c r="O776" i="1"/>
  <c r="K776" i="1"/>
  <c r="X776" i="1"/>
  <c r="L776" i="1"/>
  <c r="V776" i="1"/>
  <c r="U776" i="1"/>
  <c r="S93" i="1"/>
  <c r="K93" i="1"/>
  <c r="X93" i="1"/>
  <c r="P93" i="1"/>
  <c r="T93" i="1"/>
  <c r="O93" i="1"/>
  <c r="L93" i="1"/>
  <c r="M93" i="1"/>
  <c r="R93" i="1"/>
  <c r="W93" i="1"/>
  <c r="V93" i="1"/>
  <c r="Q93" i="1"/>
  <c r="U93" i="1"/>
  <c r="T723" i="1"/>
  <c r="U723" i="1"/>
  <c r="Q723" i="1"/>
  <c r="X723" i="1"/>
  <c r="R723" i="1"/>
  <c r="L723" i="1"/>
  <c r="S723" i="1"/>
  <c r="K723" i="1"/>
  <c r="O723" i="1"/>
  <c r="P723" i="1"/>
  <c r="V723" i="1"/>
  <c r="M723" i="1"/>
  <c r="W723" i="1"/>
  <c r="Q780" i="1"/>
  <c r="W780" i="1"/>
  <c r="V780" i="1"/>
  <c r="U780" i="1"/>
  <c r="K780" i="1"/>
  <c r="R780" i="1"/>
  <c r="M780" i="1"/>
  <c r="L780" i="1"/>
  <c r="P780" i="1"/>
  <c r="S780" i="1"/>
  <c r="O780" i="1"/>
  <c r="X780" i="1"/>
  <c r="T780" i="1"/>
  <c r="U740" i="1"/>
  <c r="Q740" i="1"/>
  <c r="R740" i="1"/>
  <c r="L740" i="1"/>
  <c r="S740" i="1"/>
  <c r="K740" i="1"/>
  <c r="T740" i="1"/>
  <c r="X740" i="1"/>
  <c r="M740" i="1"/>
  <c r="W740" i="1"/>
  <c r="O740" i="1"/>
  <c r="P740" i="1"/>
  <c r="V740" i="1"/>
  <c r="O193" i="1"/>
  <c r="M193" i="1"/>
  <c r="R193" i="1"/>
  <c r="W193" i="1"/>
  <c r="V193" i="1"/>
  <c r="P193" i="1"/>
  <c r="T193" i="1"/>
  <c r="K193" i="1"/>
  <c r="S193" i="1"/>
  <c r="L193" i="1"/>
  <c r="X193" i="1"/>
  <c r="Q193" i="1"/>
  <c r="U193" i="1"/>
  <c r="U315" i="1"/>
  <c r="W315" i="1"/>
  <c r="M315" i="1"/>
  <c r="L315" i="1"/>
  <c r="O315" i="1"/>
  <c r="K315" i="1"/>
  <c r="P315" i="1"/>
  <c r="T315" i="1"/>
  <c r="R315" i="1"/>
  <c r="S315" i="1"/>
  <c r="Q315" i="1"/>
  <c r="V315" i="1"/>
  <c r="X315" i="1"/>
  <c r="T657" i="1"/>
  <c r="M657" i="1"/>
  <c r="W657" i="1"/>
  <c r="Q657" i="1"/>
  <c r="V657" i="1"/>
  <c r="X657" i="1"/>
  <c r="S657" i="1"/>
  <c r="K657" i="1"/>
  <c r="O657" i="1"/>
  <c r="P657" i="1"/>
  <c r="U657" i="1"/>
  <c r="R657" i="1"/>
  <c r="L657" i="1"/>
  <c r="O25" i="1"/>
  <c r="W25" i="1"/>
  <c r="V25" i="1"/>
  <c r="U25" i="1"/>
  <c r="H25" i="1"/>
  <c r="M25" i="1"/>
  <c r="X25" i="1"/>
  <c r="Q25" i="1"/>
  <c r="T25" i="1"/>
  <c r="P25" i="1"/>
  <c r="S25" i="1"/>
  <c r="K25" i="1"/>
  <c r="L25" i="1"/>
  <c r="R25" i="1"/>
  <c r="O376" i="1"/>
  <c r="K376" i="1"/>
  <c r="S376" i="1"/>
  <c r="U376" i="1"/>
  <c r="Q376" i="1"/>
  <c r="X376" i="1"/>
  <c r="T376" i="1"/>
  <c r="P376" i="1"/>
  <c r="W376" i="1"/>
  <c r="V376" i="1"/>
  <c r="M376" i="1"/>
  <c r="R376" i="1"/>
  <c r="L376" i="1"/>
  <c r="S839" i="1"/>
  <c r="K839" i="1"/>
  <c r="X839" i="1"/>
  <c r="W839" i="1"/>
  <c r="T839" i="1"/>
  <c r="U839" i="1"/>
  <c r="O839" i="1"/>
  <c r="R839" i="1"/>
  <c r="M839" i="1"/>
  <c r="L839" i="1"/>
  <c r="Q839" i="1"/>
  <c r="V839" i="1"/>
  <c r="P839" i="1"/>
  <c r="V292" i="1"/>
  <c r="X292" i="1"/>
  <c r="O292" i="1"/>
  <c r="K292" i="1"/>
  <c r="S292" i="1"/>
  <c r="T292" i="1"/>
  <c r="W292" i="1"/>
  <c r="Q292" i="1"/>
  <c r="R292" i="1"/>
  <c r="P292" i="1"/>
  <c r="U292" i="1"/>
  <c r="M292" i="1"/>
  <c r="L292" i="1"/>
  <c r="O690" i="1"/>
  <c r="S690" i="1"/>
  <c r="T690" i="1"/>
  <c r="Q690" i="1"/>
  <c r="V690" i="1"/>
  <c r="X690" i="1"/>
  <c r="M690" i="1"/>
  <c r="R690" i="1"/>
  <c r="K690" i="1"/>
  <c r="P690" i="1"/>
  <c r="U690" i="1"/>
  <c r="W690" i="1"/>
  <c r="L690" i="1"/>
  <c r="K14" i="1"/>
  <c r="L14" i="1"/>
  <c r="M14" i="1"/>
  <c r="R14" i="1"/>
  <c r="X14" i="1"/>
  <c r="W14" i="1"/>
  <c r="Q14" i="1"/>
  <c r="S14" i="1"/>
  <c r="H14" i="1"/>
  <c r="U14" i="1"/>
  <c r="O14" i="1"/>
  <c r="T14" i="1"/>
  <c r="V14" i="1"/>
  <c r="P14" i="1"/>
  <c r="O569" i="1"/>
  <c r="P569" i="1"/>
  <c r="U569" i="1"/>
  <c r="T569" i="1"/>
  <c r="Q569" i="1"/>
  <c r="V569" i="1"/>
  <c r="M569" i="1"/>
  <c r="K569" i="1"/>
  <c r="S569" i="1"/>
  <c r="X569" i="1"/>
  <c r="W569" i="1"/>
  <c r="R569" i="1"/>
  <c r="L569" i="1"/>
  <c r="K972" i="1"/>
  <c r="X972" i="1"/>
  <c r="L972" i="1"/>
  <c r="W972" i="1"/>
  <c r="V972" i="1"/>
  <c r="U972" i="1"/>
  <c r="T972" i="1"/>
  <c r="S972" i="1"/>
  <c r="O972" i="1"/>
  <c r="R972" i="1"/>
  <c r="M972" i="1"/>
  <c r="Q972" i="1"/>
  <c r="P972" i="1"/>
  <c r="K95" i="1"/>
  <c r="M95" i="1"/>
  <c r="X95" i="1"/>
  <c r="T95" i="1"/>
  <c r="U95" i="1"/>
  <c r="S95" i="1"/>
  <c r="L95" i="1"/>
  <c r="R95" i="1"/>
  <c r="W95" i="1"/>
  <c r="V95" i="1"/>
  <c r="Q95" i="1"/>
  <c r="P95" i="1"/>
  <c r="O95" i="1"/>
  <c r="W370" i="1"/>
  <c r="Q370" i="1"/>
  <c r="X370" i="1"/>
  <c r="R370" i="1"/>
  <c r="K370" i="1"/>
  <c r="P370" i="1"/>
  <c r="T370" i="1"/>
  <c r="U370" i="1"/>
  <c r="V370" i="1"/>
  <c r="M370" i="1"/>
  <c r="L370" i="1"/>
  <c r="O370" i="1"/>
  <c r="S370" i="1"/>
  <c r="W529" i="1"/>
  <c r="L529" i="1"/>
  <c r="K529" i="1"/>
  <c r="O529" i="1"/>
  <c r="Q529" i="1"/>
  <c r="V529" i="1"/>
  <c r="X529" i="1"/>
  <c r="M529" i="1"/>
  <c r="R529" i="1"/>
  <c r="S529" i="1"/>
  <c r="P529" i="1"/>
  <c r="T529" i="1"/>
  <c r="U529" i="1"/>
  <c r="T981" i="1"/>
  <c r="O981" i="1"/>
  <c r="S981" i="1"/>
  <c r="X981" i="1"/>
  <c r="L981" i="1"/>
  <c r="P981" i="1"/>
  <c r="V981" i="1"/>
  <c r="U981" i="1"/>
  <c r="K981" i="1"/>
  <c r="R981" i="1"/>
  <c r="M981" i="1"/>
  <c r="Q981" i="1"/>
  <c r="W981" i="1"/>
  <c r="X399" i="1"/>
  <c r="R399" i="1"/>
  <c r="O399" i="1"/>
  <c r="U399" i="1"/>
  <c r="T399" i="1"/>
  <c r="P399" i="1"/>
  <c r="W399" i="1"/>
  <c r="L399" i="1"/>
  <c r="S399" i="1"/>
  <c r="K399" i="1"/>
  <c r="Q399" i="1"/>
  <c r="V399" i="1"/>
  <c r="M399" i="1"/>
  <c r="W109" i="1"/>
  <c r="U109" i="1"/>
  <c r="T109" i="1"/>
  <c r="K109" i="1"/>
  <c r="L109" i="1"/>
  <c r="R109" i="1"/>
  <c r="X109" i="1"/>
  <c r="V109" i="1"/>
  <c r="Q109" i="1"/>
  <c r="P109" i="1"/>
  <c r="O109" i="1"/>
  <c r="S109" i="1"/>
  <c r="M109" i="1"/>
  <c r="X627" i="1"/>
  <c r="W627" i="1"/>
  <c r="L627" i="1"/>
  <c r="K627" i="1"/>
  <c r="O627" i="1"/>
  <c r="U627" i="1"/>
  <c r="Q627" i="1"/>
  <c r="M627" i="1"/>
  <c r="R627" i="1"/>
  <c r="S627" i="1"/>
  <c r="T627" i="1"/>
  <c r="P627" i="1"/>
  <c r="V627" i="1"/>
  <c r="V924" i="1"/>
  <c r="K924" i="1"/>
  <c r="S924" i="1"/>
  <c r="X924" i="1"/>
  <c r="R924" i="1"/>
  <c r="M924" i="1"/>
  <c r="L924" i="1"/>
  <c r="W924" i="1"/>
  <c r="P924" i="1"/>
  <c r="U924" i="1"/>
  <c r="O924" i="1"/>
  <c r="Q924" i="1"/>
  <c r="T924" i="1"/>
  <c r="O66" i="1"/>
  <c r="L66" i="1"/>
  <c r="M66" i="1"/>
  <c r="X66" i="1"/>
  <c r="V66" i="1"/>
  <c r="T66" i="1"/>
  <c r="P66" i="1"/>
  <c r="S66" i="1"/>
  <c r="R66" i="1"/>
  <c r="W66" i="1"/>
  <c r="Q66" i="1"/>
  <c r="U66" i="1"/>
  <c r="K66" i="1"/>
  <c r="R374" i="1"/>
  <c r="T374" i="1"/>
  <c r="W374" i="1"/>
  <c r="V374" i="1"/>
  <c r="X374" i="1"/>
  <c r="U374" i="1"/>
  <c r="Q374" i="1"/>
  <c r="M374" i="1"/>
  <c r="L374" i="1"/>
  <c r="O374" i="1"/>
  <c r="K374" i="1"/>
  <c r="S374" i="1"/>
  <c r="P374" i="1"/>
  <c r="O601" i="1"/>
  <c r="K601" i="1"/>
  <c r="S601" i="1"/>
  <c r="P601" i="1"/>
  <c r="T601" i="1"/>
  <c r="Q601" i="1"/>
  <c r="M601" i="1"/>
  <c r="U601" i="1"/>
  <c r="V601" i="1"/>
  <c r="X601" i="1"/>
  <c r="W601" i="1"/>
  <c r="R601" i="1"/>
  <c r="L601" i="1"/>
  <c r="X229" i="1"/>
  <c r="W229" i="1"/>
  <c r="Q229" i="1"/>
  <c r="L229" i="1"/>
  <c r="M229" i="1"/>
  <c r="S229" i="1"/>
  <c r="R229" i="1"/>
  <c r="V229" i="1"/>
  <c r="T229" i="1"/>
  <c r="U229" i="1"/>
  <c r="P229" i="1"/>
  <c r="K229" i="1"/>
  <c r="O229" i="1"/>
  <c r="O338" i="1"/>
  <c r="K338" i="1"/>
  <c r="U338" i="1"/>
  <c r="W338" i="1"/>
  <c r="Q338" i="1"/>
  <c r="X338" i="1"/>
  <c r="L338" i="1"/>
  <c r="S338" i="1"/>
  <c r="T338" i="1"/>
  <c r="P338" i="1"/>
  <c r="V338" i="1"/>
  <c r="M338" i="1"/>
  <c r="R338" i="1"/>
  <c r="W797" i="1"/>
  <c r="V797" i="1"/>
  <c r="P797" i="1"/>
  <c r="T797" i="1"/>
  <c r="X797" i="1"/>
  <c r="R797" i="1"/>
  <c r="S797" i="1"/>
  <c r="M797" i="1"/>
  <c r="L797" i="1"/>
  <c r="Q797" i="1"/>
  <c r="U797" i="1"/>
  <c r="K797" i="1"/>
  <c r="O797" i="1"/>
  <c r="X526" i="1"/>
  <c r="W526" i="1"/>
  <c r="O526" i="1"/>
  <c r="U526" i="1"/>
  <c r="Q526" i="1"/>
  <c r="V526" i="1"/>
  <c r="M526" i="1"/>
  <c r="R526" i="1"/>
  <c r="L526" i="1"/>
  <c r="S526" i="1"/>
  <c r="K526" i="1"/>
  <c r="P526" i="1"/>
  <c r="T526" i="1"/>
  <c r="M178" i="1"/>
  <c r="R178" i="1"/>
  <c r="W178" i="1"/>
  <c r="V178" i="1"/>
  <c r="P178" i="1"/>
  <c r="S178" i="1"/>
  <c r="O178" i="1"/>
  <c r="L178" i="1"/>
  <c r="U178" i="1"/>
  <c r="T178" i="1"/>
  <c r="K178" i="1"/>
  <c r="X178" i="1"/>
  <c r="Q178" i="1"/>
  <c r="O956" i="1"/>
  <c r="L956" i="1"/>
  <c r="W956" i="1"/>
  <c r="V956" i="1"/>
  <c r="T956" i="1"/>
  <c r="P956" i="1"/>
  <c r="U956" i="1"/>
  <c r="S956" i="1"/>
  <c r="K956" i="1"/>
  <c r="X956" i="1"/>
  <c r="R956" i="1"/>
  <c r="M956" i="1"/>
  <c r="Q956" i="1"/>
  <c r="M269" i="1"/>
  <c r="R269" i="1"/>
  <c r="S269" i="1"/>
  <c r="O269" i="1"/>
  <c r="Q269" i="1"/>
  <c r="V269" i="1"/>
  <c r="X269" i="1"/>
  <c r="L269" i="1"/>
  <c r="K269" i="1"/>
  <c r="U269" i="1"/>
  <c r="T269" i="1"/>
  <c r="P269" i="1"/>
  <c r="W269" i="1"/>
  <c r="W785" i="1"/>
  <c r="V785" i="1"/>
  <c r="T785" i="1"/>
  <c r="U785" i="1"/>
  <c r="K785" i="1"/>
  <c r="S785" i="1"/>
  <c r="X785" i="1"/>
  <c r="M785" i="1"/>
  <c r="P785" i="1"/>
  <c r="O785" i="1"/>
  <c r="R785" i="1"/>
  <c r="L785" i="1"/>
  <c r="Q785" i="1"/>
  <c r="L725" i="1"/>
  <c r="K725" i="1"/>
  <c r="V725" i="1"/>
  <c r="M725" i="1"/>
  <c r="U725" i="1"/>
  <c r="P725" i="1"/>
  <c r="Q725" i="1"/>
  <c r="X725" i="1"/>
  <c r="W725" i="1"/>
  <c r="S725" i="1"/>
  <c r="O725" i="1"/>
  <c r="T725" i="1"/>
  <c r="R725" i="1"/>
  <c r="S272" i="1"/>
  <c r="U272" i="1"/>
  <c r="T272" i="1"/>
  <c r="P272" i="1"/>
  <c r="X272" i="1"/>
  <c r="R272" i="1"/>
  <c r="L272" i="1"/>
  <c r="K272" i="1"/>
  <c r="W272" i="1"/>
  <c r="Q272" i="1"/>
  <c r="V272" i="1"/>
  <c r="M272" i="1"/>
  <c r="O272" i="1"/>
  <c r="L4" i="1"/>
  <c r="P4" i="1"/>
  <c r="T4" i="1"/>
  <c r="U4" i="1"/>
  <c r="S4" i="1"/>
  <c r="K4" i="1"/>
  <c r="O4" i="1"/>
  <c r="Q4" i="1"/>
  <c r="H4" i="1"/>
  <c r="M4" i="1"/>
  <c r="V4" i="1"/>
  <c r="R4" i="1"/>
  <c r="X4" i="1"/>
  <c r="W4" i="1"/>
  <c r="O842" i="1"/>
  <c r="M842" i="1"/>
  <c r="W842" i="1"/>
  <c r="V842" i="1"/>
  <c r="P842" i="1"/>
  <c r="Q842" i="1"/>
  <c r="T842" i="1"/>
  <c r="U842" i="1"/>
  <c r="S842" i="1"/>
  <c r="K842" i="1"/>
  <c r="X842" i="1"/>
  <c r="R842" i="1"/>
  <c r="L842" i="1"/>
  <c r="O133" i="1"/>
  <c r="M133" i="1"/>
  <c r="X133" i="1"/>
  <c r="W133" i="1"/>
  <c r="V133" i="1"/>
  <c r="T133" i="1"/>
  <c r="P133" i="1"/>
  <c r="S133" i="1"/>
  <c r="L133" i="1"/>
  <c r="R133" i="1"/>
  <c r="Q133" i="1"/>
  <c r="U133" i="1"/>
  <c r="K133" i="1"/>
  <c r="S400" i="1"/>
  <c r="K400" i="1"/>
  <c r="U400" i="1"/>
  <c r="T400" i="1"/>
  <c r="Q400" i="1"/>
  <c r="V400" i="1"/>
  <c r="M400" i="1"/>
  <c r="O400" i="1"/>
  <c r="P400" i="1"/>
  <c r="W400" i="1"/>
  <c r="X400" i="1"/>
  <c r="R400" i="1"/>
  <c r="L400" i="1"/>
  <c r="K722" i="1"/>
  <c r="T722" i="1"/>
  <c r="X722" i="1"/>
  <c r="M722" i="1"/>
  <c r="W722" i="1"/>
  <c r="L722" i="1"/>
  <c r="O722" i="1"/>
  <c r="S722" i="1"/>
  <c r="P722" i="1"/>
  <c r="U722" i="1"/>
  <c r="Q722" i="1"/>
  <c r="V722" i="1"/>
  <c r="R722" i="1"/>
  <c r="S312" i="1"/>
  <c r="W312" i="1"/>
  <c r="V312" i="1"/>
  <c r="M312" i="1"/>
  <c r="O312" i="1"/>
  <c r="P312" i="1"/>
  <c r="U312" i="1"/>
  <c r="T312" i="1"/>
  <c r="Q312" i="1"/>
  <c r="X312" i="1"/>
  <c r="R312" i="1"/>
  <c r="L312" i="1"/>
  <c r="K312" i="1"/>
  <c r="L838" i="1"/>
  <c r="Q838" i="1"/>
  <c r="W838" i="1"/>
  <c r="P838" i="1"/>
  <c r="U838" i="1"/>
  <c r="M838" i="1"/>
  <c r="S838" i="1"/>
  <c r="K838" i="1"/>
  <c r="X838" i="1"/>
  <c r="R838" i="1"/>
  <c r="V838" i="1"/>
  <c r="T838" i="1"/>
  <c r="O838" i="1"/>
  <c r="R207" i="1"/>
  <c r="W207" i="1"/>
  <c r="V207" i="1"/>
  <c r="Q207" i="1"/>
  <c r="P207" i="1"/>
  <c r="T207" i="1"/>
  <c r="O207" i="1"/>
  <c r="L207" i="1"/>
  <c r="M207" i="1"/>
  <c r="X207" i="1"/>
  <c r="U207" i="1"/>
  <c r="S207" i="1"/>
  <c r="K207" i="1"/>
  <c r="X672" i="1"/>
  <c r="L672" i="1"/>
  <c r="S672" i="1"/>
  <c r="U672" i="1"/>
  <c r="T672" i="1"/>
  <c r="Q672" i="1"/>
  <c r="V672" i="1"/>
  <c r="M672" i="1"/>
  <c r="W672" i="1"/>
  <c r="R672" i="1"/>
  <c r="K672" i="1"/>
  <c r="O672" i="1"/>
  <c r="P672" i="1"/>
  <c r="L599" i="1"/>
  <c r="O599" i="1"/>
  <c r="S599" i="1"/>
  <c r="K599" i="1"/>
  <c r="U599" i="1"/>
  <c r="V599" i="1"/>
  <c r="X599" i="1"/>
  <c r="M599" i="1"/>
  <c r="P599" i="1"/>
  <c r="T599" i="1"/>
  <c r="Q599" i="1"/>
  <c r="W599" i="1"/>
  <c r="R599" i="1"/>
  <c r="T290" i="1"/>
  <c r="W290" i="1"/>
  <c r="M290" i="1"/>
  <c r="R290" i="1"/>
  <c r="L290" i="1"/>
  <c r="V290" i="1"/>
  <c r="X290" i="1"/>
  <c r="K290" i="1"/>
  <c r="O290" i="1"/>
  <c r="S290" i="1"/>
  <c r="P290" i="1"/>
  <c r="U290" i="1"/>
  <c r="Q290" i="1"/>
  <c r="W873" i="1"/>
  <c r="V873" i="1"/>
  <c r="T873" i="1"/>
  <c r="P873" i="1"/>
  <c r="O873" i="1"/>
  <c r="K873" i="1"/>
  <c r="S873" i="1"/>
  <c r="R873" i="1"/>
  <c r="U873" i="1"/>
  <c r="X873" i="1"/>
  <c r="M873" i="1"/>
  <c r="L873" i="1"/>
  <c r="Q873" i="1"/>
  <c r="X152" i="1"/>
  <c r="V152" i="1"/>
  <c r="U152" i="1"/>
  <c r="S152" i="1"/>
  <c r="K152" i="1"/>
  <c r="O152" i="1"/>
  <c r="L152" i="1"/>
  <c r="M152" i="1"/>
  <c r="T152" i="1"/>
  <c r="P152" i="1"/>
  <c r="R152" i="1"/>
  <c r="W152" i="1"/>
  <c r="Q152" i="1"/>
  <c r="O759" i="1"/>
  <c r="P759" i="1"/>
  <c r="V759" i="1"/>
  <c r="M759" i="1"/>
  <c r="W759" i="1"/>
  <c r="R759" i="1"/>
  <c r="K759" i="1"/>
  <c r="S759" i="1"/>
  <c r="T759" i="1"/>
  <c r="U759" i="1"/>
  <c r="Q759" i="1"/>
  <c r="X759" i="1"/>
  <c r="L759" i="1"/>
  <c r="U396" i="1"/>
  <c r="V396" i="1"/>
  <c r="X396" i="1"/>
  <c r="M396" i="1"/>
  <c r="R396" i="1"/>
  <c r="K396" i="1"/>
  <c r="O396" i="1"/>
  <c r="T396" i="1"/>
  <c r="P396" i="1"/>
  <c r="W396" i="1"/>
  <c r="Q396" i="1"/>
  <c r="L396" i="1"/>
  <c r="S396" i="1"/>
  <c r="R970" i="1"/>
  <c r="M970" i="1"/>
  <c r="Q970" i="1"/>
  <c r="W970" i="1"/>
  <c r="V970" i="1"/>
  <c r="P970" i="1"/>
  <c r="K970" i="1"/>
  <c r="O970" i="1"/>
  <c r="U970" i="1"/>
  <c r="L970" i="1"/>
  <c r="T970" i="1"/>
  <c r="S970" i="1"/>
  <c r="X970" i="1"/>
  <c r="S64" i="1"/>
  <c r="L64" i="1"/>
  <c r="M64" i="1"/>
  <c r="T64" i="1"/>
  <c r="U64" i="1"/>
  <c r="K64" i="1"/>
  <c r="O64" i="1"/>
  <c r="R64" i="1"/>
  <c r="X64" i="1"/>
  <c r="W64" i="1"/>
  <c r="V64" i="1"/>
  <c r="Q64" i="1"/>
  <c r="P64" i="1"/>
  <c r="L100" i="1"/>
  <c r="M100" i="1"/>
  <c r="R100" i="1"/>
  <c r="V100" i="1"/>
  <c r="U100" i="1"/>
  <c r="T100" i="1"/>
  <c r="S100" i="1"/>
  <c r="O100" i="1"/>
  <c r="K100" i="1"/>
  <c r="X100" i="1"/>
  <c r="W100" i="1"/>
  <c r="Q100" i="1"/>
  <c r="P100" i="1"/>
  <c r="T513" i="1"/>
  <c r="X513" i="1"/>
  <c r="O513" i="1"/>
  <c r="Q513" i="1"/>
  <c r="V513" i="1"/>
  <c r="P513" i="1"/>
  <c r="L513" i="1"/>
  <c r="U513" i="1"/>
  <c r="K513" i="1"/>
  <c r="M513" i="1"/>
  <c r="S513" i="1"/>
  <c r="W513" i="1"/>
  <c r="R513" i="1"/>
  <c r="P302" i="1"/>
  <c r="U302" i="1"/>
  <c r="T302" i="1"/>
  <c r="W302" i="1"/>
  <c r="V302" i="1"/>
  <c r="X302" i="1"/>
  <c r="M302" i="1"/>
  <c r="K302" i="1"/>
  <c r="O302" i="1"/>
  <c r="Q302" i="1"/>
  <c r="R302" i="1"/>
  <c r="L302" i="1"/>
  <c r="S302" i="1"/>
  <c r="K948" i="1"/>
  <c r="X948" i="1"/>
  <c r="V948" i="1"/>
  <c r="T948" i="1"/>
  <c r="L948" i="1"/>
  <c r="Q948" i="1"/>
  <c r="W948" i="1"/>
  <c r="P948" i="1"/>
  <c r="S948" i="1"/>
  <c r="O948" i="1"/>
  <c r="R948" i="1"/>
  <c r="M948" i="1"/>
  <c r="U948" i="1"/>
  <c r="U895" i="1"/>
  <c r="K895" i="1"/>
  <c r="M895" i="1"/>
  <c r="Q895" i="1"/>
  <c r="W895" i="1"/>
  <c r="V895" i="1"/>
  <c r="T895" i="1"/>
  <c r="P895" i="1"/>
  <c r="S895" i="1"/>
  <c r="O895" i="1"/>
  <c r="X895" i="1"/>
  <c r="R895" i="1"/>
  <c r="L895" i="1"/>
  <c r="R624" i="1"/>
  <c r="L624" i="1"/>
  <c r="T624" i="1"/>
  <c r="K624" i="1"/>
  <c r="W624" i="1"/>
  <c r="Q624" i="1"/>
  <c r="V624" i="1"/>
  <c r="X624" i="1"/>
  <c r="M624" i="1"/>
  <c r="P624" i="1"/>
  <c r="U624" i="1"/>
  <c r="O624" i="1"/>
  <c r="S624" i="1"/>
  <c r="V266" i="1"/>
  <c r="X266" i="1"/>
  <c r="M266" i="1"/>
  <c r="O266" i="1"/>
  <c r="S266" i="1"/>
  <c r="U266" i="1"/>
  <c r="T266" i="1"/>
  <c r="Q266" i="1"/>
  <c r="R266" i="1"/>
  <c r="K266" i="1"/>
  <c r="P266" i="1"/>
  <c r="W266" i="1"/>
  <c r="L266" i="1"/>
  <c r="Q62" i="1"/>
  <c r="P62" i="1"/>
  <c r="L62" i="1"/>
  <c r="R62" i="1"/>
  <c r="W62" i="1"/>
  <c r="V62" i="1"/>
  <c r="X62" i="1"/>
  <c r="T62" i="1"/>
  <c r="U62" i="1"/>
  <c r="O62" i="1"/>
  <c r="S62" i="1"/>
  <c r="K62" i="1"/>
  <c r="M62" i="1"/>
  <c r="O217" i="1"/>
  <c r="K217" i="1"/>
  <c r="X217" i="1"/>
  <c r="Q217" i="1"/>
  <c r="T217" i="1"/>
  <c r="P217" i="1"/>
  <c r="S217" i="1"/>
  <c r="L217" i="1"/>
  <c r="M217" i="1"/>
  <c r="R217" i="1"/>
  <c r="W217" i="1"/>
  <c r="V217" i="1"/>
  <c r="U217" i="1"/>
  <c r="S522" i="1"/>
  <c r="O522" i="1"/>
  <c r="Q522" i="1"/>
  <c r="X522" i="1"/>
  <c r="W522" i="1"/>
  <c r="R522" i="1"/>
  <c r="P522" i="1"/>
  <c r="K522" i="1"/>
  <c r="V522" i="1"/>
  <c r="M522" i="1"/>
  <c r="L522" i="1"/>
  <c r="U522" i="1"/>
  <c r="T522" i="1"/>
  <c r="S368" i="1"/>
  <c r="K368" i="1"/>
  <c r="U368" i="1"/>
  <c r="P368" i="1"/>
  <c r="X368" i="1"/>
  <c r="M368" i="1"/>
  <c r="R368" i="1"/>
  <c r="L368" i="1"/>
  <c r="O368" i="1"/>
  <c r="T368" i="1"/>
  <c r="W368" i="1"/>
  <c r="Q368" i="1"/>
  <c r="V368" i="1"/>
  <c r="M990" i="1"/>
  <c r="L990" i="1"/>
  <c r="Q990" i="1"/>
  <c r="W990" i="1"/>
  <c r="V990" i="1"/>
  <c r="T990" i="1"/>
  <c r="S990" i="1"/>
  <c r="O990" i="1"/>
  <c r="R990" i="1"/>
  <c r="U990" i="1"/>
  <c r="P990" i="1"/>
  <c r="K990" i="1"/>
  <c r="X990" i="1"/>
  <c r="M755" i="1"/>
  <c r="W755" i="1"/>
  <c r="T755" i="1"/>
  <c r="K755" i="1"/>
  <c r="S755" i="1"/>
  <c r="X755" i="1"/>
  <c r="R755" i="1"/>
  <c r="L755" i="1"/>
  <c r="P755" i="1"/>
  <c r="U755" i="1"/>
  <c r="O755" i="1"/>
  <c r="Q755" i="1"/>
  <c r="V755" i="1"/>
  <c r="Q159" i="1"/>
  <c r="U159" i="1"/>
  <c r="T159" i="1"/>
  <c r="K159" i="1"/>
  <c r="M159" i="1"/>
  <c r="X159" i="1"/>
  <c r="R159" i="1"/>
  <c r="W159" i="1"/>
  <c r="V159" i="1"/>
  <c r="P159" i="1"/>
  <c r="S159" i="1"/>
  <c r="O159" i="1"/>
  <c r="L159" i="1"/>
  <c r="K770" i="1"/>
  <c r="R770" i="1"/>
  <c r="M770" i="1"/>
  <c r="L770" i="1"/>
  <c r="Q770" i="1"/>
  <c r="W770" i="1"/>
  <c r="O770" i="1"/>
  <c r="S770" i="1"/>
  <c r="U770" i="1"/>
  <c r="V770" i="1"/>
  <c r="P770" i="1"/>
  <c r="X770" i="1"/>
  <c r="T770" i="1"/>
  <c r="V491" i="1"/>
  <c r="X491" i="1"/>
  <c r="R491" i="1"/>
  <c r="S491" i="1"/>
  <c r="T491" i="1"/>
  <c r="P491" i="1"/>
  <c r="Q491" i="1"/>
  <c r="M491" i="1"/>
  <c r="L491" i="1"/>
  <c r="O491" i="1"/>
  <c r="K491" i="1"/>
  <c r="U491" i="1"/>
  <c r="W491" i="1"/>
  <c r="K927" i="1"/>
  <c r="S927" i="1"/>
  <c r="M927" i="1"/>
  <c r="L927" i="1"/>
  <c r="W927" i="1"/>
  <c r="V927" i="1"/>
  <c r="O927" i="1"/>
  <c r="X927" i="1"/>
  <c r="R927" i="1"/>
  <c r="Q927" i="1"/>
  <c r="P927" i="1"/>
  <c r="U927" i="1"/>
  <c r="T927" i="1"/>
  <c r="P442" i="1"/>
  <c r="X442" i="1"/>
  <c r="L442" i="1"/>
  <c r="K442" i="1"/>
  <c r="S442" i="1"/>
  <c r="T442" i="1"/>
  <c r="W442" i="1"/>
  <c r="Q442" i="1"/>
  <c r="V442" i="1"/>
  <c r="M442" i="1"/>
  <c r="R442" i="1"/>
  <c r="O442" i="1"/>
  <c r="U442" i="1"/>
  <c r="U590" i="1"/>
  <c r="T590" i="1"/>
  <c r="X590" i="1"/>
  <c r="W590" i="1"/>
  <c r="P590" i="1"/>
  <c r="Q590" i="1"/>
  <c r="V590" i="1"/>
  <c r="M590" i="1"/>
  <c r="R590" i="1"/>
  <c r="L590" i="1"/>
  <c r="K590" i="1"/>
  <c r="O590" i="1"/>
  <c r="S590" i="1"/>
  <c r="W318" i="1"/>
  <c r="Q318" i="1"/>
  <c r="V318" i="1"/>
  <c r="X318" i="1"/>
  <c r="K318" i="1"/>
  <c r="S318" i="1"/>
  <c r="O318" i="1"/>
  <c r="T318" i="1"/>
  <c r="R318" i="1"/>
  <c r="L318" i="1"/>
  <c r="P318" i="1"/>
  <c r="U318" i="1"/>
  <c r="M318" i="1"/>
  <c r="K943" i="1"/>
  <c r="X943" i="1"/>
  <c r="R943" i="1"/>
  <c r="M943" i="1"/>
  <c r="Q943" i="1"/>
  <c r="P943" i="1"/>
  <c r="T943" i="1"/>
  <c r="S943" i="1"/>
  <c r="O943" i="1"/>
  <c r="L943" i="1"/>
  <c r="W943" i="1"/>
  <c r="V943" i="1"/>
  <c r="U943" i="1"/>
  <c r="H10" i="1"/>
  <c r="K10" i="1"/>
  <c r="Q10" i="1"/>
  <c r="R10" i="1"/>
  <c r="X10" i="1"/>
  <c r="P10" i="1"/>
  <c r="U10" i="1"/>
  <c r="S10" i="1"/>
  <c r="T10" i="1"/>
  <c r="V10" i="1"/>
  <c r="O10" i="1"/>
  <c r="L10" i="1"/>
  <c r="M10" i="1"/>
  <c r="W10" i="1"/>
  <c r="S729" i="1"/>
  <c r="K729" i="1"/>
  <c r="O729" i="1"/>
  <c r="R729" i="1"/>
  <c r="P729" i="1"/>
  <c r="U729" i="1"/>
  <c r="T729" i="1"/>
  <c r="Q729" i="1"/>
  <c r="V729" i="1"/>
  <c r="X729" i="1"/>
  <c r="M729" i="1"/>
  <c r="W729" i="1"/>
  <c r="L729" i="1"/>
  <c r="R891" i="1"/>
  <c r="Q891" i="1"/>
  <c r="P891" i="1"/>
  <c r="S891" i="1"/>
  <c r="O891" i="1"/>
  <c r="M891" i="1"/>
  <c r="L891" i="1"/>
  <c r="W891" i="1"/>
  <c r="V891" i="1"/>
  <c r="U891" i="1"/>
  <c r="T891" i="1"/>
  <c r="K891" i="1"/>
  <c r="X891" i="1"/>
  <c r="V276" i="1"/>
  <c r="X276" i="1"/>
  <c r="K276" i="1"/>
  <c r="S276" i="1"/>
  <c r="P276" i="1"/>
  <c r="W276" i="1"/>
  <c r="Q276" i="1"/>
  <c r="M276" i="1"/>
  <c r="R276" i="1"/>
  <c r="L276" i="1"/>
  <c r="O276" i="1"/>
  <c r="T276" i="1"/>
  <c r="U276" i="1"/>
  <c r="Q177" i="1"/>
  <c r="P177" i="1"/>
  <c r="T177" i="1"/>
  <c r="O177" i="1"/>
  <c r="S177" i="1"/>
  <c r="R177" i="1"/>
  <c r="X177" i="1"/>
  <c r="V177" i="1"/>
  <c r="U177" i="1"/>
  <c r="K177" i="1"/>
  <c r="L177" i="1"/>
  <c r="M177" i="1"/>
  <c r="W177" i="1"/>
  <c r="X641" i="1"/>
  <c r="W641" i="1"/>
  <c r="P641" i="1"/>
  <c r="T641" i="1"/>
  <c r="K641" i="1"/>
  <c r="O641" i="1"/>
  <c r="S641" i="1"/>
  <c r="Q641" i="1"/>
  <c r="V641" i="1"/>
  <c r="M641" i="1"/>
  <c r="R641" i="1"/>
  <c r="L641" i="1"/>
  <c r="U641" i="1"/>
  <c r="L124" i="1"/>
  <c r="M124" i="1"/>
  <c r="X124" i="1"/>
  <c r="T124" i="1"/>
  <c r="P124" i="1"/>
  <c r="S124" i="1"/>
  <c r="O124" i="1"/>
  <c r="W124" i="1"/>
  <c r="V124" i="1"/>
  <c r="Q124" i="1"/>
  <c r="U124" i="1"/>
  <c r="K124" i="1"/>
  <c r="R124" i="1"/>
  <c r="U481" i="1"/>
  <c r="T481" i="1"/>
  <c r="P481" i="1"/>
  <c r="X481" i="1"/>
  <c r="M481" i="1"/>
  <c r="K481" i="1"/>
  <c r="S481" i="1"/>
  <c r="O481" i="1"/>
  <c r="R481" i="1"/>
  <c r="L481" i="1"/>
  <c r="W481" i="1"/>
  <c r="Q481" i="1"/>
  <c r="V481" i="1"/>
  <c r="R604" i="1"/>
  <c r="L604" i="1"/>
  <c r="P604" i="1"/>
  <c r="O604" i="1"/>
  <c r="S604" i="1"/>
  <c r="V604" i="1"/>
  <c r="X604" i="1"/>
  <c r="U604" i="1"/>
  <c r="T604" i="1"/>
  <c r="K604" i="1"/>
  <c r="Q604" i="1"/>
  <c r="M604" i="1"/>
  <c r="W604" i="1"/>
  <c r="V951" i="1"/>
  <c r="T951" i="1"/>
  <c r="O951" i="1"/>
  <c r="S951" i="1"/>
  <c r="Q951" i="1"/>
  <c r="W951" i="1"/>
  <c r="L951" i="1"/>
  <c r="P951" i="1"/>
  <c r="U951" i="1"/>
  <c r="K951" i="1"/>
  <c r="X951" i="1"/>
  <c r="R951" i="1"/>
  <c r="M951" i="1"/>
  <c r="K434" i="1"/>
  <c r="T434" i="1"/>
  <c r="U434" i="1"/>
  <c r="Q434" i="1"/>
  <c r="X434" i="1"/>
  <c r="R434" i="1"/>
  <c r="S434" i="1"/>
  <c r="O434" i="1"/>
  <c r="P434" i="1"/>
  <c r="W434" i="1"/>
  <c r="V434" i="1"/>
  <c r="M434" i="1"/>
  <c r="L434" i="1"/>
  <c r="U548" i="1"/>
  <c r="T548" i="1"/>
  <c r="Q548" i="1"/>
  <c r="W548" i="1"/>
  <c r="S548" i="1"/>
  <c r="V548" i="1"/>
  <c r="X548" i="1"/>
  <c r="M548" i="1"/>
  <c r="R548" i="1"/>
  <c r="L548" i="1"/>
  <c r="K548" i="1"/>
  <c r="O548" i="1"/>
  <c r="P548" i="1"/>
  <c r="R790" i="1"/>
  <c r="M790" i="1"/>
  <c r="Q790" i="1"/>
  <c r="V790" i="1"/>
  <c r="P790" i="1"/>
  <c r="K790" i="1"/>
  <c r="X790" i="1"/>
  <c r="L790" i="1"/>
  <c r="W790" i="1"/>
  <c r="T790" i="1"/>
  <c r="U790" i="1"/>
  <c r="S790" i="1"/>
  <c r="O790" i="1"/>
  <c r="K13" i="1"/>
  <c r="M13" i="1"/>
  <c r="R13" i="1"/>
  <c r="V13" i="1"/>
  <c r="L13" i="1"/>
  <c r="X13" i="1"/>
  <c r="W13" i="1"/>
  <c r="U13" i="1"/>
  <c r="S13" i="1"/>
  <c r="H13" i="1"/>
  <c r="O13" i="1"/>
  <c r="Q13" i="1"/>
  <c r="P13" i="1"/>
  <c r="T13" i="1"/>
  <c r="K858" i="1"/>
  <c r="S858" i="1"/>
  <c r="X858" i="1"/>
  <c r="M858" i="1"/>
  <c r="Q858" i="1"/>
  <c r="W858" i="1"/>
  <c r="T858" i="1"/>
  <c r="O858" i="1"/>
  <c r="R858" i="1"/>
  <c r="L858" i="1"/>
  <c r="V858" i="1"/>
  <c r="P858" i="1"/>
  <c r="U858" i="1"/>
  <c r="O67" i="1"/>
  <c r="S67" i="1"/>
  <c r="R67" i="1"/>
  <c r="X67" i="1"/>
  <c r="V67" i="1"/>
  <c r="Q67" i="1"/>
  <c r="P67" i="1"/>
  <c r="K67" i="1"/>
  <c r="L67" i="1"/>
  <c r="M67" i="1"/>
  <c r="W67" i="1"/>
  <c r="U67" i="1"/>
  <c r="T67" i="1"/>
  <c r="S618" i="1"/>
  <c r="O618" i="1"/>
  <c r="K618" i="1"/>
  <c r="V618" i="1"/>
  <c r="L618" i="1"/>
  <c r="U618" i="1"/>
  <c r="T618" i="1"/>
  <c r="Q618" i="1"/>
  <c r="X618" i="1"/>
  <c r="M618" i="1"/>
  <c r="W618" i="1"/>
  <c r="R618" i="1"/>
  <c r="P618" i="1"/>
  <c r="V353" i="1"/>
  <c r="S353" i="1"/>
  <c r="K353" i="1"/>
  <c r="P353" i="1"/>
  <c r="U353" i="1"/>
  <c r="T353" i="1"/>
  <c r="W353" i="1"/>
  <c r="Q353" i="1"/>
  <c r="X353" i="1"/>
  <c r="M353" i="1"/>
  <c r="L353" i="1"/>
  <c r="O353" i="1"/>
  <c r="R353" i="1"/>
  <c r="Q227" i="1"/>
  <c r="U227" i="1"/>
  <c r="O227" i="1"/>
  <c r="K227" i="1"/>
  <c r="L227" i="1"/>
  <c r="M227" i="1"/>
  <c r="R227" i="1"/>
  <c r="W227" i="1"/>
  <c r="S227" i="1"/>
  <c r="X227" i="1"/>
  <c r="V227" i="1"/>
  <c r="P227" i="1"/>
  <c r="T227" i="1"/>
  <c r="M418" i="1"/>
  <c r="R418" i="1"/>
  <c r="L418" i="1"/>
  <c r="S418" i="1"/>
  <c r="W418" i="1"/>
  <c r="Q418" i="1"/>
  <c r="V418" i="1"/>
  <c r="T418" i="1"/>
  <c r="X418" i="1"/>
  <c r="O418" i="1"/>
  <c r="K418" i="1"/>
  <c r="P418" i="1"/>
  <c r="U418" i="1"/>
  <c r="M870" i="1"/>
  <c r="L870" i="1"/>
  <c r="Q870" i="1"/>
  <c r="V870" i="1"/>
  <c r="T870" i="1"/>
  <c r="K870" i="1"/>
  <c r="X870" i="1"/>
  <c r="R870" i="1"/>
  <c r="U870" i="1"/>
  <c r="P870" i="1"/>
  <c r="S870" i="1"/>
  <c r="O870" i="1"/>
  <c r="W870" i="1"/>
  <c r="W767" i="1"/>
  <c r="R767" i="1"/>
  <c r="L767" i="1"/>
  <c r="T767" i="1"/>
  <c r="S767" i="1"/>
  <c r="K767" i="1"/>
  <c r="Q767" i="1"/>
  <c r="M767" i="1"/>
  <c r="U767" i="1"/>
  <c r="O767" i="1"/>
  <c r="V767" i="1"/>
  <c r="X767" i="1"/>
  <c r="P767" i="1"/>
  <c r="P285" i="1"/>
  <c r="X285" i="1"/>
  <c r="R285" i="1"/>
  <c r="O285" i="1"/>
  <c r="K285" i="1"/>
  <c r="T285" i="1"/>
  <c r="U285" i="1"/>
  <c r="M285" i="1"/>
  <c r="L285" i="1"/>
  <c r="S285" i="1"/>
  <c r="W285" i="1"/>
  <c r="Q285" i="1"/>
  <c r="V285" i="1"/>
  <c r="R80" i="1"/>
  <c r="X80" i="1"/>
  <c r="V80" i="1"/>
  <c r="P80" i="1"/>
  <c r="K80" i="1"/>
  <c r="O80" i="1"/>
  <c r="L80" i="1"/>
  <c r="M80" i="1"/>
  <c r="T80" i="1"/>
  <c r="S80" i="1"/>
  <c r="W80" i="1"/>
  <c r="Q80" i="1"/>
  <c r="U80" i="1"/>
  <c r="R850" i="1"/>
  <c r="L850" i="1"/>
  <c r="W850" i="1"/>
  <c r="V850" i="1"/>
  <c r="U850" i="1"/>
  <c r="S850" i="1"/>
  <c r="K850" i="1"/>
  <c r="X850" i="1"/>
  <c r="P850" i="1"/>
  <c r="T850" i="1"/>
  <c r="O850" i="1"/>
  <c r="M850" i="1"/>
  <c r="Q850" i="1"/>
  <c r="L549" i="1"/>
  <c r="T549" i="1"/>
  <c r="U549" i="1"/>
  <c r="P549" i="1"/>
  <c r="W549" i="1"/>
  <c r="R549" i="1"/>
  <c r="K549" i="1"/>
  <c r="Q549" i="1"/>
  <c r="V549" i="1"/>
  <c r="X549" i="1"/>
  <c r="M549" i="1"/>
  <c r="S549" i="1"/>
  <c r="O549" i="1"/>
  <c r="T37" i="1"/>
  <c r="K37" i="1"/>
  <c r="H37" i="1"/>
  <c r="X37" i="1"/>
  <c r="S37" i="1"/>
  <c r="W37" i="1"/>
  <c r="Q37" i="1"/>
  <c r="U37" i="1"/>
  <c r="O37" i="1"/>
  <c r="M37" i="1"/>
  <c r="V37" i="1"/>
  <c r="L37" i="1"/>
  <c r="R37" i="1"/>
  <c r="P37" i="1"/>
  <c r="V910" i="1"/>
  <c r="K910" i="1"/>
  <c r="O910" i="1"/>
  <c r="S910" i="1"/>
  <c r="X910" i="1"/>
  <c r="Q910" i="1"/>
  <c r="U910" i="1"/>
  <c r="T910" i="1"/>
  <c r="R910" i="1"/>
  <c r="M910" i="1"/>
  <c r="L910" i="1"/>
  <c r="W910" i="1"/>
  <c r="P910" i="1"/>
  <c r="Q296" i="1"/>
  <c r="V296" i="1"/>
  <c r="X296" i="1"/>
  <c r="M296" i="1"/>
  <c r="R296" i="1"/>
  <c r="L296" i="1"/>
  <c r="W296" i="1"/>
  <c r="K296" i="1"/>
  <c r="S296" i="1"/>
  <c r="O296" i="1"/>
  <c r="T296" i="1"/>
  <c r="U296" i="1"/>
  <c r="P296" i="1"/>
  <c r="X592" i="1"/>
  <c r="W592" i="1"/>
  <c r="P592" i="1"/>
  <c r="O592" i="1"/>
  <c r="S592" i="1"/>
  <c r="K592" i="1"/>
  <c r="R592" i="1"/>
  <c r="L592" i="1"/>
  <c r="T592" i="1"/>
  <c r="U592" i="1"/>
  <c r="Q592" i="1"/>
  <c r="V592" i="1"/>
  <c r="M592" i="1"/>
  <c r="K634" i="1"/>
  <c r="V634" i="1"/>
  <c r="W634" i="1"/>
  <c r="R634" i="1"/>
  <c r="T634" i="1"/>
  <c r="P634" i="1"/>
  <c r="S634" i="1"/>
  <c r="O634" i="1"/>
  <c r="Q634" i="1"/>
  <c r="X634" i="1"/>
  <c r="M634" i="1"/>
  <c r="L634" i="1"/>
  <c r="U634" i="1"/>
  <c r="O449" i="1"/>
  <c r="K449" i="1"/>
  <c r="P449" i="1"/>
  <c r="T449" i="1"/>
  <c r="U449" i="1"/>
  <c r="Q449" i="1"/>
  <c r="V449" i="1"/>
  <c r="S449" i="1"/>
  <c r="L449" i="1"/>
  <c r="M449" i="1"/>
  <c r="X449" i="1"/>
  <c r="R449" i="1"/>
  <c r="W449" i="1"/>
  <c r="K59" i="1"/>
  <c r="L59" i="1"/>
  <c r="X59" i="1"/>
  <c r="P59" i="1"/>
  <c r="U59" i="1"/>
  <c r="T59" i="1"/>
  <c r="S59" i="1"/>
  <c r="M59" i="1"/>
  <c r="R59" i="1"/>
  <c r="W59" i="1"/>
  <c r="V59" i="1"/>
  <c r="Q59" i="1"/>
  <c r="O59" i="1"/>
  <c r="K828" i="1"/>
  <c r="X828" i="1"/>
  <c r="R828" i="1"/>
  <c r="M828" i="1"/>
  <c r="L828" i="1"/>
  <c r="W828" i="1"/>
  <c r="P828" i="1"/>
  <c r="O828" i="1"/>
  <c r="S828" i="1"/>
  <c r="Q828" i="1"/>
  <c r="V828" i="1"/>
  <c r="U828" i="1"/>
  <c r="T828" i="1"/>
  <c r="T727" i="1"/>
  <c r="K727" i="1"/>
  <c r="S727" i="1"/>
  <c r="V727" i="1"/>
  <c r="X727" i="1"/>
  <c r="W727" i="1"/>
  <c r="P727" i="1"/>
  <c r="U727" i="1"/>
  <c r="O727" i="1"/>
  <c r="Q727" i="1"/>
  <c r="M727" i="1"/>
  <c r="R727" i="1"/>
  <c r="L727" i="1"/>
  <c r="S340" i="1"/>
  <c r="W340" i="1"/>
  <c r="Q340" i="1"/>
  <c r="V340" i="1"/>
  <c r="M340" i="1"/>
  <c r="R340" i="1"/>
  <c r="L340" i="1"/>
  <c r="O340" i="1"/>
  <c r="K340" i="1"/>
  <c r="P340" i="1"/>
  <c r="U340" i="1"/>
  <c r="T340" i="1"/>
  <c r="X340" i="1"/>
  <c r="M783" i="1"/>
  <c r="W783" i="1"/>
  <c r="V783" i="1"/>
  <c r="U783" i="1"/>
  <c r="P783" i="1"/>
  <c r="K783" i="1"/>
  <c r="X783" i="1"/>
  <c r="R783" i="1"/>
  <c r="Q783" i="1"/>
  <c r="T783" i="1"/>
  <c r="S783" i="1"/>
  <c r="O783" i="1"/>
  <c r="L783" i="1"/>
  <c r="R77" i="1"/>
  <c r="V77" i="1"/>
  <c r="P77" i="1"/>
  <c r="S77" i="1"/>
  <c r="K77" i="1"/>
  <c r="M77" i="1"/>
  <c r="W77" i="1"/>
  <c r="Q77" i="1"/>
  <c r="U77" i="1"/>
  <c r="T77" i="1"/>
  <c r="O77" i="1"/>
  <c r="L77" i="1"/>
  <c r="X77" i="1"/>
  <c r="V961" i="1"/>
  <c r="P961" i="1"/>
  <c r="O961" i="1"/>
  <c r="S961" i="1"/>
  <c r="M961" i="1"/>
  <c r="Q961" i="1"/>
  <c r="W961" i="1"/>
  <c r="T961" i="1"/>
  <c r="K961" i="1"/>
  <c r="X961" i="1"/>
  <c r="R961" i="1"/>
  <c r="L961" i="1"/>
  <c r="U961" i="1"/>
  <c r="X535" i="1"/>
  <c r="M535" i="1"/>
  <c r="R535" i="1"/>
  <c r="O535" i="1"/>
  <c r="K535" i="1"/>
  <c r="S535" i="1"/>
  <c r="Q535" i="1"/>
  <c r="T535" i="1"/>
  <c r="U535" i="1"/>
  <c r="V535" i="1"/>
  <c r="W535" i="1"/>
  <c r="L535" i="1"/>
  <c r="P535" i="1"/>
  <c r="P12" i="1"/>
  <c r="S12" i="1"/>
  <c r="L12" i="1"/>
  <c r="Q12" i="1"/>
  <c r="X12" i="1"/>
  <c r="W12" i="1"/>
  <c r="K12" i="1"/>
  <c r="O12" i="1"/>
  <c r="M12" i="1"/>
  <c r="H12" i="1"/>
  <c r="R12" i="1"/>
  <c r="U12" i="1"/>
  <c r="V12" i="1"/>
  <c r="T12" i="1"/>
  <c r="K316" i="1"/>
  <c r="T316" i="1"/>
  <c r="U316" i="1"/>
  <c r="P316" i="1"/>
  <c r="Q316" i="1"/>
  <c r="M316" i="1"/>
  <c r="R316" i="1"/>
  <c r="L316" i="1"/>
  <c r="S316" i="1"/>
  <c r="O316" i="1"/>
  <c r="W316" i="1"/>
  <c r="V316" i="1"/>
  <c r="X316" i="1"/>
  <c r="K523" i="1"/>
  <c r="Q523" i="1"/>
  <c r="X523" i="1"/>
  <c r="U523" i="1"/>
  <c r="T523" i="1"/>
  <c r="R523" i="1"/>
  <c r="L523" i="1"/>
  <c r="P523" i="1"/>
  <c r="O523" i="1"/>
  <c r="S523" i="1"/>
  <c r="V523" i="1"/>
  <c r="M523" i="1"/>
  <c r="W523" i="1"/>
  <c r="O489" i="1"/>
  <c r="P489" i="1"/>
  <c r="V489" i="1"/>
  <c r="R489" i="1"/>
  <c r="L489" i="1"/>
  <c r="Q489" i="1"/>
  <c r="X489" i="1"/>
  <c r="M489" i="1"/>
  <c r="K489" i="1"/>
  <c r="S489" i="1"/>
  <c r="T489" i="1"/>
  <c r="U489" i="1"/>
  <c r="W489" i="1"/>
  <c r="S988" i="1"/>
  <c r="R988" i="1"/>
  <c r="L988" i="1"/>
  <c r="Q988" i="1"/>
  <c r="U988" i="1"/>
  <c r="P988" i="1"/>
  <c r="T988" i="1"/>
  <c r="O988" i="1"/>
  <c r="K988" i="1"/>
  <c r="X988" i="1"/>
  <c r="M988" i="1"/>
  <c r="W988" i="1"/>
  <c r="V988" i="1"/>
  <c r="R139" i="1"/>
  <c r="W139" i="1"/>
  <c r="Q139" i="1"/>
  <c r="U139" i="1"/>
  <c r="O139" i="1"/>
  <c r="L139" i="1"/>
  <c r="M139" i="1"/>
  <c r="X139" i="1"/>
  <c r="V139" i="1"/>
  <c r="P139" i="1"/>
  <c r="T139" i="1"/>
  <c r="K139" i="1"/>
  <c r="S139" i="1"/>
  <c r="K830" i="1"/>
  <c r="X830" i="1"/>
  <c r="R830" i="1"/>
  <c r="M830" i="1"/>
  <c r="Q830" i="1"/>
  <c r="S830" i="1"/>
  <c r="O830" i="1"/>
  <c r="L830" i="1"/>
  <c r="W830" i="1"/>
  <c r="V830" i="1"/>
  <c r="U830" i="1"/>
  <c r="T830" i="1"/>
  <c r="P830" i="1"/>
  <c r="O431" i="1"/>
  <c r="Q431" i="1"/>
  <c r="V431" i="1"/>
  <c r="M431" i="1"/>
  <c r="R431" i="1"/>
  <c r="L431" i="1"/>
  <c r="X431" i="1"/>
  <c r="K431" i="1"/>
  <c r="S431" i="1"/>
  <c r="T431" i="1"/>
  <c r="U431" i="1"/>
  <c r="P431" i="1"/>
  <c r="W431" i="1"/>
  <c r="L598" i="1"/>
  <c r="P598" i="1"/>
  <c r="T598" i="1"/>
  <c r="O598" i="1"/>
  <c r="S598" i="1"/>
  <c r="V598" i="1"/>
  <c r="W598" i="1"/>
  <c r="R598" i="1"/>
  <c r="U598" i="1"/>
  <c r="K598" i="1"/>
  <c r="Q598" i="1"/>
  <c r="X598" i="1"/>
  <c r="M598" i="1"/>
  <c r="S127" i="1"/>
  <c r="X127" i="1"/>
  <c r="W127" i="1"/>
  <c r="V127" i="1"/>
  <c r="Q127" i="1"/>
  <c r="P127" i="1"/>
  <c r="T127" i="1"/>
  <c r="O127" i="1"/>
  <c r="L127" i="1"/>
  <c r="M127" i="1"/>
  <c r="R127" i="1"/>
  <c r="U127" i="1"/>
  <c r="K127" i="1"/>
  <c r="K476" i="1"/>
  <c r="O476" i="1"/>
  <c r="P476" i="1"/>
  <c r="U476" i="1"/>
  <c r="W476" i="1"/>
  <c r="Q476" i="1"/>
  <c r="V476" i="1"/>
  <c r="L476" i="1"/>
  <c r="S476" i="1"/>
  <c r="T476" i="1"/>
  <c r="X476" i="1"/>
  <c r="M476" i="1"/>
  <c r="R476" i="1"/>
  <c r="S1001" i="1"/>
  <c r="K1001" i="1"/>
  <c r="O1001" i="1"/>
  <c r="R1001" i="1"/>
  <c r="L1001" i="1"/>
  <c r="Q1001" i="1"/>
  <c r="W1001" i="1"/>
  <c r="T1001" i="1"/>
  <c r="U1001" i="1"/>
  <c r="X1001" i="1"/>
  <c r="M1001" i="1"/>
  <c r="V1001" i="1"/>
  <c r="P1001" i="1"/>
  <c r="M531" i="1"/>
  <c r="R531" i="1"/>
  <c r="T531" i="1"/>
  <c r="S531" i="1"/>
  <c r="Q531" i="1"/>
  <c r="V531" i="1"/>
  <c r="X531" i="1"/>
  <c r="P531" i="1"/>
  <c r="U531" i="1"/>
  <c r="K531" i="1"/>
  <c r="O531" i="1"/>
  <c r="W531" i="1"/>
  <c r="L531" i="1"/>
  <c r="U251" i="1"/>
  <c r="T251" i="1"/>
  <c r="O251" i="1"/>
  <c r="L251" i="1"/>
  <c r="M251" i="1"/>
  <c r="P251" i="1"/>
  <c r="W251" i="1"/>
  <c r="V251" i="1"/>
  <c r="Q251" i="1"/>
  <c r="S251" i="1"/>
  <c r="K251" i="1"/>
  <c r="R251" i="1"/>
  <c r="X251" i="1"/>
  <c r="X155" i="1"/>
  <c r="V155" i="1"/>
  <c r="P155" i="1"/>
  <c r="M155" i="1"/>
  <c r="R155" i="1"/>
  <c r="W155" i="1"/>
  <c r="Q155" i="1"/>
  <c r="K155" i="1"/>
  <c r="S155" i="1"/>
  <c r="O155" i="1"/>
  <c r="L155" i="1"/>
  <c r="U155" i="1"/>
  <c r="T155" i="1"/>
  <c r="R930" i="1"/>
  <c r="M930" i="1"/>
  <c r="W930" i="1"/>
  <c r="V930" i="1"/>
  <c r="P930" i="1"/>
  <c r="K930" i="1"/>
  <c r="O930" i="1"/>
  <c r="X930" i="1"/>
  <c r="L930" i="1"/>
  <c r="Q930" i="1"/>
  <c r="T930" i="1"/>
  <c r="U930" i="1"/>
  <c r="S930" i="1"/>
  <c r="S358" i="1"/>
  <c r="T358" i="1"/>
  <c r="U358" i="1"/>
  <c r="W358" i="1"/>
  <c r="V358" i="1"/>
  <c r="X358" i="1"/>
  <c r="M358" i="1"/>
  <c r="R358" i="1"/>
  <c r="L358" i="1"/>
  <c r="O358" i="1"/>
  <c r="K358" i="1"/>
  <c r="P358" i="1"/>
  <c r="Q358" i="1"/>
  <c r="L712" i="1"/>
  <c r="U712" i="1"/>
  <c r="P712" i="1"/>
  <c r="K712" i="1"/>
  <c r="S712" i="1"/>
  <c r="O712" i="1"/>
  <c r="Q712" i="1"/>
  <c r="M712" i="1"/>
  <c r="V712" i="1"/>
  <c r="X712" i="1"/>
  <c r="W712" i="1"/>
  <c r="R712" i="1"/>
  <c r="T712" i="1"/>
  <c r="O576" i="1"/>
  <c r="V576" i="1"/>
  <c r="X576" i="1"/>
  <c r="M576" i="1"/>
  <c r="R576" i="1"/>
  <c r="U576" i="1"/>
  <c r="S576" i="1"/>
  <c r="K576" i="1"/>
  <c r="Q576" i="1"/>
  <c r="W576" i="1"/>
  <c r="L576" i="1"/>
  <c r="P576" i="1"/>
  <c r="T576" i="1"/>
  <c r="V247" i="1"/>
  <c r="P247" i="1"/>
  <c r="T247" i="1"/>
  <c r="U247" i="1"/>
  <c r="O247" i="1"/>
  <c r="M247" i="1"/>
  <c r="R247" i="1"/>
  <c r="W247" i="1"/>
  <c r="Q247" i="1"/>
  <c r="S247" i="1"/>
  <c r="K247" i="1"/>
  <c r="L247" i="1"/>
  <c r="X247" i="1"/>
  <c r="Q502" i="1"/>
  <c r="V502" i="1"/>
  <c r="X502" i="1"/>
  <c r="R502" i="1"/>
  <c r="K502" i="1"/>
  <c r="O502" i="1"/>
  <c r="P502" i="1"/>
  <c r="W502" i="1"/>
  <c r="M502" i="1"/>
  <c r="L502" i="1"/>
  <c r="S502" i="1"/>
  <c r="U502" i="1"/>
  <c r="T502" i="1"/>
  <c r="T926" i="1"/>
  <c r="U926" i="1"/>
  <c r="P926" i="1"/>
  <c r="O926" i="1"/>
  <c r="M926" i="1"/>
  <c r="L926" i="1"/>
  <c r="V926" i="1"/>
  <c r="Q926" i="1"/>
  <c r="W926" i="1"/>
  <c r="S926" i="1"/>
  <c r="K926" i="1"/>
  <c r="X926" i="1"/>
  <c r="R926" i="1"/>
  <c r="P524" i="1"/>
  <c r="S524" i="1"/>
  <c r="Q524" i="1"/>
  <c r="V524" i="1"/>
  <c r="X524" i="1"/>
  <c r="M524" i="1"/>
  <c r="U524" i="1"/>
  <c r="T524" i="1"/>
  <c r="K524" i="1"/>
  <c r="O524" i="1"/>
  <c r="W524" i="1"/>
  <c r="R524" i="1"/>
  <c r="L524" i="1"/>
  <c r="K314" i="1"/>
  <c r="P314" i="1"/>
  <c r="X314" i="1"/>
  <c r="R314" i="1"/>
  <c r="L314" i="1"/>
  <c r="O314" i="1"/>
  <c r="S314" i="1"/>
  <c r="W314" i="1"/>
  <c r="Q314" i="1"/>
  <c r="V314" i="1"/>
  <c r="M314" i="1"/>
  <c r="U314" i="1"/>
  <c r="T314" i="1"/>
  <c r="K23" i="1"/>
  <c r="O23" i="1"/>
  <c r="Q23" i="1"/>
  <c r="T23" i="1"/>
  <c r="H23" i="1"/>
  <c r="S23" i="1"/>
  <c r="L23" i="1"/>
  <c r="R23" i="1"/>
  <c r="V23" i="1"/>
  <c r="P23" i="1"/>
  <c r="X23" i="1"/>
  <c r="M23" i="1"/>
  <c r="W23" i="1"/>
  <c r="U23" i="1"/>
  <c r="T996" i="1"/>
  <c r="R996" i="1"/>
  <c r="M996" i="1"/>
  <c r="L996" i="1"/>
  <c r="V996" i="1"/>
  <c r="Q996" i="1"/>
  <c r="W996" i="1"/>
  <c r="P996" i="1"/>
  <c r="U996" i="1"/>
  <c r="K996" i="1"/>
  <c r="S996" i="1"/>
  <c r="O996" i="1"/>
  <c r="X996" i="1"/>
  <c r="O32" i="1"/>
  <c r="P32" i="1"/>
  <c r="R32" i="1"/>
  <c r="Q32" i="1"/>
  <c r="T32" i="1"/>
  <c r="S32" i="1"/>
  <c r="H32" i="1"/>
  <c r="X32" i="1"/>
  <c r="W32" i="1"/>
  <c r="V32" i="1"/>
  <c r="U32" i="1"/>
  <c r="K32" i="1"/>
  <c r="L32" i="1"/>
  <c r="M32" i="1"/>
  <c r="O775" i="1"/>
  <c r="L775" i="1"/>
  <c r="Q775" i="1"/>
  <c r="V775" i="1"/>
  <c r="P775" i="1"/>
  <c r="U775" i="1"/>
  <c r="T775" i="1"/>
  <c r="K775" i="1"/>
  <c r="S775" i="1"/>
  <c r="X775" i="1"/>
  <c r="R775" i="1"/>
  <c r="M775" i="1"/>
  <c r="W775" i="1"/>
  <c r="O643" i="1"/>
  <c r="K643" i="1"/>
  <c r="Q643" i="1"/>
  <c r="L643" i="1"/>
  <c r="U643" i="1"/>
  <c r="P643" i="1"/>
  <c r="S643" i="1"/>
  <c r="V643" i="1"/>
  <c r="X643" i="1"/>
  <c r="M643" i="1"/>
  <c r="W643" i="1"/>
  <c r="R643" i="1"/>
  <c r="T643" i="1"/>
  <c r="S384" i="1"/>
  <c r="P384" i="1"/>
  <c r="W384" i="1"/>
  <c r="X384" i="1"/>
  <c r="R384" i="1"/>
  <c r="K384" i="1"/>
  <c r="U384" i="1"/>
  <c r="T384" i="1"/>
  <c r="Q384" i="1"/>
  <c r="V384" i="1"/>
  <c r="M384" i="1"/>
  <c r="L384" i="1"/>
  <c r="O384" i="1"/>
  <c r="U270" i="1"/>
  <c r="W270" i="1"/>
  <c r="V270" i="1"/>
  <c r="M270" i="1"/>
  <c r="O270" i="1"/>
  <c r="K270" i="1"/>
  <c r="P270" i="1"/>
  <c r="T270" i="1"/>
  <c r="L270" i="1"/>
  <c r="S270" i="1"/>
  <c r="Q270" i="1"/>
  <c r="X270" i="1"/>
  <c r="R270" i="1"/>
  <c r="K525" i="1"/>
  <c r="V525" i="1"/>
  <c r="M525" i="1"/>
  <c r="W525" i="1"/>
  <c r="R525" i="1"/>
  <c r="L525" i="1"/>
  <c r="O525" i="1"/>
  <c r="S525" i="1"/>
  <c r="Q525" i="1"/>
  <c r="X525" i="1"/>
  <c r="P525" i="1"/>
  <c r="U525" i="1"/>
  <c r="T525" i="1"/>
  <c r="W914" i="1"/>
  <c r="V914" i="1"/>
  <c r="T914" i="1"/>
  <c r="O914" i="1"/>
  <c r="R914" i="1"/>
  <c r="M914" i="1"/>
  <c r="L914" i="1"/>
  <c r="P914" i="1"/>
  <c r="U914" i="1"/>
  <c r="K914" i="1"/>
  <c r="S914" i="1"/>
  <c r="X914" i="1"/>
  <c r="Q914" i="1"/>
  <c r="S36" i="1"/>
  <c r="X36" i="1"/>
  <c r="M36" i="1"/>
  <c r="W36" i="1"/>
  <c r="T36" i="1"/>
  <c r="O36" i="1"/>
  <c r="K36" i="1"/>
  <c r="U36" i="1"/>
  <c r="P36" i="1"/>
  <c r="L36" i="1"/>
  <c r="R36" i="1"/>
  <c r="Q36" i="1"/>
  <c r="H36" i="1"/>
  <c r="V36" i="1"/>
  <c r="R656" i="1"/>
  <c r="L656" i="1"/>
  <c r="U656" i="1"/>
  <c r="K656" i="1"/>
  <c r="S656" i="1"/>
  <c r="Q656" i="1"/>
  <c r="X656" i="1"/>
  <c r="W656" i="1"/>
  <c r="O656" i="1"/>
  <c r="V656" i="1"/>
  <c r="M656" i="1"/>
  <c r="T656" i="1"/>
  <c r="P656" i="1"/>
  <c r="M466" i="1"/>
  <c r="U466" i="1"/>
  <c r="T466" i="1"/>
  <c r="P466" i="1"/>
  <c r="W466" i="1"/>
  <c r="Q466" i="1"/>
  <c r="S466" i="1"/>
  <c r="O466" i="1"/>
  <c r="K466" i="1"/>
  <c r="L466" i="1"/>
  <c r="V466" i="1"/>
  <c r="X466" i="1"/>
  <c r="R466" i="1"/>
  <c r="X962" i="1"/>
  <c r="R962" i="1"/>
  <c r="V962" i="1"/>
  <c r="U962" i="1"/>
  <c r="T962" i="1"/>
  <c r="Q962" i="1"/>
  <c r="W962" i="1"/>
  <c r="P962" i="1"/>
  <c r="O962" i="1"/>
  <c r="K962" i="1"/>
  <c r="S962" i="1"/>
  <c r="M962" i="1"/>
  <c r="L962" i="1"/>
  <c r="S214" i="1"/>
  <c r="M214" i="1"/>
  <c r="R214" i="1"/>
  <c r="X214" i="1"/>
  <c r="W214" i="1"/>
  <c r="Q214" i="1"/>
  <c r="T214" i="1"/>
  <c r="K214" i="1"/>
  <c r="O214" i="1"/>
  <c r="L214" i="1"/>
  <c r="V214" i="1"/>
  <c r="P214" i="1"/>
  <c r="U214" i="1"/>
  <c r="S144" i="1"/>
  <c r="K144" i="1"/>
  <c r="O144" i="1"/>
  <c r="M144" i="1"/>
  <c r="R144" i="1"/>
  <c r="W144" i="1"/>
  <c r="V144" i="1"/>
  <c r="Q144" i="1"/>
  <c r="T144" i="1"/>
  <c r="P144" i="1"/>
  <c r="L144" i="1"/>
  <c r="X144" i="1"/>
  <c r="U144" i="1"/>
  <c r="W817" i="1"/>
  <c r="V817" i="1"/>
  <c r="P817" i="1"/>
  <c r="K817" i="1"/>
  <c r="X817" i="1"/>
  <c r="R817" i="1"/>
  <c r="M817" i="1"/>
  <c r="T817" i="1"/>
  <c r="U817" i="1"/>
  <c r="S817" i="1"/>
  <c r="O817" i="1"/>
  <c r="L817" i="1"/>
  <c r="Q817" i="1"/>
  <c r="M726" i="1"/>
  <c r="R726" i="1"/>
  <c r="L726" i="1"/>
  <c r="P726" i="1"/>
  <c r="K726" i="1"/>
  <c r="V726" i="1"/>
  <c r="X726" i="1"/>
  <c r="W726" i="1"/>
  <c r="U726" i="1"/>
  <c r="T726" i="1"/>
  <c r="O726" i="1"/>
  <c r="S726" i="1"/>
  <c r="Q726" i="1"/>
  <c r="M389" i="1"/>
  <c r="R389" i="1"/>
  <c r="O389" i="1"/>
  <c r="T389" i="1"/>
  <c r="P389" i="1"/>
  <c r="V389" i="1"/>
  <c r="Q389" i="1"/>
  <c r="X389" i="1"/>
  <c r="L389" i="1"/>
  <c r="K389" i="1"/>
  <c r="S389" i="1"/>
  <c r="U389" i="1"/>
  <c r="W389" i="1"/>
  <c r="S63" i="1"/>
  <c r="K63" i="1"/>
  <c r="X63" i="1"/>
  <c r="W63" i="1"/>
  <c r="V63" i="1"/>
  <c r="O63" i="1"/>
  <c r="M63" i="1"/>
  <c r="R63" i="1"/>
  <c r="Q63" i="1"/>
  <c r="P63" i="1"/>
  <c r="T63" i="1"/>
  <c r="U63" i="1"/>
  <c r="L63" i="1"/>
  <c r="K686" i="1"/>
  <c r="O686" i="1"/>
  <c r="Q686" i="1"/>
  <c r="V686" i="1"/>
  <c r="M686" i="1"/>
  <c r="W686" i="1"/>
  <c r="U686" i="1"/>
  <c r="S686" i="1"/>
  <c r="X686" i="1"/>
  <c r="R686" i="1"/>
  <c r="L686" i="1"/>
  <c r="P686" i="1"/>
  <c r="T686" i="1"/>
  <c r="R893" i="1"/>
  <c r="Q893" i="1"/>
  <c r="W893" i="1"/>
  <c r="U893" i="1"/>
  <c r="T893" i="1"/>
  <c r="O893" i="1"/>
  <c r="S893" i="1"/>
  <c r="K893" i="1"/>
  <c r="X893" i="1"/>
  <c r="M893" i="1"/>
  <c r="L893" i="1"/>
  <c r="V893" i="1"/>
  <c r="P893" i="1"/>
  <c r="O360" i="1"/>
  <c r="S360" i="1"/>
  <c r="P360" i="1"/>
  <c r="T360" i="1"/>
  <c r="U360" i="1"/>
  <c r="W360" i="1"/>
  <c r="M360" i="1"/>
  <c r="K360" i="1"/>
  <c r="Q360" i="1"/>
  <c r="V360" i="1"/>
  <c r="X360" i="1"/>
  <c r="R360" i="1"/>
  <c r="L360" i="1"/>
  <c r="R161" i="1"/>
  <c r="W161" i="1"/>
  <c r="V161" i="1"/>
  <c r="T161" i="1"/>
  <c r="U161" i="1"/>
  <c r="K161" i="1"/>
  <c r="O161" i="1"/>
  <c r="M161" i="1"/>
  <c r="P161" i="1"/>
  <c r="Q161" i="1"/>
  <c r="S161" i="1"/>
  <c r="L161" i="1"/>
  <c r="X161" i="1"/>
  <c r="S681" i="1"/>
  <c r="V681" i="1"/>
  <c r="M681" i="1"/>
  <c r="R681" i="1"/>
  <c r="L681" i="1"/>
  <c r="T681" i="1"/>
  <c r="U681" i="1"/>
  <c r="O681" i="1"/>
  <c r="K681" i="1"/>
  <c r="Q681" i="1"/>
  <c r="X681" i="1"/>
  <c r="W681" i="1"/>
  <c r="P681" i="1"/>
  <c r="W412" i="1"/>
  <c r="Q412" i="1"/>
  <c r="X412" i="1"/>
  <c r="R412" i="1"/>
  <c r="L412" i="1"/>
  <c r="P412" i="1"/>
  <c r="U412" i="1"/>
  <c r="T412" i="1"/>
  <c r="V412" i="1"/>
  <c r="M412" i="1"/>
  <c r="O412" i="1"/>
  <c r="S412" i="1"/>
  <c r="K412" i="1"/>
  <c r="R886" i="1"/>
  <c r="L886" i="1"/>
  <c r="Q886" i="1"/>
  <c r="P886" i="1"/>
  <c r="U886" i="1"/>
  <c r="K886" i="1"/>
  <c r="X886" i="1"/>
  <c r="M886" i="1"/>
  <c r="W886" i="1"/>
  <c r="V886" i="1"/>
  <c r="T886" i="1"/>
  <c r="O886" i="1"/>
  <c r="S886" i="1"/>
  <c r="X965" i="1"/>
  <c r="R965" i="1"/>
  <c r="L965" i="1"/>
  <c r="Q965" i="1"/>
  <c r="W965" i="1"/>
  <c r="P965" i="1"/>
  <c r="T965" i="1"/>
  <c r="O965" i="1"/>
  <c r="S965" i="1"/>
  <c r="K965" i="1"/>
  <c r="M965" i="1"/>
  <c r="V965" i="1"/>
  <c r="U965" i="1"/>
  <c r="V6" i="1"/>
  <c r="P6" i="1"/>
  <c r="O6" i="1"/>
  <c r="L6" i="1"/>
  <c r="M6" i="1"/>
  <c r="W6" i="1"/>
  <c r="H6" i="1"/>
  <c r="K6" i="1"/>
  <c r="S6" i="1"/>
  <c r="T6" i="1"/>
  <c r="R6" i="1"/>
  <c r="X6" i="1"/>
  <c r="Q6" i="1"/>
  <c r="U6" i="1"/>
  <c r="X710" i="1"/>
  <c r="R710" i="1"/>
  <c r="T710" i="1"/>
  <c r="P710" i="1"/>
  <c r="O710" i="1"/>
  <c r="K710" i="1"/>
  <c r="Q710" i="1"/>
  <c r="V710" i="1"/>
  <c r="M710" i="1"/>
  <c r="W710" i="1"/>
  <c r="L710" i="1"/>
  <c r="U710" i="1"/>
  <c r="S710" i="1"/>
  <c r="K492" i="1"/>
  <c r="T492" i="1"/>
  <c r="W492" i="1"/>
  <c r="V492" i="1"/>
  <c r="X492" i="1"/>
  <c r="M492" i="1"/>
  <c r="L492" i="1"/>
  <c r="O492" i="1"/>
  <c r="S492" i="1"/>
  <c r="P492" i="1"/>
  <c r="U492" i="1"/>
  <c r="Q492" i="1"/>
  <c r="R492" i="1"/>
  <c r="O564" i="1"/>
  <c r="Q564" i="1"/>
  <c r="V564" i="1"/>
  <c r="W564" i="1"/>
  <c r="R564" i="1"/>
  <c r="L564" i="1"/>
  <c r="U564" i="1"/>
  <c r="T564" i="1"/>
  <c r="S564" i="1"/>
  <c r="K564" i="1"/>
  <c r="X564" i="1"/>
  <c r="M564" i="1"/>
  <c r="P564" i="1"/>
  <c r="X156" i="1"/>
  <c r="P156" i="1"/>
  <c r="U156" i="1"/>
  <c r="S156" i="1"/>
  <c r="L156" i="1"/>
  <c r="R156" i="1"/>
  <c r="W156" i="1"/>
  <c r="V156" i="1"/>
  <c r="Q156" i="1"/>
  <c r="T156" i="1"/>
  <c r="K156" i="1"/>
  <c r="O156" i="1"/>
  <c r="M156" i="1"/>
  <c r="P417" i="1"/>
  <c r="W417" i="1"/>
  <c r="Q417" i="1"/>
  <c r="V417" i="1"/>
  <c r="M417" i="1"/>
  <c r="K417" i="1"/>
  <c r="U417" i="1"/>
  <c r="T417" i="1"/>
  <c r="R417" i="1"/>
  <c r="L417" i="1"/>
  <c r="O417" i="1"/>
  <c r="S417" i="1"/>
  <c r="X417" i="1"/>
  <c r="M834" i="1"/>
  <c r="L834" i="1"/>
  <c r="Q834" i="1"/>
  <c r="V834" i="1"/>
  <c r="T834" i="1"/>
  <c r="K834" i="1"/>
  <c r="R834" i="1"/>
  <c r="X834" i="1"/>
  <c r="W834" i="1"/>
  <c r="P834" i="1"/>
  <c r="U834" i="1"/>
  <c r="O834" i="1"/>
  <c r="S834" i="1"/>
  <c r="O871" i="1"/>
  <c r="R871" i="1"/>
  <c r="M871" i="1"/>
  <c r="L871" i="1"/>
  <c r="Q871" i="1"/>
  <c r="V871" i="1"/>
  <c r="T871" i="1"/>
  <c r="K871" i="1"/>
  <c r="S871" i="1"/>
  <c r="X871" i="1"/>
  <c r="W871" i="1"/>
  <c r="U871" i="1"/>
  <c r="P871" i="1"/>
  <c r="Q20" i="1"/>
  <c r="P20" i="1"/>
  <c r="T20" i="1"/>
  <c r="S20" i="1"/>
  <c r="X20" i="1"/>
  <c r="W20" i="1"/>
  <c r="V20" i="1"/>
  <c r="U20" i="1"/>
  <c r="K20" i="1"/>
  <c r="O20" i="1"/>
  <c r="L20" i="1"/>
  <c r="M20" i="1"/>
  <c r="H20" i="1"/>
  <c r="R20" i="1"/>
  <c r="U433" i="1"/>
  <c r="T433" i="1"/>
  <c r="V433" i="1"/>
  <c r="M433" i="1"/>
  <c r="R433" i="1"/>
  <c r="L433" i="1"/>
  <c r="O433" i="1"/>
  <c r="S433" i="1"/>
  <c r="K433" i="1"/>
  <c r="P433" i="1"/>
  <c r="W433" i="1"/>
  <c r="Q433" i="1"/>
  <c r="X433" i="1"/>
  <c r="P742" i="1"/>
  <c r="T742" i="1"/>
  <c r="U742" i="1"/>
  <c r="W742" i="1"/>
  <c r="L742" i="1"/>
  <c r="K742" i="1"/>
  <c r="Q742" i="1"/>
  <c r="V742" i="1"/>
  <c r="X742" i="1"/>
  <c r="M742" i="1"/>
  <c r="R742" i="1"/>
  <c r="O742" i="1"/>
  <c r="S742" i="1"/>
  <c r="Q579" i="1"/>
  <c r="V579" i="1"/>
  <c r="M579" i="1"/>
  <c r="L579" i="1"/>
  <c r="P579" i="1"/>
  <c r="R579" i="1"/>
  <c r="T579" i="1"/>
  <c r="U579" i="1"/>
  <c r="K579" i="1"/>
  <c r="O579" i="1"/>
  <c r="S579" i="1"/>
  <c r="X579" i="1"/>
  <c r="W579" i="1"/>
  <c r="R798" i="1"/>
  <c r="M798" i="1"/>
  <c r="L798" i="1"/>
  <c r="T798" i="1"/>
  <c r="K798" i="1"/>
  <c r="S798" i="1"/>
  <c r="X798" i="1"/>
  <c r="Q798" i="1"/>
  <c r="W798" i="1"/>
  <c r="V798" i="1"/>
  <c r="P798" i="1"/>
  <c r="U798" i="1"/>
  <c r="O798" i="1"/>
  <c r="K106" i="1"/>
  <c r="M106" i="1"/>
  <c r="U106" i="1"/>
  <c r="S106" i="1"/>
  <c r="L106" i="1"/>
  <c r="R106" i="1"/>
  <c r="X106" i="1"/>
  <c r="W106" i="1"/>
  <c r="V106" i="1"/>
  <c r="Q106" i="1"/>
  <c r="P106" i="1"/>
  <c r="O106" i="1"/>
  <c r="T106" i="1"/>
  <c r="K512" i="1"/>
  <c r="O512" i="1"/>
  <c r="V512" i="1"/>
  <c r="X512" i="1"/>
  <c r="R512" i="1"/>
  <c r="S512" i="1"/>
  <c r="T512" i="1"/>
  <c r="U512" i="1"/>
  <c r="P512" i="1"/>
  <c r="W512" i="1"/>
  <c r="Q512" i="1"/>
  <c r="M512" i="1"/>
  <c r="L512" i="1"/>
  <c r="P855" i="1"/>
  <c r="S855" i="1"/>
  <c r="K855" i="1"/>
  <c r="R855" i="1"/>
  <c r="L855" i="1"/>
  <c r="V855" i="1"/>
  <c r="U855" i="1"/>
  <c r="O855" i="1"/>
  <c r="X855" i="1"/>
  <c r="M855" i="1"/>
  <c r="Q855" i="1"/>
  <c r="W855" i="1"/>
  <c r="T855" i="1"/>
  <c r="M617" i="1"/>
  <c r="W617" i="1"/>
  <c r="T617" i="1"/>
  <c r="P617" i="1"/>
  <c r="O617" i="1"/>
  <c r="Q617" i="1"/>
  <c r="V617" i="1"/>
  <c r="X617" i="1"/>
  <c r="U617" i="1"/>
  <c r="S617" i="1"/>
  <c r="K617" i="1"/>
  <c r="R617" i="1"/>
  <c r="L617" i="1"/>
  <c r="P464" i="1"/>
  <c r="Q464" i="1"/>
  <c r="V464" i="1"/>
  <c r="X464" i="1"/>
  <c r="S464" i="1"/>
  <c r="K464" i="1"/>
  <c r="T464" i="1"/>
  <c r="U464" i="1"/>
  <c r="R464" i="1"/>
  <c r="O464" i="1"/>
  <c r="W464" i="1"/>
  <c r="M464" i="1"/>
  <c r="L464" i="1"/>
  <c r="M136" i="1"/>
  <c r="R136" i="1"/>
  <c r="W136" i="1"/>
  <c r="V136" i="1"/>
  <c r="Q136" i="1"/>
  <c r="T136" i="1"/>
  <c r="O136" i="1"/>
  <c r="K136" i="1"/>
  <c r="X136" i="1"/>
  <c r="U136" i="1"/>
  <c r="P136" i="1"/>
  <c r="S136" i="1"/>
  <c r="L136" i="1"/>
  <c r="U322" i="1"/>
  <c r="P322" i="1"/>
  <c r="Q322" i="1"/>
  <c r="M322" i="1"/>
  <c r="R322" i="1"/>
  <c r="K322" i="1"/>
  <c r="S322" i="1"/>
  <c r="O322" i="1"/>
  <c r="T322" i="1"/>
  <c r="W322" i="1"/>
  <c r="V322" i="1"/>
  <c r="X322" i="1"/>
  <c r="L322" i="1"/>
  <c r="Q118" i="1"/>
  <c r="U118" i="1"/>
  <c r="S118" i="1"/>
  <c r="K118" i="1"/>
  <c r="W118" i="1"/>
  <c r="R118" i="1"/>
  <c r="X118" i="1"/>
  <c r="V118" i="1"/>
  <c r="T118" i="1"/>
  <c r="P118" i="1"/>
  <c r="O118" i="1"/>
  <c r="L118" i="1"/>
  <c r="M118" i="1"/>
  <c r="T754" i="1"/>
  <c r="P754" i="1"/>
  <c r="M754" i="1"/>
  <c r="R754" i="1"/>
  <c r="O754" i="1"/>
  <c r="Q754" i="1"/>
  <c r="V754" i="1"/>
  <c r="X754" i="1"/>
  <c r="W754" i="1"/>
  <c r="L754" i="1"/>
  <c r="K754" i="1"/>
  <c r="S754" i="1"/>
  <c r="U754" i="1"/>
  <c r="K929" i="1"/>
  <c r="S929" i="1"/>
  <c r="R929" i="1"/>
  <c r="M929" i="1"/>
  <c r="V929" i="1"/>
  <c r="U929" i="1"/>
  <c r="O929" i="1"/>
  <c r="X929" i="1"/>
  <c r="L929" i="1"/>
  <c r="Q929" i="1"/>
  <c r="W929" i="1"/>
  <c r="T929" i="1"/>
  <c r="P929" i="1"/>
  <c r="W488" i="1"/>
  <c r="Q488" i="1"/>
  <c r="X488" i="1"/>
  <c r="M488" i="1"/>
  <c r="R488" i="1"/>
  <c r="S488" i="1"/>
  <c r="U488" i="1"/>
  <c r="T488" i="1"/>
  <c r="L488" i="1"/>
  <c r="V488" i="1"/>
  <c r="O488" i="1"/>
  <c r="K488" i="1"/>
  <c r="P488" i="1"/>
  <c r="X661" i="1"/>
  <c r="O661" i="1"/>
  <c r="S661" i="1"/>
  <c r="V661" i="1"/>
  <c r="M661" i="1"/>
  <c r="W661" i="1"/>
  <c r="R661" i="1"/>
  <c r="L661" i="1"/>
  <c r="T661" i="1"/>
  <c r="K661" i="1"/>
  <c r="Q661" i="1"/>
  <c r="U661" i="1"/>
  <c r="P661" i="1"/>
  <c r="P973" i="1"/>
  <c r="T973" i="1"/>
  <c r="X973" i="1"/>
  <c r="M973" i="1"/>
  <c r="Q973" i="1"/>
  <c r="W973" i="1"/>
  <c r="L973" i="1"/>
  <c r="V973" i="1"/>
  <c r="U973" i="1"/>
  <c r="S973" i="1"/>
  <c r="O973" i="1"/>
  <c r="K973" i="1"/>
  <c r="R973" i="1"/>
  <c r="H5" i="1"/>
  <c r="R5" i="1"/>
  <c r="W5" i="1"/>
  <c r="T5" i="1"/>
  <c r="K5" i="1"/>
  <c r="Q5" i="1"/>
  <c r="P5" i="1"/>
  <c r="O5" i="1"/>
  <c r="S5" i="1"/>
  <c r="M5" i="1"/>
  <c r="X5" i="1"/>
  <c r="V5" i="1"/>
  <c r="L5" i="1"/>
  <c r="U5" i="1"/>
  <c r="Q403" i="1"/>
  <c r="M403" i="1"/>
  <c r="K403" i="1"/>
  <c r="U403" i="1"/>
  <c r="P403" i="1"/>
  <c r="T403" i="1"/>
  <c r="W403" i="1"/>
  <c r="V403" i="1"/>
  <c r="X403" i="1"/>
  <c r="R403" i="1"/>
  <c r="S403" i="1"/>
  <c r="O403" i="1"/>
  <c r="L403" i="1"/>
  <c r="R173" i="1"/>
  <c r="V173" i="1"/>
  <c r="Q173" i="1"/>
  <c r="T173" i="1"/>
  <c r="O173" i="1"/>
  <c r="M173" i="1"/>
  <c r="L173" i="1"/>
  <c r="X173" i="1"/>
  <c r="W173" i="1"/>
  <c r="P173" i="1"/>
  <c r="U173" i="1"/>
  <c r="S173" i="1"/>
  <c r="K173" i="1"/>
  <c r="S963" i="1"/>
  <c r="O963" i="1"/>
  <c r="L963" i="1"/>
  <c r="Q963" i="1"/>
  <c r="W963" i="1"/>
  <c r="P963" i="1"/>
  <c r="U963" i="1"/>
  <c r="T963" i="1"/>
  <c r="K963" i="1"/>
  <c r="X963" i="1"/>
  <c r="R963" i="1"/>
  <c r="M963" i="1"/>
  <c r="V963" i="1"/>
  <c r="W562" i="1"/>
  <c r="R562" i="1"/>
  <c r="L562" i="1"/>
  <c r="U562" i="1"/>
  <c r="S562" i="1"/>
  <c r="Q562" i="1"/>
  <c r="V562" i="1"/>
  <c r="X562" i="1"/>
  <c r="P562" i="1"/>
  <c r="O562" i="1"/>
  <c r="K562" i="1"/>
  <c r="M562" i="1"/>
  <c r="T562" i="1"/>
  <c r="V135" i="1"/>
  <c r="P135" i="1"/>
  <c r="U135" i="1"/>
  <c r="K135" i="1"/>
  <c r="O135" i="1"/>
  <c r="S135" i="1"/>
  <c r="L135" i="1"/>
  <c r="R135" i="1"/>
  <c r="T135" i="1"/>
  <c r="M135" i="1"/>
  <c r="X135" i="1"/>
  <c r="W135" i="1"/>
  <c r="Q135" i="1"/>
  <c r="K422" i="1"/>
  <c r="P422" i="1"/>
  <c r="V422" i="1"/>
  <c r="X422" i="1"/>
  <c r="R422" i="1"/>
  <c r="L422" i="1"/>
  <c r="S422" i="1"/>
  <c r="T422" i="1"/>
  <c r="U422" i="1"/>
  <c r="W422" i="1"/>
  <c r="Q422" i="1"/>
  <c r="M422" i="1"/>
  <c r="O422" i="1"/>
  <c r="X884" i="1"/>
  <c r="R884" i="1"/>
  <c r="L884" i="1"/>
  <c r="Q884" i="1"/>
  <c r="P884" i="1"/>
  <c r="U884" i="1"/>
  <c r="K884" i="1"/>
  <c r="O884" i="1"/>
  <c r="S884" i="1"/>
  <c r="M884" i="1"/>
  <c r="W884" i="1"/>
  <c r="V884" i="1"/>
  <c r="T884" i="1"/>
  <c r="M713" i="1"/>
  <c r="W713" i="1"/>
  <c r="L713" i="1"/>
  <c r="T713" i="1"/>
  <c r="P713" i="1"/>
  <c r="Q713" i="1"/>
  <c r="V713" i="1"/>
  <c r="X713" i="1"/>
  <c r="R713" i="1"/>
  <c r="U713" i="1"/>
  <c r="K713" i="1"/>
  <c r="S713" i="1"/>
  <c r="O713" i="1"/>
  <c r="X907" i="1"/>
  <c r="R907" i="1"/>
  <c r="M907" i="1"/>
  <c r="L907" i="1"/>
  <c r="Q907" i="1"/>
  <c r="T907" i="1"/>
  <c r="U907" i="1"/>
  <c r="S907" i="1"/>
  <c r="O907" i="1"/>
  <c r="K907" i="1"/>
  <c r="W907" i="1"/>
  <c r="V907" i="1"/>
  <c r="P907" i="1"/>
  <c r="Q220" i="1"/>
  <c r="K220" i="1"/>
  <c r="O220" i="1"/>
  <c r="S220" i="1"/>
  <c r="L220" i="1"/>
  <c r="R220" i="1"/>
  <c r="W220" i="1"/>
  <c r="V220" i="1"/>
  <c r="P220" i="1"/>
  <c r="M220" i="1"/>
  <c r="X220" i="1"/>
  <c r="U220" i="1"/>
  <c r="T220" i="1"/>
  <c r="Q507" i="1"/>
  <c r="V507" i="1"/>
  <c r="M507" i="1"/>
  <c r="L507" i="1"/>
  <c r="O507" i="1"/>
  <c r="P507" i="1"/>
  <c r="U507" i="1"/>
  <c r="W507" i="1"/>
  <c r="X507" i="1"/>
  <c r="R507" i="1"/>
  <c r="K507" i="1"/>
  <c r="S507" i="1"/>
  <c r="T507" i="1"/>
  <c r="L761" i="1"/>
  <c r="P761" i="1"/>
  <c r="O761" i="1"/>
  <c r="S761" i="1"/>
  <c r="V761" i="1"/>
  <c r="M761" i="1"/>
  <c r="W761" i="1"/>
  <c r="R761" i="1"/>
  <c r="K761" i="1"/>
  <c r="Q761" i="1"/>
  <c r="X761" i="1"/>
  <c r="T761" i="1"/>
  <c r="U761" i="1"/>
  <c r="S669" i="1"/>
  <c r="O669" i="1"/>
  <c r="K669" i="1"/>
  <c r="V669" i="1"/>
  <c r="M669" i="1"/>
  <c r="W669" i="1"/>
  <c r="P669" i="1"/>
  <c r="Q669" i="1"/>
  <c r="X669" i="1"/>
  <c r="R669" i="1"/>
  <c r="L669" i="1"/>
  <c r="U669" i="1"/>
  <c r="T669" i="1"/>
  <c r="R186" i="1"/>
  <c r="T186" i="1"/>
  <c r="W186" i="1"/>
  <c r="V186" i="1"/>
  <c r="O186" i="1"/>
  <c r="K186" i="1"/>
  <c r="S186" i="1"/>
  <c r="L186" i="1"/>
  <c r="M186" i="1"/>
  <c r="X186" i="1"/>
  <c r="Q186" i="1"/>
  <c r="U186" i="1"/>
  <c r="P186" i="1"/>
  <c r="S258" i="1"/>
  <c r="O258" i="1"/>
  <c r="X258" i="1"/>
  <c r="M258" i="1"/>
  <c r="R258" i="1"/>
  <c r="L258" i="1"/>
  <c r="U258" i="1"/>
  <c r="V258" i="1"/>
  <c r="P258" i="1"/>
  <c r="Q258" i="1"/>
  <c r="K258" i="1"/>
  <c r="T258" i="1"/>
  <c r="W258" i="1"/>
  <c r="X671" i="1"/>
  <c r="M671" i="1"/>
  <c r="W671" i="1"/>
  <c r="P671" i="1"/>
  <c r="T671" i="1"/>
  <c r="K671" i="1"/>
  <c r="O671" i="1"/>
  <c r="S671" i="1"/>
  <c r="Q671" i="1"/>
  <c r="V671" i="1"/>
  <c r="R671" i="1"/>
  <c r="L671" i="1"/>
  <c r="U671" i="1"/>
  <c r="L243" i="1"/>
  <c r="M243" i="1"/>
  <c r="R243" i="1"/>
  <c r="V243" i="1"/>
  <c r="T243" i="1"/>
  <c r="U243" i="1"/>
  <c r="K243" i="1"/>
  <c r="S243" i="1"/>
  <c r="X243" i="1"/>
  <c r="W243" i="1"/>
  <c r="Q243" i="1"/>
  <c r="P243" i="1"/>
  <c r="O243" i="1"/>
  <c r="U407" i="1"/>
  <c r="O407" i="1"/>
  <c r="K407" i="1"/>
  <c r="V407" i="1"/>
  <c r="T407" i="1"/>
  <c r="M407" i="1"/>
  <c r="R407" i="1"/>
  <c r="L407" i="1"/>
  <c r="P407" i="1"/>
  <c r="S407" i="1"/>
  <c r="W407" i="1"/>
  <c r="Q407" i="1"/>
  <c r="X407" i="1"/>
  <c r="M846" i="1"/>
  <c r="V846" i="1"/>
  <c r="U846" i="1"/>
  <c r="O846" i="1"/>
  <c r="K846" i="1"/>
  <c r="X846" i="1"/>
  <c r="R846" i="1"/>
  <c r="L846" i="1"/>
  <c r="Q846" i="1"/>
  <c r="W846" i="1"/>
  <c r="P846" i="1"/>
  <c r="S846" i="1"/>
  <c r="T846" i="1"/>
  <c r="S976" i="1"/>
  <c r="M976" i="1"/>
  <c r="L976" i="1"/>
  <c r="W976" i="1"/>
  <c r="P976" i="1"/>
  <c r="U976" i="1"/>
  <c r="K976" i="1"/>
  <c r="X976" i="1"/>
  <c r="R976" i="1"/>
  <c r="Q976" i="1"/>
  <c r="V976" i="1"/>
  <c r="T976" i="1"/>
  <c r="O976" i="1"/>
  <c r="K343" i="1"/>
  <c r="V343" i="1"/>
  <c r="X343" i="1"/>
  <c r="L343" i="1"/>
  <c r="U343" i="1"/>
  <c r="P343" i="1"/>
  <c r="S343" i="1"/>
  <c r="O343" i="1"/>
  <c r="W343" i="1"/>
  <c r="Q343" i="1"/>
  <c r="M343" i="1"/>
  <c r="R343" i="1"/>
  <c r="T343" i="1"/>
  <c r="H43" i="1"/>
  <c r="M43" i="1"/>
  <c r="R43" i="1"/>
  <c r="X43" i="1"/>
  <c r="Q43" i="1"/>
  <c r="S43" i="1"/>
  <c r="W43" i="1"/>
  <c r="V43" i="1"/>
  <c r="P43" i="1"/>
  <c r="O43" i="1"/>
  <c r="K43" i="1"/>
  <c r="U43" i="1"/>
  <c r="L43" i="1"/>
  <c r="T43" i="1"/>
  <c r="R546" i="1"/>
  <c r="L546" i="1"/>
  <c r="P546" i="1"/>
  <c r="Q546" i="1"/>
  <c r="X546" i="1"/>
  <c r="M546" i="1"/>
  <c r="W546" i="1"/>
  <c r="T546" i="1"/>
  <c r="U546" i="1"/>
  <c r="S546" i="1"/>
  <c r="O546" i="1"/>
  <c r="K546" i="1"/>
  <c r="V546" i="1"/>
  <c r="S894" i="1"/>
  <c r="M894" i="1"/>
  <c r="Q894" i="1"/>
  <c r="W894" i="1"/>
  <c r="T894" i="1"/>
  <c r="P894" i="1"/>
  <c r="O894" i="1"/>
  <c r="K894" i="1"/>
  <c r="X894" i="1"/>
  <c r="R894" i="1"/>
  <c r="L894" i="1"/>
  <c r="V894" i="1"/>
  <c r="U894" i="1"/>
  <c r="L365" i="1"/>
  <c r="P365" i="1"/>
  <c r="T365" i="1"/>
  <c r="O365" i="1"/>
  <c r="S365" i="1"/>
  <c r="V365" i="1"/>
  <c r="R365" i="1"/>
  <c r="M365" i="1"/>
  <c r="U365" i="1"/>
  <c r="K365" i="1"/>
  <c r="W365" i="1"/>
  <c r="Q365" i="1"/>
  <c r="X365" i="1"/>
  <c r="K143" i="1"/>
  <c r="T143" i="1"/>
  <c r="V143" i="1"/>
  <c r="O143" i="1"/>
  <c r="S143" i="1"/>
  <c r="L143" i="1"/>
  <c r="M143" i="1"/>
  <c r="R143" i="1"/>
  <c r="X143" i="1"/>
  <c r="W143" i="1"/>
  <c r="Q143" i="1"/>
  <c r="P143" i="1"/>
  <c r="U143" i="1"/>
  <c r="R677" i="1"/>
  <c r="T677" i="1"/>
  <c r="K677" i="1"/>
  <c r="S677" i="1"/>
  <c r="O677" i="1"/>
  <c r="Q677" i="1"/>
  <c r="X677" i="1"/>
  <c r="W677" i="1"/>
  <c r="P677" i="1"/>
  <c r="V677" i="1"/>
  <c r="M677" i="1"/>
  <c r="L677" i="1"/>
  <c r="U677" i="1"/>
  <c r="P877" i="1"/>
  <c r="K877" i="1"/>
  <c r="O877" i="1"/>
  <c r="X877" i="1"/>
  <c r="L877" i="1"/>
  <c r="W877" i="1"/>
  <c r="T877" i="1"/>
  <c r="S877" i="1"/>
  <c r="R877" i="1"/>
  <c r="M877" i="1"/>
  <c r="Q877" i="1"/>
  <c r="V877" i="1"/>
  <c r="U877" i="1"/>
  <c r="W516" i="1"/>
  <c r="R516" i="1"/>
  <c r="L516" i="1"/>
  <c r="T516" i="1"/>
  <c r="O516" i="1"/>
  <c r="S516" i="1"/>
  <c r="Q516" i="1"/>
  <c r="V516" i="1"/>
  <c r="U516" i="1"/>
  <c r="K516" i="1"/>
  <c r="X516" i="1"/>
  <c r="M516" i="1"/>
  <c r="P516" i="1"/>
  <c r="X213" i="1"/>
  <c r="W213" i="1"/>
  <c r="P213" i="1"/>
  <c r="O213" i="1"/>
  <c r="S213" i="1"/>
  <c r="M213" i="1"/>
  <c r="R213" i="1"/>
  <c r="U213" i="1"/>
  <c r="T213" i="1"/>
  <c r="K213" i="1"/>
  <c r="L213" i="1"/>
  <c r="V213" i="1"/>
  <c r="Q213" i="1"/>
  <c r="L382" i="1"/>
  <c r="P382" i="1"/>
  <c r="K382" i="1"/>
  <c r="O382" i="1"/>
  <c r="W382" i="1"/>
  <c r="X382" i="1"/>
  <c r="M382" i="1"/>
  <c r="R382" i="1"/>
  <c r="S382" i="1"/>
  <c r="Q382" i="1"/>
  <c r="V382" i="1"/>
  <c r="U382" i="1"/>
  <c r="T382" i="1"/>
  <c r="W282" i="1"/>
  <c r="Q282" i="1"/>
  <c r="M282" i="1"/>
  <c r="L282" i="1"/>
  <c r="P282" i="1"/>
  <c r="O282" i="1"/>
  <c r="K282" i="1"/>
  <c r="V282" i="1"/>
  <c r="X282" i="1"/>
  <c r="R282" i="1"/>
  <c r="T282" i="1"/>
  <c r="U282" i="1"/>
  <c r="S282" i="1"/>
  <c r="K121" i="1"/>
  <c r="O121" i="1"/>
  <c r="S121" i="1"/>
  <c r="L121" i="1"/>
  <c r="R121" i="1"/>
  <c r="X121" i="1"/>
  <c r="W121" i="1"/>
  <c r="V121" i="1"/>
  <c r="Q121" i="1"/>
  <c r="T121" i="1"/>
  <c r="M121" i="1"/>
  <c r="P121" i="1"/>
  <c r="U121" i="1"/>
  <c r="R980" i="1"/>
  <c r="L980" i="1"/>
  <c r="Q980" i="1"/>
  <c r="W980" i="1"/>
  <c r="P980" i="1"/>
  <c r="U980" i="1"/>
  <c r="O980" i="1"/>
  <c r="S980" i="1"/>
  <c r="T980" i="1"/>
  <c r="M980" i="1"/>
  <c r="V980" i="1"/>
  <c r="K980" i="1"/>
  <c r="X980" i="1"/>
  <c r="K693" i="1"/>
  <c r="Q693" i="1"/>
  <c r="M693" i="1"/>
  <c r="L693" i="1"/>
  <c r="T693" i="1"/>
  <c r="P693" i="1"/>
  <c r="O693" i="1"/>
  <c r="V693" i="1"/>
  <c r="X693" i="1"/>
  <c r="W693" i="1"/>
  <c r="R693" i="1"/>
  <c r="U693" i="1"/>
  <c r="S693" i="1"/>
  <c r="K987" i="1"/>
  <c r="X987" i="1"/>
  <c r="W987" i="1"/>
  <c r="S987" i="1"/>
  <c r="O987" i="1"/>
  <c r="R987" i="1"/>
  <c r="M987" i="1"/>
  <c r="L987" i="1"/>
  <c r="Q987" i="1"/>
  <c r="V987" i="1"/>
  <c r="T987" i="1"/>
  <c r="U987" i="1"/>
  <c r="P987" i="1"/>
  <c r="S390" i="1"/>
  <c r="W390" i="1"/>
  <c r="V390" i="1"/>
  <c r="X390" i="1"/>
  <c r="R390" i="1"/>
  <c r="O390" i="1"/>
  <c r="Q390" i="1"/>
  <c r="M390" i="1"/>
  <c r="L390" i="1"/>
  <c r="P390" i="1"/>
  <c r="U390" i="1"/>
  <c r="T390" i="1"/>
  <c r="K390" i="1"/>
  <c r="S721" i="1"/>
  <c r="K721" i="1"/>
  <c r="Q721" i="1"/>
  <c r="V721" i="1"/>
  <c r="X721" i="1"/>
  <c r="M721" i="1"/>
  <c r="O721" i="1"/>
  <c r="W721" i="1"/>
  <c r="R721" i="1"/>
  <c r="L721" i="1"/>
  <c r="P721" i="1"/>
  <c r="U721" i="1"/>
  <c r="T721" i="1"/>
  <c r="L35" i="1"/>
  <c r="R35" i="1"/>
  <c r="V35" i="1"/>
  <c r="T35" i="1"/>
  <c r="O35" i="1"/>
  <c r="X35" i="1"/>
  <c r="Q35" i="1"/>
  <c r="U35" i="1"/>
  <c r="S35" i="1"/>
  <c r="K35" i="1"/>
  <c r="H35" i="1"/>
  <c r="M35" i="1"/>
  <c r="W35" i="1"/>
  <c r="P35" i="1"/>
  <c r="S427" i="1"/>
  <c r="W427" i="1"/>
  <c r="M427" i="1"/>
  <c r="U427" i="1"/>
  <c r="R427" i="1"/>
  <c r="L427" i="1"/>
  <c r="P427" i="1"/>
  <c r="K427" i="1"/>
  <c r="O427" i="1"/>
  <c r="Q427" i="1"/>
  <c r="V427" i="1"/>
  <c r="X427" i="1"/>
  <c r="T427" i="1"/>
  <c r="Q533" i="1"/>
  <c r="V533" i="1"/>
  <c r="X533" i="1"/>
  <c r="W533" i="1"/>
  <c r="S533" i="1"/>
  <c r="O533" i="1"/>
  <c r="M533" i="1"/>
  <c r="R533" i="1"/>
  <c r="L533" i="1"/>
  <c r="U533" i="1"/>
  <c r="T533" i="1"/>
  <c r="P533" i="1"/>
  <c r="K533" i="1"/>
  <c r="W219" i="1"/>
  <c r="V219" i="1"/>
  <c r="T219" i="1"/>
  <c r="K219" i="1"/>
  <c r="S219" i="1"/>
  <c r="M219" i="1"/>
  <c r="R219" i="1"/>
  <c r="U219" i="1"/>
  <c r="P219" i="1"/>
  <c r="O219" i="1"/>
  <c r="L219" i="1"/>
  <c r="X219" i="1"/>
  <c r="Q219" i="1"/>
  <c r="M803" i="1"/>
  <c r="Q803" i="1"/>
  <c r="V803" i="1"/>
  <c r="P803" i="1"/>
  <c r="T803" i="1"/>
  <c r="O803" i="1"/>
  <c r="X803" i="1"/>
  <c r="R803" i="1"/>
  <c r="U803" i="1"/>
  <c r="W803" i="1"/>
  <c r="S803" i="1"/>
  <c r="K803" i="1"/>
  <c r="L803" i="1"/>
  <c r="Q697" i="1"/>
  <c r="M697" i="1"/>
  <c r="W697" i="1"/>
  <c r="T697" i="1"/>
  <c r="U697" i="1"/>
  <c r="K697" i="1"/>
  <c r="O697" i="1"/>
  <c r="X697" i="1"/>
  <c r="R697" i="1"/>
  <c r="L697" i="1"/>
  <c r="P697" i="1"/>
  <c r="S697" i="1"/>
  <c r="V697" i="1"/>
  <c r="W324" i="1"/>
  <c r="L324" i="1"/>
  <c r="P324" i="1"/>
  <c r="T324" i="1"/>
  <c r="K324" i="1"/>
  <c r="S324" i="1"/>
  <c r="Q324" i="1"/>
  <c r="V324" i="1"/>
  <c r="X324" i="1"/>
  <c r="M324" i="1"/>
  <c r="R324" i="1"/>
  <c r="U324" i="1"/>
  <c r="O324" i="1"/>
  <c r="M879" i="1"/>
  <c r="Q879" i="1"/>
  <c r="U879" i="1"/>
  <c r="O879" i="1"/>
  <c r="K879" i="1"/>
  <c r="X879" i="1"/>
  <c r="W879" i="1"/>
  <c r="V879" i="1"/>
  <c r="P879" i="1"/>
  <c r="T879" i="1"/>
  <c r="S879" i="1"/>
  <c r="R879" i="1"/>
  <c r="L879" i="1"/>
  <c r="X108" i="1"/>
  <c r="Q108" i="1"/>
  <c r="T108" i="1"/>
  <c r="U108" i="1"/>
  <c r="P108" i="1"/>
  <c r="S108" i="1"/>
  <c r="R108" i="1"/>
  <c r="L108" i="1"/>
  <c r="M108" i="1"/>
  <c r="W108" i="1"/>
  <c r="V108" i="1"/>
  <c r="K108" i="1"/>
  <c r="O108" i="1"/>
  <c r="L9" i="1"/>
  <c r="K9" i="1"/>
  <c r="S9" i="1"/>
  <c r="V9" i="1"/>
  <c r="R9" i="1"/>
  <c r="P9" i="1"/>
  <c r="T9" i="1"/>
  <c r="U9" i="1"/>
  <c r="H9" i="1"/>
  <c r="O9" i="1"/>
  <c r="M9" i="1"/>
  <c r="X9" i="1"/>
  <c r="W9" i="1"/>
  <c r="Q9" i="1"/>
  <c r="X953" i="1"/>
  <c r="R953" i="1"/>
  <c r="W953" i="1"/>
  <c r="U953" i="1"/>
  <c r="T953" i="1"/>
  <c r="P953" i="1"/>
  <c r="O953" i="1"/>
  <c r="S953" i="1"/>
  <c r="M953" i="1"/>
  <c r="L953" i="1"/>
  <c r="Q953" i="1"/>
  <c r="V953" i="1"/>
  <c r="K953" i="1"/>
  <c r="O438" i="1"/>
  <c r="Q438" i="1"/>
  <c r="R438" i="1"/>
  <c r="L438" i="1"/>
  <c r="P438" i="1"/>
  <c r="U438" i="1"/>
  <c r="K438" i="1"/>
  <c r="S438" i="1"/>
  <c r="W438" i="1"/>
  <c r="V438" i="1"/>
  <c r="X438" i="1"/>
  <c r="M438" i="1"/>
  <c r="T438" i="1"/>
  <c r="X623" i="1"/>
  <c r="W623" i="1"/>
  <c r="L623" i="1"/>
  <c r="U623" i="1"/>
  <c r="T623" i="1"/>
  <c r="R623" i="1"/>
  <c r="P623" i="1"/>
  <c r="K623" i="1"/>
  <c r="O623" i="1"/>
  <c r="S623" i="1"/>
  <c r="Q623" i="1"/>
  <c r="V623" i="1"/>
  <c r="M623" i="1"/>
  <c r="K372" i="1"/>
  <c r="O372" i="1"/>
  <c r="Q372" i="1"/>
  <c r="R372" i="1"/>
  <c r="T372" i="1"/>
  <c r="P372" i="1"/>
  <c r="S372" i="1"/>
  <c r="W372" i="1"/>
  <c r="V372" i="1"/>
  <c r="X372" i="1"/>
  <c r="M372" i="1"/>
  <c r="L372" i="1"/>
  <c r="U372" i="1"/>
  <c r="P557" i="1"/>
  <c r="S557" i="1"/>
  <c r="V557" i="1"/>
  <c r="X557" i="1"/>
  <c r="M557" i="1"/>
  <c r="R557" i="1"/>
  <c r="U557" i="1"/>
  <c r="T557" i="1"/>
  <c r="K557" i="1"/>
  <c r="O557" i="1"/>
  <c r="Q557" i="1"/>
  <c r="W557" i="1"/>
  <c r="L557" i="1"/>
  <c r="O238" i="1"/>
  <c r="S238" i="1"/>
  <c r="K238" i="1"/>
  <c r="X238" i="1"/>
  <c r="V238" i="1"/>
  <c r="Q238" i="1"/>
  <c r="P238" i="1"/>
  <c r="L238" i="1"/>
  <c r="M238" i="1"/>
  <c r="R238" i="1"/>
  <c r="W238" i="1"/>
  <c r="U238" i="1"/>
  <c r="T238" i="1"/>
  <c r="S934" i="1"/>
  <c r="X934" i="1"/>
  <c r="Q934" i="1"/>
  <c r="W934" i="1"/>
  <c r="P934" i="1"/>
  <c r="U934" i="1"/>
  <c r="O934" i="1"/>
  <c r="K934" i="1"/>
  <c r="R934" i="1"/>
  <c r="M934" i="1"/>
  <c r="L934" i="1"/>
  <c r="V934" i="1"/>
  <c r="T934" i="1"/>
  <c r="R689" i="1"/>
  <c r="L689" i="1"/>
  <c r="K689" i="1"/>
  <c r="S689" i="1"/>
  <c r="O689" i="1"/>
  <c r="V689" i="1"/>
  <c r="X689" i="1"/>
  <c r="M689" i="1"/>
  <c r="T689" i="1"/>
  <c r="U689" i="1"/>
  <c r="P689" i="1"/>
  <c r="Q689" i="1"/>
  <c r="W689" i="1"/>
  <c r="O129" i="1"/>
  <c r="S129" i="1"/>
  <c r="W129" i="1"/>
  <c r="V129" i="1"/>
  <c r="Q129" i="1"/>
  <c r="P129" i="1"/>
  <c r="T129" i="1"/>
  <c r="K129" i="1"/>
  <c r="L129" i="1"/>
  <c r="M129" i="1"/>
  <c r="R129" i="1"/>
  <c r="X129" i="1"/>
  <c r="U129" i="1"/>
  <c r="V812" i="1"/>
  <c r="P812" i="1"/>
  <c r="O812" i="1"/>
  <c r="S812" i="1"/>
  <c r="K812" i="1"/>
  <c r="X812" i="1"/>
  <c r="M812" i="1"/>
  <c r="Q812" i="1"/>
  <c r="U812" i="1"/>
  <c r="R812" i="1"/>
  <c r="L812" i="1"/>
  <c r="W812" i="1"/>
  <c r="T812" i="1"/>
  <c r="O486" i="1"/>
  <c r="S486" i="1"/>
  <c r="W486" i="1"/>
  <c r="X486" i="1"/>
  <c r="M486" i="1"/>
  <c r="R486" i="1"/>
  <c r="L486" i="1"/>
  <c r="T486" i="1"/>
  <c r="K486" i="1"/>
  <c r="Q486" i="1"/>
  <c r="V486" i="1"/>
  <c r="P486" i="1"/>
  <c r="U486" i="1"/>
  <c r="L620" i="1"/>
  <c r="U620" i="1"/>
  <c r="P620" i="1"/>
  <c r="S620" i="1"/>
  <c r="Q620" i="1"/>
  <c r="V620" i="1"/>
  <c r="M620" i="1"/>
  <c r="W620" i="1"/>
  <c r="R620" i="1"/>
  <c r="T620" i="1"/>
  <c r="O620" i="1"/>
  <c r="K620" i="1"/>
  <c r="X620" i="1"/>
  <c r="V185" i="1"/>
  <c r="Q185" i="1"/>
  <c r="P185" i="1"/>
  <c r="U185" i="1"/>
  <c r="L185" i="1"/>
  <c r="M185" i="1"/>
  <c r="S185" i="1"/>
  <c r="R185" i="1"/>
  <c r="X185" i="1"/>
  <c r="W185" i="1"/>
  <c r="T185" i="1"/>
  <c r="K185" i="1"/>
  <c r="O185" i="1"/>
  <c r="K777" i="1"/>
  <c r="X777" i="1"/>
  <c r="R777" i="1"/>
  <c r="V777" i="1"/>
  <c r="T777" i="1"/>
  <c r="P777" i="1"/>
  <c r="S777" i="1"/>
  <c r="O777" i="1"/>
  <c r="M777" i="1"/>
  <c r="L777" i="1"/>
  <c r="Q777" i="1"/>
  <c r="W777" i="1"/>
  <c r="U777" i="1"/>
  <c r="W482" i="1"/>
  <c r="X482" i="1"/>
  <c r="P482" i="1"/>
  <c r="O482" i="1"/>
  <c r="S482" i="1"/>
  <c r="Q482" i="1"/>
  <c r="V482" i="1"/>
  <c r="M482" i="1"/>
  <c r="R482" i="1"/>
  <c r="L482" i="1"/>
  <c r="T482" i="1"/>
  <c r="K482" i="1"/>
  <c r="U482" i="1"/>
  <c r="X424" i="1"/>
  <c r="M424" i="1"/>
  <c r="R424" i="1"/>
  <c r="L424" i="1"/>
  <c r="S424" i="1"/>
  <c r="K424" i="1"/>
  <c r="W424" i="1"/>
  <c r="V424" i="1"/>
  <c r="T424" i="1"/>
  <c r="P424" i="1"/>
  <c r="O424" i="1"/>
  <c r="Q424" i="1"/>
  <c r="U424" i="1"/>
  <c r="R789" i="1"/>
  <c r="M789" i="1"/>
  <c r="L789" i="1"/>
  <c r="Q789" i="1"/>
  <c r="W789" i="1"/>
  <c r="T789" i="1"/>
  <c r="P789" i="1"/>
  <c r="S789" i="1"/>
  <c r="K789" i="1"/>
  <c r="O789" i="1"/>
  <c r="X789" i="1"/>
  <c r="V789" i="1"/>
  <c r="U789" i="1"/>
  <c r="L209" i="1"/>
  <c r="R209" i="1"/>
  <c r="V209" i="1"/>
  <c r="Q209" i="1"/>
  <c r="K209" i="1"/>
  <c r="S209" i="1"/>
  <c r="X209" i="1"/>
  <c r="W209" i="1"/>
  <c r="P209" i="1"/>
  <c r="U209" i="1"/>
  <c r="T209" i="1"/>
  <c r="O209" i="1"/>
  <c r="M209" i="1"/>
  <c r="W547" i="1"/>
  <c r="R547" i="1"/>
  <c r="T547" i="1"/>
  <c r="P547" i="1"/>
  <c r="K547" i="1"/>
  <c r="Q547" i="1"/>
  <c r="V547" i="1"/>
  <c r="X547" i="1"/>
  <c r="U547" i="1"/>
  <c r="S547" i="1"/>
  <c r="O547" i="1"/>
  <c r="M547" i="1"/>
  <c r="L547" i="1"/>
  <c r="P769" i="1"/>
  <c r="U769" i="1"/>
  <c r="T769" i="1"/>
  <c r="O769" i="1"/>
  <c r="X769" i="1"/>
  <c r="Q769" i="1"/>
  <c r="M769" i="1"/>
  <c r="L769" i="1"/>
  <c r="W769" i="1"/>
  <c r="V769" i="1"/>
  <c r="S769" i="1"/>
  <c r="K769" i="1"/>
  <c r="R769" i="1"/>
  <c r="X347" i="1"/>
  <c r="R347" i="1"/>
  <c r="P347" i="1"/>
  <c r="T347" i="1"/>
  <c r="O347" i="1"/>
  <c r="K347" i="1"/>
  <c r="S347" i="1"/>
  <c r="V347" i="1"/>
  <c r="U347" i="1"/>
  <c r="W347" i="1"/>
  <c r="Q347" i="1"/>
  <c r="M347" i="1"/>
  <c r="L347" i="1"/>
  <c r="U132" i="1"/>
  <c r="T132" i="1"/>
  <c r="P132" i="1"/>
  <c r="O132" i="1"/>
  <c r="R132" i="1"/>
  <c r="W132" i="1"/>
  <c r="V132" i="1"/>
  <c r="X132" i="1"/>
  <c r="Q132" i="1"/>
  <c r="S132" i="1"/>
  <c r="K132" i="1"/>
  <c r="L132" i="1"/>
  <c r="M132" i="1"/>
  <c r="K692" i="1"/>
  <c r="V692" i="1"/>
  <c r="M692" i="1"/>
  <c r="W692" i="1"/>
  <c r="L692" i="1"/>
  <c r="T692" i="1"/>
  <c r="P692" i="1"/>
  <c r="S692" i="1"/>
  <c r="Q692" i="1"/>
  <c r="X692" i="1"/>
  <c r="R692" i="1"/>
  <c r="U692" i="1"/>
  <c r="O692" i="1"/>
  <c r="K287" i="1"/>
  <c r="W287" i="1"/>
  <c r="Q287" i="1"/>
  <c r="V287" i="1"/>
  <c r="M287" i="1"/>
  <c r="R287" i="1"/>
  <c r="L287" i="1"/>
  <c r="S287" i="1"/>
  <c r="O287" i="1"/>
  <c r="X287" i="1"/>
  <c r="U287" i="1"/>
  <c r="T287" i="1"/>
  <c r="P287" i="1"/>
  <c r="X520" i="1"/>
  <c r="R520" i="1"/>
  <c r="L520" i="1"/>
  <c r="T520" i="1"/>
  <c r="S520" i="1"/>
  <c r="O520" i="1"/>
  <c r="V520" i="1"/>
  <c r="W520" i="1"/>
  <c r="P520" i="1"/>
  <c r="U520" i="1"/>
  <c r="K520" i="1"/>
  <c r="Q520" i="1"/>
  <c r="M520" i="1"/>
  <c r="X41" i="1"/>
  <c r="W41" i="1"/>
  <c r="Q41" i="1"/>
  <c r="T41" i="1"/>
  <c r="P41" i="1"/>
  <c r="O41" i="1"/>
  <c r="K41" i="1"/>
  <c r="H41" i="1"/>
  <c r="L41" i="1"/>
  <c r="M41" i="1"/>
  <c r="R41" i="1"/>
  <c r="S41" i="1"/>
  <c r="V41" i="1"/>
  <c r="U41" i="1"/>
  <c r="O979" i="1"/>
  <c r="K979" i="1"/>
  <c r="X979" i="1"/>
  <c r="M979" i="1"/>
  <c r="L979" i="1"/>
  <c r="T979" i="1"/>
  <c r="P979" i="1"/>
  <c r="S979" i="1"/>
  <c r="Q979" i="1"/>
  <c r="W979" i="1"/>
  <c r="V979" i="1"/>
  <c r="U979" i="1"/>
  <c r="R979" i="1"/>
  <c r="V857" i="1"/>
  <c r="U857" i="1"/>
  <c r="P857" i="1"/>
  <c r="S857" i="1"/>
  <c r="R857" i="1"/>
  <c r="L857" i="1"/>
  <c r="Q857" i="1"/>
  <c r="W857" i="1"/>
  <c r="T857" i="1"/>
  <c r="K857" i="1"/>
  <c r="O857" i="1"/>
  <c r="X857" i="1"/>
  <c r="M857" i="1"/>
  <c r="P40" i="1"/>
  <c r="O40" i="1"/>
  <c r="K40" i="1"/>
  <c r="X40" i="1"/>
  <c r="W40" i="1"/>
  <c r="V40" i="1"/>
  <c r="U40" i="1"/>
  <c r="S40" i="1"/>
  <c r="R40" i="1"/>
  <c r="H40" i="1"/>
  <c r="L40" i="1"/>
  <c r="M40" i="1"/>
  <c r="Q40" i="1"/>
  <c r="T40" i="1"/>
  <c r="Q293" i="1"/>
  <c r="V293" i="1"/>
  <c r="M293" i="1"/>
  <c r="P293" i="1"/>
  <c r="T293" i="1"/>
  <c r="U293" i="1"/>
  <c r="K293" i="1"/>
  <c r="S293" i="1"/>
  <c r="X293" i="1"/>
  <c r="R293" i="1"/>
  <c r="L293" i="1"/>
  <c r="O293" i="1"/>
  <c r="W293" i="1"/>
  <c r="O541" i="1"/>
  <c r="K541" i="1"/>
  <c r="S541" i="1"/>
  <c r="Q541" i="1"/>
  <c r="X541" i="1"/>
  <c r="W541" i="1"/>
  <c r="T541" i="1"/>
  <c r="U541" i="1"/>
  <c r="P541" i="1"/>
  <c r="V541" i="1"/>
  <c r="M541" i="1"/>
  <c r="R541" i="1"/>
  <c r="L541" i="1"/>
  <c r="R875" i="1"/>
  <c r="M875" i="1"/>
  <c r="L875" i="1"/>
  <c r="Q875" i="1"/>
  <c r="K875" i="1"/>
  <c r="O875" i="1"/>
  <c r="S875" i="1"/>
  <c r="X875" i="1"/>
  <c r="W875" i="1"/>
  <c r="P875" i="1"/>
  <c r="V875" i="1"/>
  <c r="U875" i="1"/>
  <c r="T875" i="1"/>
  <c r="M232" i="1"/>
  <c r="W232" i="1"/>
  <c r="Q232" i="1"/>
  <c r="U232" i="1"/>
  <c r="X232" i="1"/>
  <c r="V232" i="1"/>
  <c r="P232" i="1"/>
  <c r="O232" i="1"/>
  <c r="K232" i="1"/>
  <c r="S232" i="1"/>
  <c r="L232" i="1"/>
  <c r="R232" i="1"/>
  <c r="T232" i="1"/>
  <c r="O261" i="1"/>
  <c r="V261" i="1"/>
  <c r="L261" i="1"/>
  <c r="K261" i="1"/>
  <c r="S261" i="1"/>
  <c r="W261" i="1"/>
  <c r="Q261" i="1"/>
  <c r="X261" i="1"/>
  <c r="M261" i="1"/>
  <c r="R261" i="1"/>
  <c r="P261" i="1"/>
  <c r="T261" i="1"/>
  <c r="U261" i="1"/>
  <c r="K642" i="1"/>
  <c r="S642" i="1"/>
  <c r="Q642" i="1"/>
  <c r="V642" i="1"/>
  <c r="M642" i="1"/>
  <c r="W642" i="1"/>
  <c r="U642" i="1"/>
  <c r="O642" i="1"/>
  <c r="X642" i="1"/>
  <c r="R642" i="1"/>
  <c r="L642" i="1"/>
  <c r="T642" i="1"/>
  <c r="P642" i="1"/>
  <c r="V865" i="1"/>
  <c r="U865" i="1"/>
  <c r="T865" i="1"/>
  <c r="K865" i="1"/>
  <c r="M865" i="1"/>
  <c r="W865" i="1"/>
  <c r="R865" i="1"/>
  <c r="L865" i="1"/>
  <c r="Q865" i="1"/>
  <c r="P865" i="1"/>
  <c r="S865" i="1"/>
  <c r="O865" i="1"/>
  <c r="X865" i="1"/>
  <c r="S163" i="1"/>
  <c r="M163" i="1"/>
  <c r="R163" i="1"/>
  <c r="X163" i="1"/>
  <c r="W163" i="1"/>
  <c r="T163" i="1"/>
  <c r="O163" i="1"/>
  <c r="L163" i="1"/>
  <c r="V163" i="1"/>
  <c r="Q163" i="1"/>
  <c r="P163" i="1"/>
  <c r="U163" i="1"/>
  <c r="K163" i="1"/>
  <c r="M760" i="1"/>
  <c r="W760" i="1"/>
  <c r="R760" i="1"/>
  <c r="K760" i="1"/>
  <c r="Q760" i="1"/>
  <c r="V760" i="1"/>
  <c r="L760" i="1"/>
  <c r="P760" i="1"/>
  <c r="T760" i="1"/>
  <c r="U760" i="1"/>
  <c r="O760" i="1"/>
  <c r="S760" i="1"/>
  <c r="X760" i="1"/>
  <c r="X346" i="1"/>
  <c r="M346" i="1"/>
  <c r="L346" i="1"/>
  <c r="O346" i="1"/>
  <c r="K346" i="1"/>
  <c r="Q346" i="1"/>
  <c r="V346" i="1"/>
  <c r="T346" i="1"/>
  <c r="P346" i="1"/>
  <c r="S346" i="1"/>
  <c r="W346" i="1"/>
  <c r="R346" i="1"/>
  <c r="U346" i="1"/>
  <c r="L534" i="1"/>
  <c r="T534" i="1"/>
  <c r="U534" i="1"/>
  <c r="P534" i="1"/>
  <c r="Q534" i="1"/>
  <c r="O534" i="1"/>
  <c r="K534" i="1"/>
  <c r="V534" i="1"/>
  <c r="X534" i="1"/>
  <c r="M534" i="1"/>
  <c r="W534" i="1"/>
  <c r="R534" i="1"/>
  <c r="S534" i="1"/>
  <c r="P327" i="1"/>
  <c r="T327" i="1"/>
  <c r="O327" i="1"/>
  <c r="V327" i="1"/>
  <c r="X327" i="1"/>
  <c r="R327" i="1"/>
  <c r="L327" i="1"/>
  <c r="U327" i="1"/>
  <c r="K327" i="1"/>
  <c r="S327" i="1"/>
  <c r="W327" i="1"/>
  <c r="Q327" i="1"/>
  <c r="M327" i="1"/>
  <c r="L146" i="1"/>
  <c r="R146" i="1"/>
  <c r="W146" i="1"/>
  <c r="V146" i="1"/>
  <c r="Q146" i="1"/>
  <c r="U146" i="1"/>
  <c r="S146" i="1"/>
  <c r="O146" i="1"/>
  <c r="M146" i="1"/>
  <c r="X146" i="1"/>
  <c r="P146" i="1"/>
  <c r="T146" i="1"/>
  <c r="K146" i="1"/>
  <c r="S804" i="1"/>
  <c r="K804" i="1"/>
  <c r="R804" i="1"/>
  <c r="P804" i="1"/>
  <c r="T804" i="1"/>
  <c r="V804" i="1"/>
  <c r="U804" i="1"/>
  <c r="O804" i="1"/>
  <c r="X804" i="1"/>
  <c r="M804" i="1"/>
  <c r="L804" i="1"/>
  <c r="Q804" i="1"/>
  <c r="W804" i="1"/>
  <c r="X101" i="1"/>
  <c r="K101" i="1"/>
  <c r="R101" i="1"/>
  <c r="L101" i="1"/>
  <c r="M101" i="1"/>
  <c r="W101" i="1"/>
  <c r="V101" i="1"/>
  <c r="Q101" i="1"/>
  <c r="P101" i="1"/>
  <c r="O101" i="1"/>
  <c r="S101" i="1"/>
  <c r="T101" i="1"/>
  <c r="U101" i="1"/>
  <c r="S430" i="1"/>
  <c r="W430" i="1"/>
  <c r="Q430" i="1"/>
  <c r="X430" i="1"/>
  <c r="L430" i="1"/>
  <c r="T430" i="1"/>
  <c r="O430" i="1"/>
  <c r="V430" i="1"/>
  <c r="M430" i="1"/>
  <c r="R430" i="1"/>
  <c r="P430" i="1"/>
  <c r="U430" i="1"/>
  <c r="K430" i="1"/>
  <c r="O616" i="1"/>
  <c r="S616" i="1"/>
  <c r="K616" i="1"/>
  <c r="W616" i="1"/>
  <c r="R616" i="1"/>
  <c r="P616" i="1"/>
  <c r="Q616" i="1"/>
  <c r="V616" i="1"/>
  <c r="X616" i="1"/>
  <c r="M616" i="1"/>
  <c r="L616" i="1"/>
  <c r="U616" i="1"/>
  <c r="T616" i="1"/>
  <c r="K806" i="1"/>
  <c r="M806" i="1"/>
  <c r="Q806" i="1"/>
  <c r="V806" i="1"/>
  <c r="T806" i="1"/>
  <c r="S806" i="1"/>
  <c r="O806" i="1"/>
  <c r="X806" i="1"/>
  <c r="R806" i="1"/>
  <c r="L806" i="1"/>
  <c r="W806" i="1"/>
  <c r="U806" i="1"/>
  <c r="P806" i="1"/>
  <c r="K203" i="1"/>
  <c r="R203" i="1"/>
  <c r="Q203" i="1"/>
  <c r="T203" i="1"/>
  <c r="S203" i="1"/>
  <c r="O203" i="1"/>
  <c r="L203" i="1"/>
  <c r="M203" i="1"/>
  <c r="X203" i="1"/>
  <c r="W203" i="1"/>
  <c r="V203" i="1"/>
  <c r="U203" i="1"/>
  <c r="P203" i="1"/>
  <c r="X932" i="1"/>
  <c r="M932" i="1"/>
  <c r="Q932" i="1"/>
  <c r="T932" i="1"/>
  <c r="W932" i="1"/>
  <c r="V932" i="1"/>
  <c r="P932" i="1"/>
  <c r="O932" i="1"/>
  <c r="S932" i="1"/>
  <c r="K932" i="1"/>
  <c r="R932" i="1"/>
  <c r="L932" i="1"/>
  <c r="U932" i="1"/>
  <c r="U566" i="1"/>
  <c r="O566" i="1"/>
  <c r="K566" i="1"/>
  <c r="Q566" i="1"/>
  <c r="V566" i="1"/>
  <c r="M566" i="1"/>
  <c r="W566" i="1"/>
  <c r="S566" i="1"/>
  <c r="X566" i="1"/>
  <c r="R566" i="1"/>
  <c r="L566" i="1"/>
  <c r="P566" i="1"/>
  <c r="T566" i="1"/>
  <c r="V298" i="1"/>
  <c r="M298" i="1"/>
  <c r="R298" i="1"/>
  <c r="L298" i="1"/>
  <c r="T298" i="1"/>
  <c r="S298" i="1"/>
  <c r="O298" i="1"/>
  <c r="Q298" i="1"/>
  <c r="U298" i="1"/>
  <c r="P298" i="1"/>
  <c r="K298" i="1"/>
  <c r="W298" i="1"/>
  <c r="X298" i="1"/>
  <c r="O652" i="1"/>
  <c r="Q652" i="1"/>
  <c r="V652" i="1"/>
  <c r="M652" i="1"/>
  <c r="W652" i="1"/>
  <c r="R652" i="1"/>
  <c r="T652" i="1"/>
  <c r="S652" i="1"/>
  <c r="X652" i="1"/>
  <c r="L652" i="1"/>
  <c r="U652" i="1"/>
  <c r="P652" i="1"/>
  <c r="K652" i="1"/>
  <c r="O246" i="1"/>
  <c r="L246" i="1"/>
  <c r="R246" i="1"/>
  <c r="U246" i="1"/>
  <c r="S246" i="1"/>
  <c r="K246" i="1"/>
  <c r="M246" i="1"/>
  <c r="X246" i="1"/>
  <c r="W246" i="1"/>
  <c r="V246" i="1"/>
  <c r="Q246" i="1"/>
  <c r="T246" i="1"/>
  <c r="P246" i="1"/>
  <c r="S503" i="1"/>
  <c r="K503" i="1"/>
  <c r="O503" i="1"/>
  <c r="W503" i="1"/>
  <c r="X503" i="1"/>
  <c r="M503" i="1"/>
  <c r="L503" i="1"/>
  <c r="T503" i="1"/>
  <c r="Q503" i="1"/>
  <c r="V503" i="1"/>
  <c r="R503" i="1"/>
  <c r="U503" i="1"/>
  <c r="P503" i="1"/>
  <c r="O387" i="1"/>
  <c r="Q387" i="1"/>
  <c r="X387" i="1"/>
  <c r="M387" i="1"/>
  <c r="R387" i="1"/>
  <c r="L387" i="1"/>
  <c r="P387" i="1"/>
  <c r="S387" i="1"/>
  <c r="K387" i="1"/>
  <c r="W387" i="1"/>
  <c r="V387" i="1"/>
  <c r="U387" i="1"/>
  <c r="T387" i="1"/>
  <c r="K774" i="1"/>
  <c r="L774" i="1"/>
  <c r="W774" i="1"/>
  <c r="V774" i="1"/>
  <c r="U774" i="1"/>
  <c r="P774" i="1"/>
  <c r="T774" i="1"/>
  <c r="S774" i="1"/>
  <c r="O774" i="1"/>
  <c r="X774" i="1"/>
  <c r="R774" i="1"/>
  <c r="M774" i="1"/>
  <c r="Q774" i="1"/>
  <c r="S640" i="1"/>
  <c r="O640" i="1"/>
  <c r="X640" i="1"/>
  <c r="M640" i="1"/>
  <c r="W640" i="1"/>
  <c r="R640" i="1"/>
  <c r="T640" i="1"/>
  <c r="P640" i="1"/>
  <c r="K640" i="1"/>
  <c r="Q640" i="1"/>
  <c r="V640" i="1"/>
  <c r="L640" i="1"/>
  <c r="U640" i="1"/>
  <c r="O197" i="1"/>
  <c r="K197" i="1"/>
  <c r="X197" i="1"/>
  <c r="W197" i="1"/>
  <c r="V197" i="1"/>
  <c r="Q197" i="1"/>
  <c r="P197" i="1"/>
  <c r="T197" i="1"/>
  <c r="S197" i="1"/>
  <c r="L197" i="1"/>
  <c r="M197" i="1"/>
  <c r="R197" i="1"/>
  <c r="U197" i="1"/>
  <c r="Q423" i="1"/>
  <c r="X423" i="1"/>
  <c r="P423" i="1"/>
  <c r="T423" i="1"/>
  <c r="U423" i="1"/>
  <c r="O423" i="1"/>
  <c r="W423" i="1"/>
  <c r="V423" i="1"/>
  <c r="M423" i="1"/>
  <c r="R423" i="1"/>
  <c r="L423" i="1"/>
  <c r="K423" i="1"/>
  <c r="S423" i="1"/>
  <c r="U537" i="1"/>
  <c r="O537" i="1"/>
  <c r="S537" i="1"/>
  <c r="K537" i="1"/>
  <c r="Q537" i="1"/>
  <c r="W537" i="1"/>
  <c r="R537" i="1"/>
  <c r="L537" i="1"/>
  <c r="T537" i="1"/>
  <c r="V537" i="1"/>
  <c r="X537" i="1"/>
  <c r="M537" i="1"/>
  <c r="P537" i="1"/>
  <c r="X991" i="1"/>
  <c r="Q991" i="1"/>
  <c r="P991" i="1"/>
  <c r="U991" i="1"/>
  <c r="O991" i="1"/>
  <c r="S991" i="1"/>
  <c r="M991" i="1"/>
  <c r="L991" i="1"/>
  <c r="W991" i="1"/>
  <c r="V991" i="1"/>
  <c r="T991" i="1"/>
  <c r="K991" i="1"/>
  <c r="R991" i="1"/>
  <c r="M145" i="1"/>
  <c r="X145" i="1"/>
  <c r="W145" i="1"/>
  <c r="Q145" i="1"/>
  <c r="S145" i="1"/>
  <c r="K145" i="1"/>
  <c r="O145" i="1"/>
  <c r="L145" i="1"/>
  <c r="T145" i="1"/>
  <c r="P145" i="1"/>
  <c r="R145" i="1"/>
  <c r="V145" i="1"/>
  <c r="U145" i="1"/>
  <c r="S856" i="1"/>
  <c r="X856" i="1"/>
  <c r="M856" i="1"/>
  <c r="Q856" i="1"/>
  <c r="W856" i="1"/>
  <c r="T856" i="1"/>
  <c r="O856" i="1"/>
  <c r="K856" i="1"/>
  <c r="R856" i="1"/>
  <c r="L856" i="1"/>
  <c r="V856" i="1"/>
  <c r="U856" i="1"/>
  <c r="P856" i="1"/>
  <c r="M172" i="1"/>
  <c r="R172" i="1"/>
  <c r="W172" i="1"/>
  <c r="Q172" i="1"/>
  <c r="P172" i="1"/>
  <c r="O172" i="1"/>
  <c r="S172" i="1"/>
  <c r="L172" i="1"/>
  <c r="U172" i="1"/>
  <c r="T172" i="1"/>
  <c r="K172" i="1"/>
  <c r="X172" i="1"/>
  <c r="V172" i="1"/>
  <c r="T274" i="1"/>
  <c r="S274" i="1"/>
  <c r="W274" i="1"/>
  <c r="Q274" i="1"/>
  <c r="V274" i="1"/>
  <c r="X274" i="1"/>
  <c r="M274" i="1"/>
  <c r="O274" i="1"/>
  <c r="K274" i="1"/>
  <c r="P274" i="1"/>
  <c r="U274" i="1"/>
  <c r="R274" i="1"/>
  <c r="L274" i="1"/>
  <c r="W691" i="1"/>
  <c r="L691" i="1"/>
  <c r="T691" i="1"/>
  <c r="O691" i="1"/>
  <c r="K691" i="1"/>
  <c r="S691" i="1"/>
  <c r="V691" i="1"/>
  <c r="X691" i="1"/>
  <c r="Q691" i="1"/>
  <c r="M691" i="1"/>
  <c r="R691" i="1"/>
  <c r="P691" i="1"/>
  <c r="U691" i="1"/>
  <c r="O707" i="1"/>
  <c r="V707" i="1"/>
  <c r="M707" i="1"/>
  <c r="P707" i="1"/>
  <c r="U707" i="1"/>
  <c r="S707" i="1"/>
  <c r="K707" i="1"/>
  <c r="W707" i="1"/>
  <c r="R707" i="1"/>
  <c r="L707" i="1"/>
  <c r="T707" i="1"/>
  <c r="Q707" i="1"/>
  <c r="X707" i="1"/>
  <c r="O459" i="1"/>
  <c r="K459" i="1"/>
  <c r="X459" i="1"/>
  <c r="U459" i="1"/>
  <c r="T459" i="1"/>
  <c r="P459" i="1"/>
  <c r="S459" i="1"/>
  <c r="W459" i="1"/>
  <c r="Q459" i="1"/>
  <c r="V459" i="1"/>
  <c r="M459" i="1"/>
  <c r="R459" i="1"/>
  <c r="L459" i="1"/>
  <c r="O818" i="1"/>
  <c r="S818" i="1"/>
  <c r="R818" i="1"/>
  <c r="M818" i="1"/>
  <c r="W818" i="1"/>
  <c r="P818" i="1"/>
  <c r="K818" i="1"/>
  <c r="X818" i="1"/>
  <c r="L818" i="1"/>
  <c r="Q818" i="1"/>
  <c r="V818" i="1"/>
  <c r="T818" i="1"/>
  <c r="U818" i="1"/>
  <c r="K42" i="1"/>
  <c r="S42" i="1"/>
  <c r="T42" i="1"/>
  <c r="O42" i="1"/>
  <c r="L42" i="1"/>
  <c r="M42" i="1"/>
  <c r="W42" i="1"/>
  <c r="P42" i="1"/>
  <c r="X42" i="1"/>
  <c r="V42" i="1"/>
  <c r="Q42" i="1"/>
  <c r="U42" i="1"/>
  <c r="H42" i="1"/>
  <c r="R42" i="1"/>
  <c r="X801" i="1"/>
  <c r="M801" i="1"/>
  <c r="Q801" i="1"/>
  <c r="U801" i="1"/>
  <c r="S801" i="1"/>
  <c r="O801" i="1"/>
  <c r="L801" i="1"/>
  <c r="W801" i="1"/>
  <c r="V801" i="1"/>
  <c r="T801" i="1"/>
  <c r="P801" i="1"/>
  <c r="K801" i="1"/>
  <c r="R801" i="1"/>
  <c r="U259" i="1"/>
  <c r="O259" i="1"/>
  <c r="K259" i="1"/>
  <c r="Q259" i="1"/>
  <c r="V259" i="1"/>
  <c r="X259" i="1"/>
  <c r="L259" i="1"/>
  <c r="S259" i="1"/>
  <c r="W259" i="1"/>
  <c r="M259" i="1"/>
  <c r="R259" i="1"/>
  <c r="T259" i="1"/>
  <c r="P259" i="1"/>
  <c r="M51" i="1"/>
  <c r="R51" i="1"/>
  <c r="W51" i="1"/>
  <c r="T51" i="1"/>
  <c r="S51" i="1"/>
  <c r="O51" i="1"/>
  <c r="Q51" i="1"/>
  <c r="X51" i="1"/>
  <c r="V51" i="1"/>
  <c r="H51" i="1"/>
  <c r="L51" i="1"/>
  <c r="P51" i="1"/>
  <c r="K51" i="1"/>
  <c r="U51" i="1"/>
  <c r="S585" i="1"/>
  <c r="K585" i="1"/>
  <c r="Q585" i="1"/>
  <c r="V585" i="1"/>
  <c r="X585" i="1"/>
  <c r="W585" i="1"/>
  <c r="R585" i="1"/>
  <c r="P585" i="1"/>
  <c r="U585" i="1"/>
  <c r="O585" i="1"/>
  <c r="M585" i="1"/>
  <c r="L585" i="1"/>
  <c r="T585" i="1"/>
  <c r="W475" i="1"/>
  <c r="Q475" i="1"/>
  <c r="V475" i="1"/>
  <c r="P475" i="1"/>
  <c r="U475" i="1"/>
  <c r="R475" i="1"/>
  <c r="L475" i="1"/>
  <c r="T475" i="1"/>
  <c r="O475" i="1"/>
  <c r="S475" i="1"/>
  <c r="K475" i="1"/>
  <c r="X475" i="1"/>
  <c r="M475" i="1"/>
  <c r="V764" i="1"/>
  <c r="M764" i="1"/>
  <c r="U764" i="1"/>
  <c r="T764" i="1"/>
  <c r="S764" i="1"/>
  <c r="O764" i="1"/>
  <c r="K764" i="1"/>
  <c r="R764" i="1"/>
  <c r="L764" i="1"/>
  <c r="P764" i="1"/>
  <c r="Q764" i="1"/>
  <c r="X764" i="1"/>
  <c r="W764" i="1"/>
  <c r="O171" i="1"/>
  <c r="M171" i="1"/>
  <c r="R171" i="1"/>
  <c r="V171" i="1"/>
  <c r="T171" i="1"/>
  <c r="P171" i="1"/>
  <c r="S171" i="1"/>
  <c r="K171" i="1"/>
  <c r="L171" i="1"/>
  <c r="X171" i="1"/>
  <c r="W171" i="1"/>
  <c r="Q171" i="1"/>
  <c r="U171" i="1"/>
  <c r="X902" i="1"/>
  <c r="R902" i="1"/>
  <c r="P902" i="1"/>
  <c r="U902" i="1"/>
  <c r="K902" i="1"/>
  <c r="S902" i="1"/>
  <c r="L902" i="1"/>
  <c r="Q902" i="1"/>
  <c r="W902" i="1"/>
  <c r="V902" i="1"/>
  <c r="T902" i="1"/>
  <c r="O902" i="1"/>
  <c r="M902" i="1"/>
  <c r="L989" i="1"/>
  <c r="Q989" i="1"/>
  <c r="W989" i="1"/>
  <c r="P989" i="1"/>
  <c r="T989" i="1"/>
  <c r="O989" i="1"/>
  <c r="K989" i="1"/>
  <c r="M989" i="1"/>
  <c r="U989" i="1"/>
  <c r="V989" i="1"/>
  <c r="S989" i="1"/>
  <c r="X989" i="1"/>
  <c r="R989" i="1"/>
  <c r="K190" i="1"/>
  <c r="O190" i="1"/>
  <c r="L190" i="1"/>
  <c r="R190" i="1"/>
  <c r="X190" i="1"/>
  <c r="V190" i="1"/>
  <c r="Q190" i="1"/>
  <c r="U190" i="1"/>
  <c r="S190" i="1"/>
  <c r="M190" i="1"/>
  <c r="W190" i="1"/>
  <c r="T190" i="1"/>
  <c r="P190" i="1"/>
  <c r="W328" i="1"/>
  <c r="Q328" i="1"/>
  <c r="X328" i="1"/>
  <c r="T328" i="1"/>
  <c r="U328" i="1"/>
  <c r="R328" i="1"/>
  <c r="L328" i="1"/>
  <c r="P328" i="1"/>
  <c r="K328" i="1"/>
  <c r="O328" i="1"/>
  <c r="S328" i="1"/>
  <c r="V328" i="1"/>
  <c r="M328" i="1"/>
  <c r="T736" i="1"/>
  <c r="K736" i="1"/>
  <c r="Q736" i="1"/>
  <c r="W736" i="1"/>
  <c r="R736" i="1"/>
  <c r="M736" i="1"/>
  <c r="L736" i="1"/>
  <c r="P736" i="1"/>
  <c r="U736" i="1"/>
  <c r="O736" i="1"/>
  <c r="S736" i="1"/>
  <c r="V736" i="1"/>
  <c r="X736" i="1"/>
  <c r="S65" i="1"/>
  <c r="L65" i="1"/>
  <c r="R65" i="1"/>
  <c r="W65" i="1"/>
  <c r="V65" i="1"/>
  <c r="Q65" i="1"/>
  <c r="O65" i="1"/>
  <c r="K65" i="1"/>
  <c r="U65" i="1"/>
  <c r="T65" i="1"/>
  <c r="P65" i="1"/>
  <c r="M65" i="1"/>
  <c r="X65" i="1"/>
  <c r="O283" i="1"/>
  <c r="W283" i="1"/>
  <c r="X283" i="1"/>
  <c r="M283" i="1"/>
  <c r="R283" i="1"/>
  <c r="L283" i="1"/>
  <c r="K283" i="1"/>
  <c r="Q283" i="1"/>
  <c r="V283" i="1"/>
  <c r="T283" i="1"/>
  <c r="U283" i="1"/>
  <c r="P283" i="1"/>
  <c r="S283" i="1"/>
  <c r="S898" i="1"/>
  <c r="K898" i="1"/>
  <c r="T898" i="1"/>
  <c r="V898" i="1"/>
  <c r="O898" i="1"/>
  <c r="X898" i="1"/>
  <c r="R898" i="1"/>
  <c r="M898" i="1"/>
  <c r="L898" i="1"/>
  <c r="Q898" i="1"/>
  <c r="W898" i="1"/>
  <c r="P898" i="1"/>
  <c r="U898" i="1"/>
  <c r="X619" i="1"/>
  <c r="R619" i="1"/>
  <c r="L619" i="1"/>
  <c r="T619" i="1"/>
  <c r="K619" i="1"/>
  <c r="Q619" i="1"/>
  <c r="V619" i="1"/>
  <c r="M619" i="1"/>
  <c r="W619" i="1"/>
  <c r="U619" i="1"/>
  <c r="P619" i="1"/>
  <c r="S619" i="1"/>
  <c r="O619" i="1"/>
  <c r="U235" i="1"/>
  <c r="P235" i="1"/>
  <c r="K235" i="1"/>
  <c r="L235" i="1"/>
  <c r="M235" i="1"/>
  <c r="R235" i="1"/>
  <c r="X235" i="1"/>
  <c r="W235" i="1"/>
  <c r="S235" i="1"/>
  <c r="O235" i="1"/>
  <c r="V235" i="1"/>
  <c r="Q235" i="1"/>
  <c r="T235" i="1"/>
  <c r="K663" i="1"/>
  <c r="S663" i="1"/>
  <c r="Q663" i="1"/>
  <c r="V663" i="1"/>
  <c r="X663" i="1"/>
  <c r="M663" i="1"/>
  <c r="U663" i="1"/>
  <c r="P663" i="1"/>
  <c r="O663" i="1"/>
  <c r="W663" i="1"/>
  <c r="R663" i="1"/>
  <c r="L663" i="1"/>
  <c r="T663" i="1"/>
  <c r="U415" i="1"/>
  <c r="T415" i="1"/>
  <c r="K415" i="1"/>
  <c r="W415" i="1"/>
  <c r="X415" i="1"/>
  <c r="V415" i="1"/>
  <c r="M415" i="1"/>
  <c r="R415" i="1"/>
  <c r="L415" i="1"/>
  <c r="P415" i="1"/>
  <c r="O415" i="1"/>
  <c r="S415" i="1"/>
  <c r="Q415" i="1"/>
  <c r="Q954" i="1"/>
  <c r="V954" i="1"/>
  <c r="U954" i="1"/>
  <c r="O954" i="1"/>
  <c r="R954" i="1"/>
  <c r="X954" i="1"/>
  <c r="M954" i="1"/>
  <c r="L954" i="1"/>
  <c r="W954" i="1"/>
  <c r="P954" i="1"/>
  <c r="T954" i="1"/>
  <c r="S954" i="1"/>
  <c r="K954" i="1"/>
  <c r="O485" i="1"/>
  <c r="W485" i="1"/>
  <c r="Q485" i="1"/>
  <c r="V485" i="1"/>
  <c r="X485" i="1"/>
  <c r="T485" i="1"/>
  <c r="S485" i="1"/>
  <c r="M485" i="1"/>
  <c r="R485" i="1"/>
  <c r="L485" i="1"/>
  <c r="U485" i="1"/>
  <c r="P485" i="1"/>
  <c r="K485" i="1"/>
  <c r="W848" i="1"/>
  <c r="S848" i="1"/>
  <c r="O848" i="1"/>
  <c r="X848" i="1"/>
  <c r="R848" i="1"/>
  <c r="L848" i="1"/>
  <c r="Q848" i="1"/>
  <c r="K848" i="1"/>
  <c r="M848" i="1"/>
  <c r="V848" i="1"/>
  <c r="T848" i="1"/>
  <c r="U848" i="1"/>
  <c r="P848" i="1"/>
  <c r="Q82" i="1"/>
  <c r="U82" i="1"/>
  <c r="T82" i="1"/>
  <c r="S82" i="1"/>
  <c r="X82" i="1"/>
  <c r="L82" i="1"/>
  <c r="M82" i="1"/>
  <c r="R82" i="1"/>
  <c r="W82" i="1"/>
  <c r="V82" i="1"/>
  <c r="P82" i="1"/>
  <c r="K82" i="1"/>
  <c r="O82" i="1"/>
  <c r="Q654" i="1"/>
  <c r="V654" i="1"/>
  <c r="M654" i="1"/>
  <c r="L654" i="1"/>
  <c r="U654" i="1"/>
  <c r="P654" i="1"/>
  <c r="K654" i="1"/>
  <c r="O654" i="1"/>
  <c r="X654" i="1"/>
  <c r="W654" i="1"/>
  <c r="R654" i="1"/>
  <c r="T654" i="1"/>
  <c r="S654" i="1"/>
  <c r="W413" i="1"/>
  <c r="Q413" i="1"/>
  <c r="V413" i="1"/>
  <c r="X413" i="1"/>
  <c r="M413" i="1"/>
  <c r="L413" i="1"/>
  <c r="S413" i="1"/>
  <c r="O413" i="1"/>
  <c r="P413" i="1"/>
  <c r="T413" i="1"/>
  <c r="U413" i="1"/>
  <c r="K413" i="1"/>
  <c r="R413" i="1"/>
  <c r="X78" i="1"/>
  <c r="W78" i="1"/>
  <c r="V78" i="1"/>
  <c r="Q78" i="1"/>
  <c r="K78" i="1"/>
  <c r="S78" i="1"/>
  <c r="L78" i="1"/>
  <c r="U78" i="1"/>
  <c r="T78" i="1"/>
  <c r="P78" i="1"/>
  <c r="O78" i="1"/>
  <c r="M78" i="1"/>
  <c r="R78" i="1"/>
  <c r="U514" i="1"/>
  <c r="K514" i="1"/>
  <c r="W514" i="1"/>
  <c r="Q514" i="1"/>
  <c r="V514" i="1"/>
  <c r="X514" i="1"/>
  <c r="M514" i="1"/>
  <c r="R514" i="1"/>
  <c r="L514" i="1"/>
  <c r="O514" i="1"/>
  <c r="S514" i="1"/>
  <c r="T514" i="1"/>
  <c r="P514" i="1"/>
  <c r="R487" i="1"/>
  <c r="P487" i="1"/>
  <c r="S487" i="1"/>
  <c r="O487" i="1"/>
  <c r="W487" i="1"/>
  <c r="X487" i="1"/>
  <c r="M487" i="1"/>
  <c r="L487" i="1"/>
  <c r="T487" i="1"/>
  <c r="U487" i="1"/>
  <c r="K487" i="1"/>
  <c r="Q487" i="1"/>
  <c r="V487" i="1"/>
  <c r="S918" i="1"/>
  <c r="W918" i="1"/>
  <c r="V918" i="1"/>
  <c r="P918" i="1"/>
  <c r="U918" i="1"/>
  <c r="L918" i="1"/>
  <c r="Q918" i="1"/>
  <c r="T918" i="1"/>
  <c r="O918" i="1"/>
  <c r="K918" i="1"/>
  <c r="X918" i="1"/>
  <c r="R918" i="1"/>
  <c r="M918" i="1"/>
  <c r="W53" i="1"/>
  <c r="V53" i="1"/>
  <c r="T53" i="1"/>
  <c r="K53" i="1"/>
  <c r="H53" i="1"/>
  <c r="S53" i="1"/>
  <c r="L53" i="1"/>
  <c r="Q53" i="1"/>
  <c r="P53" i="1"/>
  <c r="O53" i="1"/>
  <c r="M53" i="1"/>
  <c r="R53" i="1"/>
  <c r="X53" i="1"/>
  <c r="U53" i="1"/>
  <c r="U593" i="1"/>
  <c r="O593" i="1"/>
  <c r="S593" i="1"/>
  <c r="V593" i="1"/>
  <c r="X593" i="1"/>
  <c r="M593" i="1"/>
  <c r="P593" i="1"/>
  <c r="T593" i="1"/>
  <c r="K593" i="1"/>
  <c r="Q593" i="1"/>
  <c r="W593" i="1"/>
  <c r="R593" i="1"/>
  <c r="L593" i="1"/>
  <c r="L737" i="1"/>
  <c r="P737" i="1"/>
  <c r="S737" i="1"/>
  <c r="K737" i="1"/>
  <c r="O737" i="1"/>
  <c r="M737" i="1"/>
  <c r="R737" i="1"/>
  <c r="U737" i="1"/>
  <c r="T737" i="1"/>
  <c r="Q737" i="1"/>
  <c r="V737" i="1"/>
  <c r="X737" i="1"/>
  <c r="W737" i="1"/>
  <c r="Q348" i="1"/>
  <c r="M348" i="1"/>
  <c r="P348" i="1"/>
  <c r="U348" i="1"/>
  <c r="T348" i="1"/>
  <c r="X348" i="1"/>
  <c r="R348" i="1"/>
  <c r="L348" i="1"/>
  <c r="K348" i="1"/>
  <c r="O348" i="1"/>
  <c r="S348" i="1"/>
  <c r="W348" i="1"/>
  <c r="V348" i="1"/>
  <c r="W239" i="1"/>
  <c r="V239" i="1"/>
  <c r="P239" i="1"/>
  <c r="O239" i="1"/>
  <c r="M239" i="1"/>
  <c r="X239" i="1"/>
  <c r="R239" i="1"/>
  <c r="Q239" i="1"/>
  <c r="U239" i="1"/>
  <c r="T239" i="1"/>
  <c r="K239" i="1"/>
  <c r="S239" i="1"/>
  <c r="L239" i="1"/>
  <c r="S960" i="1"/>
  <c r="X960" i="1"/>
  <c r="L960" i="1"/>
  <c r="V960" i="1"/>
  <c r="T960" i="1"/>
  <c r="P960" i="1"/>
  <c r="K960" i="1"/>
  <c r="O960" i="1"/>
  <c r="R960" i="1"/>
  <c r="M960" i="1"/>
  <c r="Q960" i="1"/>
  <c r="W960" i="1"/>
  <c r="U960" i="1"/>
  <c r="M900" i="1"/>
  <c r="Q900" i="1"/>
  <c r="W900" i="1"/>
  <c r="T900" i="1"/>
  <c r="R900" i="1"/>
  <c r="L900" i="1"/>
  <c r="V900" i="1"/>
  <c r="P900" i="1"/>
  <c r="O900" i="1"/>
  <c r="K900" i="1"/>
  <c r="S900" i="1"/>
  <c r="X900" i="1"/>
  <c r="U900" i="1"/>
  <c r="O496" i="1"/>
  <c r="X496" i="1"/>
  <c r="L496" i="1"/>
  <c r="P496" i="1"/>
  <c r="V496" i="1"/>
  <c r="M496" i="1"/>
  <c r="R496" i="1"/>
  <c r="U496" i="1"/>
  <c r="S496" i="1"/>
  <c r="K496" i="1"/>
  <c r="W496" i="1"/>
  <c r="Q496" i="1"/>
  <c r="T496" i="1"/>
  <c r="S612" i="1"/>
  <c r="K612" i="1"/>
  <c r="W612" i="1"/>
  <c r="R612" i="1"/>
  <c r="L612" i="1"/>
  <c r="T612" i="1"/>
  <c r="P612" i="1"/>
  <c r="O612" i="1"/>
  <c r="Q612" i="1"/>
  <c r="V612" i="1"/>
  <c r="X612" i="1"/>
  <c r="M612" i="1"/>
  <c r="U612" i="1"/>
  <c r="X1" i="1"/>
  <c r="P1" i="1"/>
  <c r="V1" i="1"/>
  <c r="C1" i="1"/>
  <c r="L1" i="1"/>
  <c r="J1" i="1"/>
  <c r="K597" i="1"/>
  <c r="V597" i="1"/>
  <c r="X597" i="1"/>
  <c r="M597" i="1"/>
  <c r="W597" i="1"/>
  <c r="P597" i="1"/>
  <c r="U597" i="1"/>
  <c r="O597" i="1"/>
  <c r="S597" i="1"/>
  <c r="Q597" i="1"/>
  <c r="R597" i="1"/>
  <c r="L597" i="1"/>
  <c r="T597" i="1"/>
  <c r="K84" i="1"/>
  <c r="O84" i="1"/>
  <c r="L84" i="1"/>
  <c r="M84" i="1"/>
  <c r="R84" i="1"/>
  <c r="X84" i="1"/>
  <c r="W84" i="1"/>
  <c r="V84" i="1"/>
  <c r="Q84" i="1"/>
  <c r="P84" i="1"/>
  <c r="U84" i="1"/>
  <c r="T84" i="1"/>
  <c r="S84" i="1"/>
  <c r="S333" i="1"/>
  <c r="O333" i="1"/>
  <c r="K333" i="1"/>
  <c r="Q333" i="1"/>
  <c r="X333" i="1"/>
  <c r="M333" i="1"/>
  <c r="L333" i="1"/>
  <c r="P333" i="1"/>
  <c r="W333" i="1"/>
  <c r="V333" i="1"/>
  <c r="R333" i="1"/>
  <c r="T333" i="1"/>
  <c r="U333" i="1"/>
  <c r="W866" i="1"/>
  <c r="V866" i="1"/>
  <c r="U866" i="1"/>
  <c r="O866" i="1"/>
  <c r="S866" i="1"/>
  <c r="X866" i="1"/>
  <c r="M866" i="1"/>
  <c r="P866" i="1"/>
  <c r="T866" i="1"/>
  <c r="K866" i="1"/>
  <c r="R866" i="1"/>
  <c r="L866" i="1"/>
  <c r="Q866" i="1"/>
  <c r="K577" i="1"/>
  <c r="V577" i="1"/>
  <c r="W577" i="1"/>
  <c r="R577" i="1"/>
  <c r="U577" i="1"/>
  <c r="P577" i="1"/>
  <c r="T577" i="1"/>
  <c r="S577" i="1"/>
  <c r="O577" i="1"/>
  <c r="Q577" i="1"/>
  <c r="X577" i="1"/>
  <c r="M577" i="1"/>
  <c r="L577" i="1"/>
  <c r="O461" i="1"/>
  <c r="K461" i="1"/>
  <c r="Q461" i="1"/>
  <c r="V461" i="1"/>
  <c r="M461" i="1"/>
  <c r="T461" i="1"/>
  <c r="U461" i="1"/>
  <c r="S461" i="1"/>
  <c r="W461" i="1"/>
  <c r="X461" i="1"/>
  <c r="R461" i="1"/>
  <c r="L461" i="1"/>
  <c r="P461" i="1"/>
  <c r="W1000" i="1"/>
  <c r="U1000" i="1"/>
  <c r="P1000" i="1"/>
  <c r="O1000" i="1"/>
  <c r="L1000" i="1"/>
  <c r="X1000" i="1"/>
  <c r="R1000" i="1"/>
  <c r="M1000" i="1"/>
  <c r="Q1000" i="1"/>
  <c r="V1000" i="1"/>
  <c r="T1000" i="1"/>
  <c r="K1000" i="1"/>
  <c r="S1000" i="1"/>
  <c r="V107" i="1"/>
  <c r="U107" i="1"/>
  <c r="P107" i="1"/>
  <c r="K107" i="1"/>
  <c r="M107" i="1"/>
  <c r="L107" i="1"/>
  <c r="R107" i="1"/>
  <c r="X107" i="1"/>
  <c r="W107" i="1"/>
  <c r="Q107" i="1"/>
  <c r="T107" i="1"/>
  <c r="S107" i="1"/>
  <c r="O107" i="1"/>
  <c r="S631" i="1"/>
  <c r="O631" i="1"/>
  <c r="M631" i="1"/>
  <c r="W631" i="1"/>
  <c r="T631" i="1"/>
  <c r="P631" i="1"/>
  <c r="K631" i="1"/>
  <c r="Q631" i="1"/>
  <c r="V631" i="1"/>
  <c r="X631" i="1"/>
  <c r="R631" i="1"/>
  <c r="L631" i="1"/>
  <c r="U631" i="1"/>
  <c r="X221" i="1"/>
  <c r="Q221" i="1"/>
  <c r="T221" i="1"/>
  <c r="U221" i="1"/>
  <c r="R221" i="1"/>
  <c r="S221" i="1"/>
  <c r="O221" i="1"/>
  <c r="L221" i="1"/>
  <c r="M221" i="1"/>
  <c r="W221" i="1"/>
  <c r="V221" i="1"/>
  <c r="P221" i="1"/>
  <c r="K221" i="1"/>
  <c r="W958" i="1"/>
  <c r="V958" i="1"/>
  <c r="S958" i="1"/>
  <c r="K958" i="1"/>
  <c r="X958" i="1"/>
  <c r="R958" i="1"/>
  <c r="M958" i="1"/>
  <c r="L958" i="1"/>
  <c r="P958" i="1"/>
  <c r="U958" i="1"/>
  <c r="O958" i="1"/>
  <c r="Q958" i="1"/>
  <c r="T958" i="1"/>
  <c r="V394" i="1"/>
  <c r="X394" i="1"/>
  <c r="M394" i="1"/>
  <c r="L394" i="1"/>
  <c r="T394" i="1"/>
  <c r="U394" i="1"/>
  <c r="K394" i="1"/>
  <c r="O394" i="1"/>
  <c r="Q394" i="1"/>
  <c r="R394" i="1"/>
  <c r="P394" i="1"/>
  <c r="S394" i="1"/>
  <c r="W394" i="1"/>
  <c r="T782" i="1"/>
  <c r="U782" i="1"/>
  <c r="O782" i="1"/>
  <c r="S782" i="1"/>
  <c r="R782" i="1"/>
  <c r="M782" i="1"/>
  <c r="L782" i="1"/>
  <c r="V782" i="1"/>
  <c r="K782" i="1"/>
  <c r="X782" i="1"/>
  <c r="Q782" i="1"/>
  <c r="W782" i="1"/>
  <c r="P782" i="1"/>
  <c r="K71" i="1"/>
  <c r="X71" i="1"/>
  <c r="U71" i="1"/>
  <c r="T71" i="1"/>
  <c r="P71" i="1"/>
  <c r="S71" i="1"/>
  <c r="O71" i="1"/>
  <c r="R71" i="1"/>
  <c r="W71" i="1"/>
  <c r="V71" i="1"/>
  <c r="Q71" i="1"/>
  <c r="L71" i="1"/>
  <c r="M71" i="1"/>
  <c r="L402" i="1"/>
  <c r="P402" i="1"/>
  <c r="U402" i="1"/>
  <c r="K402" i="1"/>
  <c r="W402" i="1"/>
  <c r="Q402" i="1"/>
  <c r="M402" i="1"/>
  <c r="R402" i="1"/>
  <c r="T402" i="1"/>
  <c r="O402" i="1"/>
  <c r="S402" i="1"/>
  <c r="V402" i="1"/>
  <c r="X402" i="1"/>
  <c r="P700" i="1"/>
  <c r="O700" i="1"/>
  <c r="Q700" i="1"/>
  <c r="V700" i="1"/>
  <c r="X700" i="1"/>
  <c r="M700" i="1"/>
  <c r="W700" i="1"/>
  <c r="T700" i="1"/>
  <c r="S700" i="1"/>
  <c r="K700" i="1"/>
  <c r="R700" i="1"/>
  <c r="L700" i="1"/>
  <c r="U700" i="1"/>
  <c r="R249" i="1"/>
  <c r="W249" i="1"/>
  <c r="U249" i="1"/>
  <c r="P249" i="1"/>
  <c r="S249" i="1"/>
  <c r="K249" i="1"/>
  <c r="M249" i="1"/>
  <c r="V249" i="1"/>
  <c r="Q249" i="1"/>
  <c r="T249" i="1"/>
  <c r="O249" i="1"/>
  <c r="L249" i="1"/>
  <c r="X249" i="1"/>
  <c r="K779" i="1"/>
  <c r="R779" i="1"/>
  <c r="V779" i="1"/>
  <c r="O779" i="1"/>
  <c r="S779" i="1"/>
  <c r="X779" i="1"/>
  <c r="M779" i="1"/>
  <c r="L779" i="1"/>
  <c r="Q779" i="1"/>
  <c r="W779" i="1"/>
  <c r="P779" i="1"/>
  <c r="U779" i="1"/>
  <c r="T779" i="1"/>
  <c r="L275" i="1"/>
  <c r="S275" i="1"/>
  <c r="O275" i="1"/>
  <c r="Q275" i="1"/>
  <c r="V275" i="1"/>
  <c r="X275" i="1"/>
  <c r="U275" i="1"/>
  <c r="P275" i="1"/>
  <c r="K275" i="1"/>
  <c r="W275" i="1"/>
  <c r="M275" i="1"/>
  <c r="R275" i="1"/>
  <c r="T275" i="1"/>
  <c r="Q732" i="1"/>
  <c r="V732" i="1"/>
  <c r="X732" i="1"/>
  <c r="M732" i="1"/>
  <c r="L732" i="1"/>
  <c r="U732" i="1"/>
  <c r="O732" i="1"/>
  <c r="S732" i="1"/>
  <c r="T732" i="1"/>
  <c r="R732" i="1"/>
  <c r="P732" i="1"/>
  <c r="K732" i="1"/>
  <c r="W732" i="1"/>
  <c r="K279" i="1"/>
  <c r="S279" i="1"/>
  <c r="W279" i="1"/>
  <c r="Q279" i="1"/>
  <c r="V279" i="1"/>
  <c r="X279" i="1"/>
  <c r="R279" i="1"/>
  <c r="O279" i="1"/>
  <c r="M279" i="1"/>
  <c r="L279" i="1"/>
  <c r="P279" i="1"/>
  <c r="U279" i="1"/>
  <c r="T279" i="1"/>
  <c r="M58" i="1"/>
  <c r="W58" i="1"/>
  <c r="Q58" i="1"/>
  <c r="H58" i="1"/>
  <c r="K58" i="1"/>
  <c r="O58" i="1"/>
  <c r="V58" i="1"/>
  <c r="T58" i="1"/>
  <c r="U58" i="1"/>
  <c r="P58" i="1"/>
  <c r="S58" i="1"/>
  <c r="L58" i="1"/>
  <c r="R58" i="1"/>
  <c r="X58" i="1"/>
  <c r="K572" i="1"/>
  <c r="O572" i="1"/>
  <c r="X572" i="1"/>
  <c r="W572" i="1"/>
  <c r="T572" i="1"/>
  <c r="P572" i="1"/>
  <c r="U572" i="1"/>
  <c r="S572" i="1"/>
  <c r="Q572" i="1"/>
  <c r="V572" i="1"/>
  <c r="M572" i="1"/>
  <c r="R572" i="1"/>
  <c r="L572" i="1"/>
  <c r="Q890" i="1"/>
  <c r="V890" i="1"/>
  <c r="U890" i="1"/>
  <c r="P890" i="1"/>
  <c r="O890" i="1"/>
  <c r="R890" i="1"/>
  <c r="L890" i="1"/>
  <c r="M890" i="1"/>
  <c r="W890" i="1"/>
  <c r="T890" i="1"/>
  <c r="S890" i="1"/>
  <c r="K890" i="1"/>
  <c r="X890" i="1"/>
  <c r="U720" i="1"/>
  <c r="T720" i="1"/>
  <c r="O720" i="1"/>
  <c r="V720" i="1"/>
  <c r="X720" i="1"/>
  <c r="L720" i="1"/>
  <c r="W720" i="1"/>
  <c r="R720" i="1"/>
  <c r="P720" i="1"/>
  <c r="K720" i="1"/>
  <c r="S720" i="1"/>
  <c r="Q720" i="1"/>
  <c r="M720" i="1"/>
  <c r="S361" i="1"/>
  <c r="O361" i="1"/>
  <c r="V361" i="1"/>
  <c r="X361" i="1"/>
  <c r="R361" i="1"/>
  <c r="L361" i="1"/>
  <c r="P361" i="1"/>
  <c r="K361" i="1"/>
  <c r="W361" i="1"/>
  <c r="Q361" i="1"/>
  <c r="M361" i="1"/>
  <c r="T361" i="1"/>
  <c r="U361" i="1"/>
  <c r="O802" i="1"/>
  <c r="V802" i="1"/>
  <c r="T802" i="1"/>
  <c r="R802" i="1"/>
  <c r="M802" i="1"/>
  <c r="L802" i="1"/>
  <c r="Q802" i="1"/>
  <c r="W802" i="1"/>
  <c r="K802" i="1"/>
  <c r="S802" i="1"/>
  <c r="X802" i="1"/>
  <c r="U802" i="1"/>
  <c r="P802" i="1"/>
  <c r="U117" i="1"/>
  <c r="K117" i="1"/>
  <c r="S117" i="1"/>
  <c r="L117" i="1"/>
  <c r="X117" i="1"/>
  <c r="V117" i="1"/>
  <c r="Q117" i="1"/>
  <c r="T117" i="1"/>
  <c r="P117" i="1"/>
  <c r="O117" i="1"/>
  <c r="M117" i="1"/>
  <c r="R117" i="1"/>
  <c r="W117" i="1"/>
  <c r="Q649" i="1"/>
  <c r="V649" i="1"/>
  <c r="W649" i="1"/>
  <c r="P649" i="1"/>
  <c r="T649" i="1"/>
  <c r="U649" i="1"/>
  <c r="S649" i="1"/>
  <c r="O649" i="1"/>
  <c r="X649" i="1"/>
  <c r="M649" i="1"/>
  <c r="R649" i="1"/>
  <c r="L649" i="1"/>
  <c r="K649" i="1"/>
  <c r="L901" i="1"/>
  <c r="Q901" i="1"/>
  <c r="W901" i="1"/>
  <c r="T901" i="1"/>
  <c r="S901" i="1"/>
  <c r="X901" i="1"/>
  <c r="M901" i="1"/>
  <c r="V901" i="1"/>
  <c r="P901" i="1"/>
  <c r="U901" i="1"/>
  <c r="O901" i="1"/>
  <c r="K901" i="1"/>
  <c r="R901" i="1"/>
  <c r="M74" i="1"/>
  <c r="R74" i="1"/>
  <c r="X74" i="1"/>
  <c r="V74" i="1"/>
  <c r="Q74" i="1"/>
  <c r="O74" i="1"/>
  <c r="S74" i="1"/>
  <c r="L74" i="1"/>
  <c r="T74" i="1"/>
  <c r="U74" i="1"/>
  <c r="K74" i="1"/>
  <c r="W74" i="1"/>
  <c r="P74" i="1"/>
  <c r="M305" i="1"/>
  <c r="R305" i="1"/>
  <c r="P305" i="1"/>
  <c r="S305" i="1"/>
  <c r="O305" i="1"/>
  <c r="W305" i="1"/>
  <c r="V305" i="1"/>
  <c r="U305" i="1"/>
  <c r="T305" i="1"/>
  <c r="K305" i="1"/>
  <c r="Q305" i="1"/>
  <c r="X305" i="1"/>
  <c r="L305" i="1"/>
  <c r="W613" i="1"/>
  <c r="L613" i="1"/>
  <c r="T613" i="1"/>
  <c r="U613" i="1"/>
  <c r="M613" i="1"/>
  <c r="S613" i="1"/>
  <c r="K613" i="1"/>
  <c r="Q613" i="1"/>
  <c r="V613" i="1"/>
  <c r="X613" i="1"/>
  <c r="R613" i="1"/>
  <c r="P613" i="1"/>
  <c r="O613" i="1"/>
  <c r="P104" i="1"/>
  <c r="K104" i="1"/>
  <c r="L104" i="1"/>
  <c r="W104" i="1"/>
  <c r="Q104" i="1"/>
  <c r="T104" i="1"/>
  <c r="V104" i="1"/>
  <c r="U104" i="1"/>
  <c r="S104" i="1"/>
  <c r="O104" i="1"/>
  <c r="M104" i="1"/>
  <c r="R104" i="1"/>
  <c r="X104" i="1"/>
  <c r="L319" i="1"/>
  <c r="P319" i="1"/>
  <c r="K319" i="1"/>
  <c r="S319" i="1"/>
  <c r="Q319" i="1"/>
  <c r="V319" i="1"/>
  <c r="M319" i="1"/>
  <c r="R319" i="1"/>
  <c r="U319" i="1"/>
  <c r="T319" i="1"/>
  <c r="O319" i="1"/>
  <c r="W319" i="1"/>
  <c r="X319" i="1"/>
  <c r="S34" i="1"/>
  <c r="L34" i="1"/>
  <c r="U34" i="1"/>
  <c r="T34" i="1"/>
  <c r="O34" i="1"/>
  <c r="R34" i="1"/>
  <c r="X34" i="1"/>
  <c r="K34" i="1"/>
  <c r="H34" i="1"/>
  <c r="Q34" i="1"/>
  <c r="M34" i="1"/>
  <c r="W34" i="1"/>
  <c r="V34" i="1"/>
  <c r="P34" i="1"/>
  <c r="P555" i="1"/>
  <c r="U555" i="1"/>
  <c r="T555" i="1"/>
  <c r="O555" i="1"/>
  <c r="V555" i="1"/>
  <c r="M555" i="1"/>
  <c r="W555" i="1"/>
  <c r="L555" i="1"/>
  <c r="K555" i="1"/>
  <c r="S555" i="1"/>
  <c r="Q555" i="1"/>
  <c r="X555" i="1"/>
  <c r="R555" i="1"/>
  <c r="O885" i="1"/>
  <c r="K885" i="1"/>
  <c r="S885" i="1"/>
  <c r="R885" i="1"/>
  <c r="M885" i="1"/>
  <c r="L885" i="1"/>
  <c r="Q885" i="1"/>
  <c r="W885" i="1"/>
  <c r="U885" i="1"/>
  <c r="X885" i="1"/>
  <c r="V885" i="1"/>
  <c r="P885" i="1"/>
  <c r="T885" i="1"/>
  <c r="W408" i="1"/>
  <c r="X408" i="1"/>
  <c r="U408" i="1"/>
  <c r="Q408" i="1"/>
  <c r="V408" i="1"/>
  <c r="M408" i="1"/>
  <c r="R408" i="1"/>
  <c r="L408" i="1"/>
  <c r="O408" i="1"/>
  <c r="S408" i="1"/>
  <c r="K408" i="1"/>
  <c r="P408" i="1"/>
  <c r="T408" i="1"/>
  <c r="U563" i="1"/>
  <c r="K563" i="1"/>
  <c r="O563" i="1"/>
  <c r="X563" i="1"/>
  <c r="T563" i="1"/>
  <c r="W563" i="1"/>
  <c r="R563" i="1"/>
  <c r="L563" i="1"/>
  <c r="P563" i="1"/>
  <c r="S563" i="1"/>
  <c r="Q563" i="1"/>
  <c r="V563" i="1"/>
  <c r="M563" i="1"/>
  <c r="S73" i="1"/>
  <c r="L73" i="1"/>
  <c r="X73" i="1"/>
  <c r="Q73" i="1"/>
  <c r="U73" i="1"/>
  <c r="P73" i="1"/>
  <c r="O73" i="1"/>
  <c r="K73" i="1"/>
  <c r="M73" i="1"/>
  <c r="R73" i="1"/>
  <c r="W73" i="1"/>
  <c r="V73" i="1"/>
  <c r="T73" i="1"/>
  <c r="S326" i="1"/>
  <c r="O326" i="1"/>
  <c r="K326" i="1"/>
  <c r="Q326" i="1"/>
  <c r="V326" i="1"/>
  <c r="R326" i="1"/>
  <c r="L326" i="1"/>
  <c r="U326" i="1"/>
  <c r="T326" i="1"/>
  <c r="P326" i="1"/>
  <c r="W326" i="1"/>
  <c r="X326" i="1"/>
  <c r="M326" i="1"/>
  <c r="M824" i="1"/>
  <c r="V824" i="1"/>
  <c r="U824" i="1"/>
  <c r="K824" i="1"/>
  <c r="S824" i="1"/>
  <c r="X824" i="1"/>
  <c r="R824" i="1"/>
  <c r="L824" i="1"/>
  <c r="Q824" i="1"/>
  <c r="W824" i="1"/>
  <c r="P824" i="1"/>
  <c r="O824" i="1"/>
  <c r="T824" i="1"/>
  <c r="Q917" i="1"/>
  <c r="V917" i="1"/>
  <c r="K917" i="1"/>
  <c r="R917" i="1"/>
  <c r="M917" i="1"/>
  <c r="L917" i="1"/>
  <c r="W917" i="1"/>
  <c r="U917" i="1"/>
  <c r="T917" i="1"/>
  <c r="P917" i="1"/>
  <c r="S917" i="1"/>
  <c r="O917" i="1"/>
  <c r="X917" i="1"/>
  <c r="K27" i="1"/>
  <c r="M27" i="1"/>
  <c r="V27" i="1"/>
  <c r="T27" i="1"/>
  <c r="O27" i="1"/>
  <c r="S27" i="1"/>
  <c r="X27" i="1"/>
  <c r="Q27" i="1"/>
  <c r="H27" i="1"/>
  <c r="P27" i="1"/>
  <c r="U27" i="1"/>
  <c r="L27" i="1"/>
  <c r="R27" i="1"/>
  <c r="W27" i="1"/>
  <c r="S717" i="1"/>
  <c r="V717" i="1"/>
  <c r="R717" i="1"/>
  <c r="M717" i="1"/>
  <c r="W717" i="1"/>
  <c r="L717" i="1"/>
  <c r="P717" i="1"/>
  <c r="O717" i="1"/>
  <c r="K717" i="1"/>
  <c r="Q717" i="1"/>
  <c r="X717" i="1"/>
  <c r="U717" i="1"/>
  <c r="T717" i="1"/>
  <c r="P321" i="1"/>
  <c r="K321" i="1"/>
  <c r="Q321" i="1"/>
  <c r="V321" i="1"/>
  <c r="X321" i="1"/>
  <c r="L321" i="1"/>
  <c r="U321" i="1"/>
  <c r="S321" i="1"/>
  <c r="O321" i="1"/>
  <c r="W321" i="1"/>
  <c r="M321" i="1"/>
  <c r="R321" i="1"/>
  <c r="T321" i="1"/>
  <c r="U299" i="1"/>
  <c r="O299" i="1"/>
  <c r="K299" i="1"/>
  <c r="Q299" i="1"/>
  <c r="X299" i="1"/>
  <c r="T299" i="1"/>
  <c r="L299" i="1"/>
  <c r="P299" i="1"/>
  <c r="S299" i="1"/>
  <c r="W299" i="1"/>
  <c r="V299" i="1"/>
  <c r="M299" i="1"/>
  <c r="R299" i="1"/>
  <c r="U904" i="1"/>
  <c r="S904" i="1"/>
  <c r="X904" i="1"/>
  <c r="R904" i="1"/>
  <c r="V904" i="1"/>
  <c r="P904" i="1"/>
  <c r="W904" i="1"/>
  <c r="T904" i="1"/>
  <c r="O904" i="1"/>
  <c r="K904" i="1"/>
  <c r="M904" i="1"/>
  <c r="L904" i="1"/>
  <c r="Q904" i="1"/>
  <c r="O87" i="1"/>
  <c r="K87" i="1"/>
  <c r="R87" i="1"/>
  <c r="X87" i="1"/>
  <c r="Q87" i="1"/>
  <c r="U87" i="1"/>
  <c r="S87" i="1"/>
  <c r="L87" i="1"/>
  <c r="M87" i="1"/>
  <c r="W87" i="1"/>
  <c r="V87" i="1"/>
  <c r="P87" i="1"/>
  <c r="T87" i="1"/>
  <c r="K664" i="1"/>
  <c r="S664" i="1"/>
  <c r="X664" i="1"/>
  <c r="W664" i="1"/>
  <c r="R664" i="1"/>
  <c r="L664" i="1"/>
  <c r="O664" i="1"/>
  <c r="Q664" i="1"/>
  <c r="V664" i="1"/>
  <c r="M664" i="1"/>
  <c r="P664" i="1"/>
  <c r="T664" i="1"/>
  <c r="U664" i="1"/>
  <c r="T284" i="1"/>
  <c r="O284" i="1"/>
  <c r="S284" i="1"/>
  <c r="W284" i="1"/>
  <c r="X284" i="1"/>
  <c r="M284" i="1"/>
  <c r="R284" i="1"/>
  <c r="K284" i="1"/>
  <c r="Q284" i="1"/>
  <c r="V284" i="1"/>
  <c r="L284" i="1"/>
  <c r="P284" i="1"/>
  <c r="U284" i="1"/>
  <c r="K45" i="1"/>
  <c r="H45" i="1"/>
  <c r="L45" i="1"/>
  <c r="M45" i="1"/>
  <c r="R45" i="1"/>
  <c r="T45" i="1"/>
  <c r="O45" i="1"/>
  <c r="X45" i="1"/>
  <c r="V45" i="1"/>
  <c r="Q45" i="1"/>
  <c r="S45" i="1"/>
  <c r="W45" i="1"/>
  <c r="P45" i="1"/>
  <c r="U45" i="1"/>
  <c r="U750" i="1"/>
  <c r="P750" i="1"/>
  <c r="S750" i="1"/>
  <c r="Q750" i="1"/>
  <c r="W750" i="1"/>
  <c r="L750" i="1"/>
  <c r="M750" i="1"/>
  <c r="R750" i="1"/>
  <c r="T750" i="1"/>
  <c r="O750" i="1"/>
  <c r="K750" i="1"/>
  <c r="V750" i="1"/>
  <c r="X750" i="1"/>
  <c r="U938" i="1"/>
  <c r="O938" i="1"/>
  <c r="K938" i="1"/>
  <c r="Q938" i="1"/>
  <c r="W938" i="1"/>
  <c r="P938" i="1"/>
  <c r="V938" i="1"/>
  <c r="T938" i="1"/>
  <c r="S938" i="1"/>
  <c r="X938" i="1"/>
  <c r="R938" i="1"/>
  <c r="M938" i="1"/>
  <c r="L938" i="1"/>
  <c r="O896" i="1"/>
  <c r="X896" i="1"/>
  <c r="R896" i="1"/>
  <c r="M896" i="1"/>
  <c r="L896" i="1"/>
  <c r="P896" i="1"/>
  <c r="S896" i="1"/>
  <c r="Q896" i="1"/>
  <c r="W896" i="1"/>
  <c r="V896" i="1"/>
  <c r="U896" i="1"/>
  <c r="T896" i="1"/>
  <c r="K896" i="1"/>
  <c r="Q198" i="1"/>
  <c r="O198" i="1"/>
  <c r="S198" i="1"/>
  <c r="M198" i="1"/>
  <c r="R198" i="1"/>
  <c r="V198" i="1"/>
  <c r="P198" i="1"/>
  <c r="U198" i="1"/>
  <c r="T198" i="1"/>
  <c r="K198" i="1"/>
  <c r="L198" i="1"/>
  <c r="X198" i="1"/>
  <c r="W198" i="1"/>
  <c r="P518" i="1"/>
  <c r="U518" i="1"/>
  <c r="T518" i="1"/>
  <c r="S518" i="1"/>
  <c r="Q518" i="1"/>
  <c r="X518" i="1"/>
  <c r="M518" i="1"/>
  <c r="R518" i="1"/>
  <c r="L518" i="1"/>
  <c r="O518" i="1"/>
  <c r="K518" i="1"/>
  <c r="V518" i="1"/>
  <c r="W518" i="1"/>
  <c r="S263" i="1"/>
  <c r="Q263" i="1"/>
  <c r="V263" i="1"/>
  <c r="X263" i="1"/>
  <c r="R263" i="1"/>
  <c r="P263" i="1"/>
  <c r="T263" i="1"/>
  <c r="K263" i="1"/>
  <c r="O263" i="1"/>
  <c r="W263" i="1"/>
  <c r="M263" i="1"/>
  <c r="L263" i="1"/>
  <c r="U263" i="1"/>
  <c r="V587" i="1"/>
  <c r="X587" i="1"/>
  <c r="M587" i="1"/>
  <c r="W587" i="1"/>
  <c r="L587" i="1"/>
  <c r="P587" i="1"/>
  <c r="S587" i="1"/>
  <c r="O587" i="1"/>
  <c r="K587" i="1"/>
  <c r="Q587" i="1"/>
  <c r="R587" i="1"/>
  <c r="U587" i="1"/>
  <c r="T587" i="1"/>
  <c r="L150" i="1"/>
  <c r="M150" i="1"/>
  <c r="W150" i="1"/>
  <c r="V150" i="1"/>
  <c r="Q150" i="1"/>
  <c r="K150" i="1"/>
  <c r="O150" i="1"/>
  <c r="X150" i="1"/>
  <c r="U150" i="1"/>
  <c r="T150" i="1"/>
  <c r="P150" i="1"/>
  <c r="S150" i="1"/>
  <c r="R150" i="1"/>
  <c r="W332" i="1"/>
  <c r="V332" i="1"/>
  <c r="M332" i="1"/>
  <c r="R332" i="1"/>
  <c r="U332" i="1"/>
  <c r="T332" i="1"/>
  <c r="K332" i="1"/>
  <c r="S332" i="1"/>
  <c r="Q332" i="1"/>
  <c r="X332" i="1"/>
  <c r="L332" i="1"/>
  <c r="P332" i="1"/>
  <c r="O332" i="1"/>
  <c r="P821" i="1"/>
  <c r="O821" i="1"/>
  <c r="R821" i="1"/>
  <c r="L821" i="1"/>
  <c r="Q821" i="1"/>
  <c r="V821" i="1"/>
  <c r="U821" i="1"/>
  <c r="T821" i="1"/>
  <c r="S821" i="1"/>
  <c r="K821" i="1"/>
  <c r="X821" i="1"/>
  <c r="M821" i="1"/>
  <c r="W821" i="1"/>
  <c r="U833" i="1"/>
  <c r="R833" i="1"/>
  <c r="W833" i="1"/>
  <c r="V833" i="1"/>
  <c r="X833" i="1"/>
  <c r="M833" i="1"/>
  <c r="L833" i="1"/>
  <c r="Q833" i="1"/>
  <c r="P833" i="1"/>
  <c r="O833" i="1"/>
  <c r="S833" i="1"/>
  <c r="K833" i="1"/>
  <c r="T833" i="1"/>
  <c r="P130" i="1"/>
  <c r="K130" i="1"/>
  <c r="L130" i="1"/>
  <c r="X130" i="1"/>
  <c r="Q130" i="1"/>
  <c r="U130" i="1"/>
  <c r="T130" i="1"/>
  <c r="S130" i="1"/>
  <c r="O130" i="1"/>
  <c r="M130" i="1"/>
  <c r="R130" i="1"/>
  <c r="W130" i="1"/>
  <c r="V130" i="1"/>
  <c r="M744" i="1"/>
  <c r="O744" i="1"/>
  <c r="S744" i="1"/>
  <c r="Q744" i="1"/>
  <c r="V744" i="1"/>
  <c r="X744" i="1"/>
  <c r="U744" i="1"/>
  <c r="T744" i="1"/>
  <c r="K744" i="1"/>
  <c r="W744" i="1"/>
  <c r="R744" i="1"/>
  <c r="L744" i="1"/>
  <c r="P744" i="1"/>
  <c r="M405" i="1"/>
  <c r="R405" i="1"/>
  <c r="L405" i="1"/>
  <c r="P405" i="1"/>
  <c r="O405" i="1"/>
  <c r="W405" i="1"/>
  <c r="Q405" i="1"/>
  <c r="V405" i="1"/>
  <c r="X405" i="1"/>
  <c r="U405" i="1"/>
  <c r="T405" i="1"/>
  <c r="K405" i="1"/>
  <c r="S405" i="1"/>
  <c r="O378" i="1"/>
  <c r="K378" i="1"/>
  <c r="W378" i="1"/>
  <c r="R378" i="1"/>
  <c r="T378" i="1"/>
  <c r="S378" i="1"/>
  <c r="Q378" i="1"/>
  <c r="V378" i="1"/>
  <c r="X378" i="1"/>
  <c r="M378" i="1"/>
  <c r="L378" i="1"/>
  <c r="P378" i="1"/>
  <c r="U378" i="1"/>
  <c r="P791" i="1"/>
  <c r="K791" i="1"/>
  <c r="O791" i="1"/>
  <c r="R791" i="1"/>
  <c r="L791" i="1"/>
  <c r="Q791" i="1"/>
  <c r="W791" i="1"/>
  <c r="U791" i="1"/>
  <c r="S791" i="1"/>
  <c r="X791" i="1"/>
  <c r="M791" i="1"/>
  <c r="V791" i="1"/>
  <c r="T791" i="1"/>
  <c r="V228" i="1"/>
  <c r="Q228" i="1"/>
  <c r="U228" i="1"/>
  <c r="T228" i="1"/>
  <c r="S228" i="1"/>
  <c r="K228" i="1"/>
  <c r="O228" i="1"/>
  <c r="X228" i="1"/>
  <c r="P228" i="1"/>
  <c r="L228" i="1"/>
  <c r="M228" i="1"/>
  <c r="R228" i="1"/>
  <c r="W228" i="1"/>
  <c r="U705" i="1"/>
  <c r="V705" i="1"/>
  <c r="R705" i="1"/>
  <c r="L705" i="1"/>
  <c r="T705" i="1"/>
  <c r="X705" i="1"/>
  <c r="M705" i="1"/>
  <c r="W705" i="1"/>
  <c r="P705" i="1"/>
  <c r="O705" i="1"/>
  <c r="K705" i="1"/>
  <c r="S705" i="1"/>
  <c r="Q705" i="1"/>
  <c r="K189" i="1"/>
  <c r="M189" i="1"/>
  <c r="R189" i="1"/>
  <c r="V189" i="1"/>
  <c r="Q189" i="1"/>
  <c r="U189" i="1"/>
  <c r="S189" i="1"/>
  <c r="O189" i="1"/>
  <c r="L189" i="1"/>
  <c r="X189" i="1"/>
  <c r="W189" i="1"/>
  <c r="T189" i="1"/>
  <c r="P189" i="1"/>
  <c r="O968" i="1"/>
  <c r="R968" i="1"/>
  <c r="V968" i="1"/>
  <c r="U968" i="1"/>
  <c r="S968" i="1"/>
  <c r="X968" i="1"/>
  <c r="M968" i="1"/>
  <c r="L968" i="1"/>
  <c r="Q968" i="1"/>
  <c r="W968" i="1"/>
  <c r="T968" i="1"/>
  <c r="P968" i="1"/>
  <c r="K968" i="1"/>
  <c r="V511" i="1"/>
  <c r="R511" i="1"/>
  <c r="L511" i="1"/>
  <c r="T511" i="1"/>
  <c r="U511" i="1"/>
  <c r="S511" i="1"/>
  <c r="O511" i="1"/>
  <c r="W511" i="1"/>
  <c r="M511" i="1"/>
  <c r="P511" i="1"/>
  <c r="K511" i="1"/>
  <c r="Q511" i="1"/>
  <c r="X511" i="1"/>
  <c r="O674" i="1"/>
  <c r="Q674" i="1"/>
  <c r="X674" i="1"/>
  <c r="W674" i="1"/>
  <c r="L674" i="1"/>
  <c r="U674" i="1"/>
  <c r="S674" i="1"/>
  <c r="K674" i="1"/>
  <c r="V674" i="1"/>
  <c r="M674" i="1"/>
  <c r="R674" i="1"/>
  <c r="P674" i="1"/>
  <c r="T674" i="1"/>
  <c r="S158" i="1"/>
  <c r="O158" i="1"/>
  <c r="M158" i="1"/>
  <c r="R158" i="1"/>
  <c r="W158" i="1"/>
  <c r="U158" i="1"/>
  <c r="P158" i="1"/>
  <c r="K158" i="1"/>
  <c r="X158" i="1"/>
  <c r="V158" i="1"/>
  <c r="Q158" i="1"/>
  <c r="T158" i="1"/>
  <c r="L158" i="1"/>
  <c r="K490" i="1"/>
  <c r="S490" i="1"/>
  <c r="W490" i="1"/>
  <c r="Q490" i="1"/>
  <c r="V490" i="1"/>
  <c r="R490" i="1"/>
  <c r="L490" i="1"/>
  <c r="U490" i="1"/>
  <c r="P490" i="1"/>
  <c r="O490" i="1"/>
  <c r="X490" i="1"/>
  <c r="M490" i="1"/>
  <c r="T490" i="1"/>
  <c r="L714" i="1"/>
  <c r="O714" i="1"/>
  <c r="K714" i="1"/>
  <c r="S714" i="1"/>
  <c r="Q714" i="1"/>
  <c r="X714" i="1"/>
  <c r="W714" i="1"/>
  <c r="R714" i="1"/>
  <c r="V714" i="1"/>
  <c r="M714" i="1"/>
  <c r="P714" i="1"/>
  <c r="T714" i="1"/>
  <c r="U714" i="1"/>
  <c r="K165" i="1"/>
  <c r="L165" i="1"/>
  <c r="R165" i="1"/>
  <c r="V165" i="1"/>
  <c r="P165" i="1"/>
  <c r="U165" i="1"/>
  <c r="O165" i="1"/>
  <c r="S165" i="1"/>
  <c r="M165" i="1"/>
  <c r="X165" i="1"/>
  <c r="W165" i="1"/>
  <c r="Q165" i="1"/>
  <c r="T165" i="1"/>
  <c r="W655" i="1"/>
  <c r="R655" i="1"/>
  <c r="L655" i="1"/>
  <c r="T655" i="1"/>
  <c r="K655" i="1"/>
  <c r="O655" i="1"/>
  <c r="Q655" i="1"/>
  <c r="X655" i="1"/>
  <c r="U655" i="1"/>
  <c r="S655" i="1"/>
  <c r="V655" i="1"/>
  <c r="M655" i="1"/>
  <c r="P655" i="1"/>
  <c r="V273" i="1"/>
  <c r="M273" i="1"/>
  <c r="P273" i="1"/>
  <c r="T273" i="1"/>
  <c r="K273" i="1"/>
  <c r="S273" i="1"/>
  <c r="Q273" i="1"/>
  <c r="X273" i="1"/>
  <c r="R273" i="1"/>
  <c r="L273" i="1"/>
  <c r="U273" i="1"/>
  <c r="O273" i="1"/>
  <c r="W273" i="1"/>
  <c r="U784" i="1"/>
  <c r="P784" i="1"/>
  <c r="R784" i="1"/>
  <c r="Q784" i="1"/>
  <c r="W784" i="1"/>
  <c r="V784" i="1"/>
  <c r="T784" i="1"/>
  <c r="L784" i="1"/>
  <c r="S784" i="1"/>
  <c r="K784" i="1"/>
  <c r="O784" i="1"/>
  <c r="X784" i="1"/>
  <c r="M784" i="1"/>
  <c r="O499" i="1"/>
  <c r="K499" i="1"/>
  <c r="W499" i="1"/>
  <c r="U499" i="1"/>
  <c r="S499" i="1"/>
  <c r="Q499" i="1"/>
  <c r="V499" i="1"/>
  <c r="X499" i="1"/>
  <c r="M499" i="1"/>
  <c r="R499" i="1"/>
  <c r="L499" i="1"/>
  <c r="P499" i="1"/>
  <c r="T499" i="1"/>
  <c r="Q151" i="1"/>
  <c r="S151" i="1"/>
  <c r="K151" i="1"/>
  <c r="L151" i="1"/>
  <c r="R151" i="1"/>
  <c r="X151" i="1"/>
  <c r="W151" i="1"/>
  <c r="V151" i="1"/>
  <c r="T151" i="1"/>
  <c r="P151" i="1"/>
  <c r="O151" i="1"/>
  <c r="M151" i="1"/>
  <c r="U151" i="1"/>
  <c r="T925" i="1"/>
  <c r="K925" i="1"/>
  <c r="O925" i="1"/>
  <c r="Q925" i="1"/>
  <c r="W925" i="1"/>
  <c r="V925" i="1"/>
  <c r="U925" i="1"/>
  <c r="S925" i="1"/>
  <c r="X925" i="1"/>
  <c r="R925" i="1"/>
  <c r="M925" i="1"/>
  <c r="L925" i="1"/>
  <c r="P925" i="1"/>
  <c r="O747" i="1"/>
  <c r="V747" i="1"/>
  <c r="W747" i="1"/>
  <c r="P747" i="1"/>
  <c r="S747" i="1"/>
  <c r="K747" i="1"/>
  <c r="Q747" i="1"/>
  <c r="X747" i="1"/>
  <c r="M747" i="1"/>
  <c r="R747" i="1"/>
  <c r="L747" i="1"/>
  <c r="T747" i="1"/>
  <c r="U747" i="1"/>
  <c r="V175" i="1"/>
  <c r="P175" i="1"/>
  <c r="U175" i="1"/>
  <c r="S175" i="1"/>
  <c r="K175" i="1"/>
  <c r="M175" i="1"/>
  <c r="R175" i="1"/>
  <c r="W175" i="1"/>
  <c r="T175" i="1"/>
  <c r="O175" i="1"/>
  <c r="L175" i="1"/>
  <c r="X175" i="1"/>
  <c r="Q175" i="1"/>
  <c r="P734" i="1"/>
  <c r="Q734" i="1"/>
  <c r="X734" i="1"/>
  <c r="L734" i="1"/>
  <c r="V734" i="1"/>
  <c r="M734" i="1"/>
  <c r="W734" i="1"/>
  <c r="R734" i="1"/>
  <c r="T734" i="1"/>
  <c r="K734" i="1"/>
  <c r="O734" i="1"/>
  <c r="S734" i="1"/>
  <c r="U734" i="1"/>
  <c r="Q778" i="1"/>
  <c r="W778" i="1"/>
  <c r="V778" i="1"/>
  <c r="U778" i="1"/>
  <c r="T778" i="1"/>
  <c r="O778" i="1"/>
  <c r="R778" i="1"/>
  <c r="M778" i="1"/>
  <c r="L778" i="1"/>
  <c r="P778" i="1"/>
  <c r="S778" i="1"/>
  <c r="K778" i="1"/>
  <c r="X778" i="1"/>
  <c r="W383" i="1"/>
  <c r="Q383" i="1"/>
  <c r="V383" i="1"/>
  <c r="R383" i="1"/>
  <c r="T383" i="1"/>
  <c r="S383" i="1"/>
  <c r="O383" i="1"/>
  <c r="K383" i="1"/>
  <c r="P383" i="1"/>
  <c r="U383" i="1"/>
  <c r="X383" i="1"/>
  <c r="M383" i="1"/>
  <c r="L383" i="1"/>
  <c r="V112" i="1"/>
  <c r="P112" i="1"/>
  <c r="T112" i="1"/>
  <c r="K112" i="1"/>
  <c r="M112" i="1"/>
  <c r="X112" i="1"/>
  <c r="W112" i="1"/>
  <c r="Q112" i="1"/>
  <c r="U112" i="1"/>
  <c r="O112" i="1"/>
  <c r="S112" i="1"/>
  <c r="L112" i="1"/>
  <c r="R112" i="1"/>
  <c r="M574" i="1"/>
  <c r="L574" i="1"/>
  <c r="P574" i="1"/>
  <c r="T574" i="1"/>
  <c r="S574" i="1"/>
  <c r="O574" i="1"/>
  <c r="K574" i="1"/>
  <c r="X574" i="1"/>
  <c r="U574" i="1"/>
  <c r="Q574" i="1"/>
  <c r="V574" i="1"/>
  <c r="W574" i="1"/>
  <c r="R574" i="1"/>
  <c r="O473" i="1"/>
  <c r="K473" i="1"/>
  <c r="Q473" i="1"/>
  <c r="V473" i="1"/>
  <c r="X473" i="1"/>
  <c r="R473" i="1"/>
  <c r="L473" i="1"/>
  <c r="U473" i="1"/>
  <c r="P473" i="1"/>
  <c r="S473" i="1"/>
  <c r="W473" i="1"/>
  <c r="M473" i="1"/>
  <c r="T473" i="1"/>
  <c r="X854" i="1"/>
  <c r="R854" i="1"/>
  <c r="L854" i="1"/>
  <c r="Q854" i="1"/>
  <c r="W854" i="1"/>
  <c r="V854" i="1"/>
  <c r="S854" i="1"/>
  <c r="O854" i="1"/>
  <c r="T854" i="1"/>
  <c r="U854" i="1"/>
  <c r="P854" i="1"/>
  <c r="K854" i="1"/>
  <c r="M854" i="1"/>
  <c r="U437" i="1"/>
  <c r="O437" i="1"/>
  <c r="K437" i="1"/>
  <c r="V437" i="1"/>
  <c r="R437" i="1"/>
  <c r="L437" i="1"/>
  <c r="T437" i="1"/>
  <c r="S437" i="1"/>
  <c r="W437" i="1"/>
  <c r="Q437" i="1"/>
  <c r="X437" i="1"/>
  <c r="M437" i="1"/>
  <c r="P437" i="1"/>
  <c r="L867" i="1"/>
  <c r="W867" i="1"/>
  <c r="V867" i="1"/>
  <c r="O867" i="1"/>
  <c r="X867" i="1"/>
  <c r="R867" i="1"/>
  <c r="M867" i="1"/>
  <c r="T867" i="1"/>
  <c r="U867" i="1"/>
  <c r="S867" i="1"/>
  <c r="K867" i="1"/>
  <c r="Q867" i="1"/>
  <c r="P867" i="1"/>
  <c r="Q154" i="1"/>
  <c r="K154" i="1"/>
  <c r="M154" i="1"/>
  <c r="W154" i="1"/>
  <c r="V154" i="1"/>
  <c r="X154" i="1"/>
  <c r="P154" i="1"/>
  <c r="T154" i="1"/>
  <c r="U154" i="1"/>
  <c r="O154" i="1"/>
  <c r="S154" i="1"/>
  <c r="L154" i="1"/>
  <c r="R154" i="1"/>
  <c r="T538" i="1"/>
  <c r="S538" i="1"/>
  <c r="Q538" i="1"/>
  <c r="V538" i="1"/>
  <c r="X538" i="1"/>
  <c r="W538" i="1"/>
  <c r="P538" i="1"/>
  <c r="U538" i="1"/>
  <c r="O538" i="1"/>
  <c r="K538" i="1"/>
  <c r="M538" i="1"/>
  <c r="R538" i="1"/>
  <c r="L538" i="1"/>
  <c r="W264" i="1"/>
  <c r="M264" i="1"/>
  <c r="K264" i="1"/>
  <c r="O264" i="1"/>
  <c r="V264" i="1"/>
  <c r="X264" i="1"/>
  <c r="R264" i="1"/>
  <c r="L264" i="1"/>
  <c r="T264" i="1"/>
  <c r="U264" i="1"/>
  <c r="S264" i="1"/>
  <c r="Q264" i="1"/>
  <c r="P264" i="1"/>
  <c r="K952" i="1"/>
  <c r="O952" i="1"/>
  <c r="X952" i="1"/>
  <c r="L952" i="1"/>
  <c r="Q952" i="1"/>
  <c r="W952" i="1"/>
  <c r="V952" i="1"/>
  <c r="T952" i="1"/>
  <c r="U952" i="1"/>
  <c r="P952" i="1"/>
  <c r="S952" i="1"/>
  <c r="R952" i="1"/>
  <c r="M952" i="1"/>
  <c r="V543" i="1"/>
  <c r="M543" i="1"/>
  <c r="R543" i="1"/>
  <c r="P543" i="1"/>
  <c r="U543" i="1"/>
  <c r="Q543" i="1"/>
  <c r="S543" i="1"/>
  <c r="K543" i="1"/>
  <c r="X543" i="1"/>
  <c r="W543" i="1"/>
  <c r="L543" i="1"/>
  <c r="T543" i="1"/>
  <c r="O543" i="1"/>
  <c r="S244" i="1"/>
  <c r="K244" i="1"/>
  <c r="X244" i="1"/>
  <c r="V244" i="1"/>
  <c r="P244" i="1"/>
  <c r="U244" i="1"/>
  <c r="O244" i="1"/>
  <c r="L244" i="1"/>
  <c r="M244" i="1"/>
  <c r="R244" i="1"/>
  <c r="W244" i="1"/>
  <c r="Q244" i="1"/>
  <c r="T244" i="1"/>
  <c r="Q836" i="1"/>
  <c r="P836" i="1"/>
  <c r="T836" i="1"/>
  <c r="S836" i="1"/>
  <c r="X836" i="1"/>
  <c r="R836" i="1"/>
  <c r="M836" i="1"/>
  <c r="V836" i="1"/>
  <c r="U836" i="1"/>
  <c r="O836" i="1"/>
  <c r="K836" i="1"/>
  <c r="L836" i="1"/>
  <c r="W836" i="1"/>
  <c r="Q367" i="1"/>
  <c r="M367" i="1"/>
  <c r="L367" i="1"/>
  <c r="T367" i="1"/>
  <c r="U367" i="1"/>
  <c r="S367" i="1"/>
  <c r="K367" i="1"/>
  <c r="W367" i="1"/>
  <c r="V367" i="1"/>
  <c r="X367" i="1"/>
  <c r="R367" i="1"/>
  <c r="P367" i="1"/>
  <c r="O367" i="1"/>
  <c r="P694" i="1"/>
  <c r="T694" i="1"/>
  <c r="K694" i="1"/>
  <c r="S694" i="1"/>
  <c r="V694" i="1"/>
  <c r="M694" i="1"/>
  <c r="W694" i="1"/>
  <c r="L694" i="1"/>
  <c r="O694" i="1"/>
  <c r="Q694" i="1"/>
  <c r="X694" i="1"/>
  <c r="R694" i="1"/>
  <c r="U694" i="1"/>
  <c r="R94" i="1"/>
  <c r="U94" i="1"/>
  <c r="W94" i="1"/>
  <c r="V94" i="1"/>
  <c r="O94" i="1"/>
  <c r="S94" i="1"/>
  <c r="K94" i="1"/>
  <c r="L94" i="1"/>
  <c r="M94" i="1"/>
  <c r="X94" i="1"/>
  <c r="Q94" i="1"/>
  <c r="P94" i="1"/>
  <c r="T94" i="1"/>
  <c r="X584" i="1"/>
  <c r="M584" i="1"/>
  <c r="W584" i="1"/>
  <c r="L584" i="1"/>
  <c r="K584" i="1"/>
  <c r="S584" i="1"/>
  <c r="Q584" i="1"/>
  <c r="V584" i="1"/>
  <c r="U584" i="1"/>
  <c r="P584" i="1"/>
  <c r="O584" i="1"/>
  <c r="R584" i="1"/>
  <c r="T584" i="1"/>
  <c r="R480" i="1"/>
  <c r="T480" i="1"/>
  <c r="S480" i="1"/>
  <c r="O480" i="1"/>
  <c r="Q480" i="1"/>
  <c r="V480" i="1"/>
  <c r="X480" i="1"/>
  <c r="M480" i="1"/>
  <c r="K480" i="1"/>
  <c r="W480" i="1"/>
  <c r="L480" i="1"/>
  <c r="U480" i="1"/>
  <c r="P480" i="1"/>
  <c r="W199" i="1"/>
  <c r="V199" i="1"/>
  <c r="Q199" i="1"/>
  <c r="P199" i="1"/>
  <c r="S199" i="1"/>
  <c r="K199" i="1"/>
  <c r="L199" i="1"/>
  <c r="M199" i="1"/>
  <c r="R199" i="1"/>
  <c r="X199" i="1"/>
  <c r="U199" i="1"/>
  <c r="T199" i="1"/>
  <c r="O199" i="1"/>
  <c r="M847" i="1"/>
  <c r="W847" i="1"/>
  <c r="P847" i="1"/>
  <c r="U847" i="1"/>
  <c r="Q847" i="1"/>
  <c r="V847" i="1"/>
  <c r="O847" i="1"/>
  <c r="K847" i="1"/>
  <c r="S847" i="1"/>
  <c r="X847" i="1"/>
  <c r="R847" i="1"/>
  <c r="L847" i="1"/>
  <c r="T847" i="1"/>
  <c r="R819" i="1"/>
  <c r="M819" i="1"/>
  <c r="L819" i="1"/>
  <c r="T819" i="1"/>
  <c r="S819" i="1"/>
  <c r="O819" i="1"/>
  <c r="X819" i="1"/>
  <c r="Q819" i="1"/>
  <c r="W819" i="1"/>
  <c r="V819" i="1"/>
  <c r="U819" i="1"/>
  <c r="P819" i="1"/>
  <c r="K819" i="1"/>
  <c r="L33" i="1"/>
  <c r="U33" i="1"/>
  <c r="O33" i="1"/>
  <c r="K33" i="1"/>
  <c r="S33" i="1"/>
  <c r="Q33" i="1"/>
  <c r="T33" i="1"/>
  <c r="H33" i="1"/>
  <c r="W33" i="1"/>
  <c r="V33" i="1"/>
  <c r="X33" i="1"/>
  <c r="R33" i="1"/>
  <c r="P33" i="1"/>
  <c r="M33" i="1"/>
  <c r="S416" i="1"/>
  <c r="V416" i="1"/>
  <c r="X416" i="1"/>
  <c r="M416" i="1"/>
  <c r="P416" i="1"/>
  <c r="T416" i="1"/>
  <c r="K416" i="1"/>
  <c r="O416" i="1"/>
  <c r="W416" i="1"/>
  <c r="Q416" i="1"/>
  <c r="R416" i="1"/>
  <c r="L416" i="1"/>
  <c r="U416" i="1"/>
  <c r="M568" i="1"/>
  <c r="W568" i="1"/>
  <c r="R568" i="1"/>
  <c r="L568" i="1"/>
  <c r="S568" i="1"/>
  <c r="K568" i="1"/>
  <c r="Q568" i="1"/>
  <c r="T568" i="1"/>
  <c r="U568" i="1"/>
  <c r="P568" i="1"/>
  <c r="O568" i="1"/>
  <c r="V568" i="1"/>
  <c r="X568" i="1"/>
  <c r="S131" i="1"/>
  <c r="O131" i="1"/>
  <c r="K131" i="1"/>
  <c r="X131" i="1"/>
  <c r="W131" i="1"/>
  <c r="V131" i="1"/>
  <c r="U131" i="1"/>
  <c r="L131" i="1"/>
  <c r="M131" i="1"/>
  <c r="R131" i="1"/>
  <c r="Q131" i="1"/>
  <c r="T131" i="1"/>
  <c r="P131" i="1"/>
  <c r="R544" i="1"/>
  <c r="P544" i="1"/>
  <c r="U544" i="1"/>
  <c r="K544" i="1"/>
  <c r="Q544" i="1"/>
  <c r="X544" i="1"/>
  <c r="M544" i="1"/>
  <c r="W544" i="1"/>
  <c r="L544" i="1"/>
  <c r="T544" i="1"/>
  <c r="O544" i="1"/>
  <c r="S544" i="1"/>
  <c r="V544" i="1"/>
  <c r="W453" i="1"/>
  <c r="Q453" i="1"/>
  <c r="V453" i="1"/>
  <c r="X453" i="1"/>
  <c r="T453" i="1"/>
  <c r="U453" i="1"/>
  <c r="S453" i="1"/>
  <c r="K453" i="1"/>
  <c r="R453" i="1"/>
  <c r="L453" i="1"/>
  <c r="P453" i="1"/>
  <c r="O453" i="1"/>
  <c r="M453" i="1"/>
  <c r="K308" i="1"/>
  <c r="W308" i="1"/>
  <c r="V308" i="1"/>
  <c r="M308" i="1"/>
  <c r="U308" i="1"/>
  <c r="P308" i="1"/>
  <c r="T308" i="1"/>
  <c r="S308" i="1"/>
  <c r="O308" i="1"/>
  <c r="Q308" i="1"/>
  <c r="X308" i="1"/>
  <c r="R308" i="1"/>
  <c r="L308" i="1"/>
  <c r="L169" i="1"/>
  <c r="M169" i="1"/>
  <c r="R169" i="1"/>
  <c r="X169" i="1"/>
  <c r="W169" i="1"/>
  <c r="Q169" i="1"/>
  <c r="P169" i="1"/>
  <c r="K169" i="1"/>
  <c r="O169" i="1"/>
  <c r="V169" i="1"/>
  <c r="U169" i="1"/>
  <c r="T169" i="1"/>
  <c r="S169" i="1"/>
  <c r="T673" i="1"/>
  <c r="S673" i="1"/>
  <c r="W673" i="1"/>
  <c r="R673" i="1"/>
  <c r="L673" i="1"/>
  <c r="P673" i="1"/>
  <c r="U673" i="1"/>
  <c r="O673" i="1"/>
  <c r="K673" i="1"/>
  <c r="Q673" i="1"/>
  <c r="V673" i="1"/>
  <c r="X673" i="1"/>
  <c r="M673" i="1"/>
  <c r="S252" i="1"/>
  <c r="K252" i="1"/>
  <c r="W252" i="1"/>
  <c r="V252" i="1"/>
  <c r="Q252" i="1"/>
  <c r="U252" i="1"/>
  <c r="P252" i="1"/>
  <c r="O252" i="1"/>
  <c r="L252" i="1"/>
  <c r="M252" i="1"/>
  <c r="R252" i="1"/>
  <c r="X252" i="1"/>
  <c r="T252" i="1"/>
  <c r="P936" i="1"/>
  <c r="T936" i="1"/>
  <c r="K936" i="1"/>
  <c r="S936" i="1"/>
  <c r="Q936" i="1"/>
  <c r="W936" i="1"/>
  <c r="L936" i="1"/>
  <c r="V936" i="1"/>
  <c r="U936" i="1"/>
  <c r="O936" i="1"/>
  <c r="X936" i="1"/>
  <c r="R936" i="1"/>
  <c r="M936" i="1"/>
  <c r="S277" i="1"/>
  <c r="M277" i="1"/>
  <c r="P277" i="1"/>
  <c r="T277" i="1"/>
  <c r="L277" i="1"/>
  <c r="K277" i="1"/>
  <c r="O277" i="1"/>
  <c r="W277" i="1"/>
  <c r="Q277" i="1"/>
  <c r="V277" i="1"/>
  <c r="X277" i="1"/>
  <c r="R277" i="1"/>
  <c r="U277" i="1"/>
  <c r="S683" i="1"/>
  <c r="O683" i="1"/>
  <c r="Q683" i="1"/>
  <c r="M683" i="1"/>
  <c r="R683" i="1"/>
  <c r="P683" i="1"/>
  <c r="T683" i="1"/>
  <c r="K683" i="1"/>
  <c r="V683" i="1"/>
  <c r="X683" i="1"/>
  <c r="W683" i="1"/>
  <c r="L683" i="1"/>
  <c r="U683" i="1"/>
  <c r="S325" i="1"/>
  <c r="W325" i="1"/>
  <c r="Q325" i="1"/>
  <c r="V325" i="1"/>
  <c r="R325" i="1"/>
  <c r="L325" i="1"/>
  <c r="T325" i="1"/>
  <c r="O325" i="1"/>
  <c r="X325" i="1"/>
  <c r="M325" i="1"/>
  <c r="U325" i="1"/>
  <c r="P325" i="1"/>
  <c r="K325" i="1"/>
  <c r="V57" i="1"/>
  <c r="P57" i="1"/>
  <c r="O57" i="1"/>
  <c r="K57" i="1"/>
  <c r="H57" i="1"/>
  <c r="L57" i="1"/>
  <c r="M57" i="1"/>
  <c r="U57" i="1"/>
  <c r="S57" i="1"/>
  <c r="R57" i="1"/>
  <c r="X57" i="1"/>
  <c r="W57" i="1"/>
  <c r="Q57" i="1"/>
  <c r="T57" i="1"/>
  <c r="W916" i="1"/>
  <c r="V916" i="1"/>
  <c r="P916" i="1"/>
  <c r="S916" i="1"/>
  <c r="K916" i="1"/>
  <c r="R916" i="1"/>
  <c r="L916" i="1"/>
  <c r="Q916" i="1"/>
  <c r="T916" i="1"/>
  <c r="U916" i="1"/>
  <c r="O916" i="1"/>
  <c r="X916" i="1"/>
  <c r="M916" i="1"/>
  <c r="L607" i="1"/>
  <c r="T607" i="1"/>
  <c r="S607" i="1"/>
  <c r="O607" i="1"/>
  <c r="Q607" i="1"/>
  <c r="V607" i="1"/>
  <c r="W607" i="1"/>
  <c r="P607" i="1"/>
  <c r="K607" i="1"/>
  <c r="X607" i="1"/>
  <c r="M607" i="1"/>
  <c r="R607" i="1"/>
  <c r="U607" i="1"/>
  <c r="O809" i="1"/>
  <c r="K809" i="1"/>
  <c r="L809" i="1"/>
  <c r="W809" i="1"/>
  <c r="V809" i="1"/>
  <c r="T809" i="1"/>
  <c r="P809" i="1"/>
  <c r="S809" i="1"/>
  <c r="X809" i="1"/>
  <c r="R809" i="1"/>
  <c r="M809" i="1"/>
  <c r="Q809" i="1"/>
  <c r="U809" i="1"/>
  <c r="W295" i="1"/>
  <c r="Q295" i="1"/>
  <c r="V295" i="1"/>
  <c r="X295" i="1"/>
  <c r="M295" i="1"/>
  <c r="U295" i="1"/>
  <c r="K295" i="1"/>
  <c r="S295" i="1"/>
  <c r="T295" i="1"/>
  <c r="P295" i="1"/>
  <c r="L295" i="1"/>
  <c r="O295" i="1"/>
  <c r="R295" i="1"/>
  <c r="S211" i="1"/>
  <c r="L211" i="1"/>
  <c r="V211" i="1"/>
  <c r="Q211" i="1"/>
  <c r="U211" i="1"/>
  <c r="W211" i="1"/>
  <c r="T211" i="1"/>
  <c r="P211" i="1"/>
  <c r="O211" i="1"/>
  <c r="K211" i="1"/>
  <c r="M211" i="1"/>
  <c r="R211" i="1"/>
  <c r="X211" i="1"/>
  <c r="K605" i="1"/>
  <c r="Q605" i="1"/>
  <c r="M605" i="1"/>
  <c r="R605" i="1"/>
  <c r="L605" i="1"/>
  <c r="T605" i="1"/>
  <c r="U605" i="1"/>
  <c r="S605" i="1"/>
  <c r="O605" i="1"/>
  <c r="V605" i="1"/>
  <c r="X605" i="1"/>
  <c r="W605" i="1"/>
  <c r="P605" i="1"/>
  <c r="X903" i="1"/>
  <c r="R903" i="1"/>
  <c r="M903" i="1"/>
  <c r="L903" i="1"/>
  <c r="Q903" i="1"/>
  <c r="V903" i="1"/>
  <c r="K903" i="1"/>
  <c r="S903" i="1"/>
  <c r="U903" i="1"/>
  <c r="T903" i="1"/>
  <c r="P903" i="1"/>
  <c r="O903" i="1"/>
  <c r="W903" i="1"/>
  <c r="X540" i="1"/>
  <c r="M540" i="1"/>
  <c r="W540" i="1"/>
  <c r="L540" i="1"/>
  <c r="S540" i="1"/>
  <c r="O540" i="1"/>
  <c r="Q540" i="1"/>
  <c r="V540" i="1"/>
  <c r="U540" i="1"/>
  <c r="K540" i="1"/>
  <c r="R540" i="1"/>
  <c r="T540" i="1"/>
  <c r="P540" i="1"/>
  <c r="K116" i="1"/>
  <c r="L116" i="1"/>
  <c r="M116" i="1"/>
  <c r="X116" i="1"/>
  <c r="W116" i="1"/>
  <c r="V116" i="1"/>
  <c r="Q116" i="1"/>
  <c r="T116" i="1"/>
  <c r="S116" i="1"/>
  <c r="O116" i="1"/>
  <c r="R116" i="1"/>
  <c r="U116" i="1"/>
  <c r="P116" i="1"/>
  <c r="O494" i="1"/>
  <c r="S494" i="1"/>
  <c r="K494" i="1"/>
  <c r="Q494" i="1"/>
  <c r="V494" i="1"/>
  <c r="M494" i="1"/>
  <c r="R494" i="1"/>
  <c r="L494" i="1"/>
  <c r="W494" i="1"/>
  <c r="X494" i="1"/>
  <c r="P494" i="1"/>
  <c r="T494" i="1"/>
  <c r="U494" i="1"/>
  <c r="S256" i="1"/>
  <c r="X256" i="1"/>
  <c r="W256" i="1"/>
  <c r="V256" i="1"/>
  <c r="U256" i="1"/>
  <c r="P256" i="1"/>
  <c r="K256" i="1"/>
  <c r="L256" i="1"/>
  <c r="M256" i="1"/>
  <c r="R256" i="1"/>
  <c r="Q256" i="1"/>
  <c r="T256" i="1"/>
  <c r="O256" i="1"/>
  <c r="U609" i="1"/>
  <c r="Q609" i="1"/>
  <c r="M609" i="1"/>
  <c r="R609" i="1"/>
  <c r="T609" i="1"/>
  <c r="X609" i="1"/>
  <c r="W609" i="1"/>
  <c r="L609" i="1"/>
  <c r="P609" i="1"/>
  <c r="S609" i="1"/>
  <c r="K609" i="1"/>
  <c r="O609" i="1"/>
  <c r="V609" i="1"/>
  <c r="V362" i="1"/>
  <c r="X362" i="1"/>
  <c r="R362" i="1"/>
  <c r="L362" i="1"/>
  <c r="U362" i="1"/>
  <c r="T362" i="1"/>
  <c r="K362" i="1"/>
  <c r="Q362" i="1"/>
  <c r="W362" i="1"/>
  <c r="M362" i="1"/>
  <c r="P362" i="1"/>
  <c r="S362" i="1"/>
  <c r="O362" i="1"/>
  <c r="L392" i="1"/>
  <c r="U392" i="1"/>
  <c r="O392" i="1"/>
  <c r="X392" i="1"/>
  <c r="R392" i="1"/>
  <c r="Q392" i="1"/>
  <c r="V392" i="1"/>
  <c r="M392" i="1"/>
  <c r="P392" i="1"/>
  <c r="T392" i="1"/>
  <c r="K392" i="1"/>
  <c r="S392" i="1"/>
  <c r="W392" i="1"/>
  <c r="U811" i="1"/>
  <c r="O811" i="1"/>
  <c r="X811" i="1"/>
  <c r="L811" i="1"/>
  <c r="P811" i="1"/>
  <c r="Q811" i="1"/>
  <c r="W811" i="1"/>
  <c r="V811" i="1"/>
  <c r="T811" i="1"/>
  <c r="K811" i="1"/>
  <c r="S811" i="1"/>
  <c r="R811" i="1"/>
  <c r="M811" i="1"/>
  <c r="X629" i="1"/>
  <c r="M629" i="1"/>
  <c r="W629" i="1"/>
  <c r="R629" i="1"/>
  <c r="O629" i="1"/>
  <c r="K629" i="1"/>
  <c r="S629" i="1"/>
  <c r="V629" i="1"/>
  <c r="U629" i="1"/>
  <c r="Q629" i="1"/>
  <c r="L629" i="1"/>
  <c r="P629" i="1"/>
  <c r="T629" i="1"/>
  <c r="L208" i="1"/>
  <c r="X208" i="1"/>
  <c r="V208" i="1"/>
  <c r="Q208" i="1"/>
  <c r="P208" i="1"/>
  <c r="T208" i="1"/>
  <c r="K208" i="1"/>
  <c r="O208" i="1"/>
  <c r="S208" i="1"/>
  <c r="M208" i="1"/>
  <c r="R208" i="1"/>
  <c r="W208" i="1"/>
  <c r="U208" i="1"/>
  <c r="V808" i="1"/>
  <c r="P808" i="1"/>
  <c r="U808" i="1"/>
  <c r="S808" i="1"/>
  <c r="X808" i="1"/>
  <c r="Q808" i="1"/>
  <c r="M808" i="1"/>
  <c r="L808" i="1"/>
  <c r="W808" i="1"/>
  <c r="T808" i="1"/>
  <c r="O808" i="1"/>
  <c r="K808" i="1"/>
  <c r="R808" i="1"/>
  <c r="Q741" i="1"/>
  <c r="X741" i="1"/>
  <c r="M741" i="1"/>
  <c r="W741" i="1"/>
  <c r="R741" i="1"/>
  <c r="L741" i="1"/>
  <c r="S741" i="1"/>
  <c r="O741" i="1"/>
  <c r="V741" i="1"/>
  <c r="U741" i="1"/>
  <c r="T741" i="1"/>
  <c r="P741" i="1"/>
  <c r="K741" i="1"/>
  <c r="Q398" i="1"/>
  <c r="L398" i="1"/>
  <c r="P398" i="1"/>
  <c r="O398" i="1"/>
  <c r="S398" i="1"/>
  <c r="W398" i="1"/>
  <c r="M398" i="1"/>
  <c r="R398" i="1"/>
  <c r="T398" i="1"/>
  <c r="U398" i="1"/>
  <c r="K398" i="1"/>
  <c r="V398" i="1"/>
  <c r="X398" i="1"/>
  <c r="P89" i="1"/>
  <c r="K89" i="1"/>
  <c r="O89" i="1"/>
  <c r="L89" i="1"/>
  <c r="M89" i="1"/>
  <c r="W89" i="1"/>
  <c r="T89" i="1"/>
  <c r="U89" i="1"/>
  <c r="S89" i="1"/>
  <c r="R89" i="1"/>
  <c r="X89" i="1"/>
  <c r="V89" i="1"/>
  <c r="Q89" i="1"/>
  <c r="H26" i="1"/>
  <c r="K26" i="1"/>
  <c r="X26" i="1"/>
  <c r="P26" i="1"/>
  <c r="Q26" i="1"/>
  <c r="T26" i="1"/>
  <c r="U26" i="1"/>
  <c r="S26" i="1"/>
  <c r="L26" i="1"/>
  <c r="M26" i="1"/>
  <c r="R26" i="1"/>
  <c r="V26" i="1"/>
  <c r="O26" i="1"/>
  <c r="W26" i="1"/>
  <c r="O377" i="1"/>
  <c r="W377" i="1"/>
  <c r="V377" i="1"/>
  <c r="X377" i="1"/>
  <c r="U377" i="1"/>
  <c r="S377" i="1"/>
  <c r="K377" i="1"/>
  <c r="Q377" i="1"/>
  <c r="M377" i="1"/>
  <c r="R377" i="1"/>
  <c r="L377" i="1"/>
  <c r="P377" i="1"/>
  <c r="T377" i="1"/>
  <c r="S986" i="1"/>
  <c r="K986" i="1"/>
  <c r="X986" i="1"/>
  <c r="M986" i="1"/>
  <c r="T986" i="1"/>
  <c r="U986" i="1"/>
  <c r="O986" i="1"/>
  <c r="R986" i="1"/>
  <c r="L986" i="1"/>
  <c r="Q986" i="1"/>
  <c r="W986" i="1"/>
  <c r="V986" i="1"/>
  <c r="P986" i="1"/>
  <c r="T666" i="1"/>
  <c r="U666" i="1"/>
  <c r="Q666" i="1"/>
  <c r="M666" i="1"/>
  <c r="W666" i="1"/>
  <c r="V666" i="1"/>
  <c r="X666" i="1"/>
  <c r="R666" i="1"/>
  <c r="L666" i="1"/>
  <c r="P666" i="1"/>
  <c r="K666" i="1"/>
  <c r="S666" i="1"/>
  <c r="O666" i="1"/>
  <c r="S344" i="1"/>
  <c r="K344" i="1"/>
  <c r="W344" i="1"/>
  <c r="Q344" i="1"/>
  <c r="X344" i="1"/>
  <c r="M344" i="1"/>
  <c r="L344" i="1"/>
  <c r="P344" i="1"/>
  <c r="T344" i="1"/>
  <c r="O344" i="1"/>
  <c r="V344" i="1"/>
  <c r="R344" i="1"/>
  <c r="U344" i="1"/>
  <c r="V559" i="1"/>
  <c r="X559" i="1"/>
  <c r="P559" i="1"/>
  <c r="O559" i="1"/>
  <c r="K559" i="1"/>
  <c r="Q559" i="1"/>
  <c r="M559" i="1"/>
  <c r="W559" i="1"/>
  <c r="R559" i="1"/>
  <c r="L559" i="1"/>
  <c r="U559" i="1"/>
  <c r="S559" i="1"/>
  <c r="T559" i="1"/>
  <c r="L176" i="1"/>
  <c r="R176" i="1"/>
  <c r="W176" i="1"/>
  <c r="V176" i="1"/>
  <c r="Q176" i="1"/>
  <c r="T176" i="1"/>
  <c r="U176" i="1"/>
  <c r="S176" i="1"/>
  <c r="K176" i="1"/>
  <c r="M176" i="1"/>
  <c r="X176" i="1"/>
  <c r="P176" i="1"/>
  <c r="O176" i="1"/>
  <c r="K786" i="1"/>
  <c r="M786" i="1"/>
  <c r="L786" i="1"/>
  <c r="Q786" i="1"/>
  <c r="V786" i="1"/>
  <c r="T786" i="1"/>
  <c r="U786" i="1"/>
  <c r="S786" i="1"/>
  <c r="P786" i="1"/>
  <c r="X786" i="1"/>
  <c r="R786" i="1"/>
  <c r="W786" i="1"/>
  <c r="O786" i="1"/>
  <c r="K215" i="1"/>
  <c r="S215" i="1"/>
  <c r="L215" i="1"/>
  <c r="M215" i="1"/>
  <c r="X215" i="1"/>
  <c r="P215" i="1"/>
  <c r="O215" i="1"/>
  <c r="R215" i="1"/>
  <c r="W215" i="1"/>
  <c r="V215" i="1"/>
  <c r="Q215" i="1"/>
  <c r="T215" i="1"/>
  <c r="U215" i="1"/>
  <c r="Q589" i="1"/>
  <c r="X589" i="1"/>
  <c r="L589" i="1"/>
  <c r="O589" i="1"/>
  <c r="K589" i="1"/>
  <c r="V589" i="1"/>
  <c r="M589" i="1"/>
  <c r="W589" i="1"/>
  <c r="R589" i="1"/>
  <c r="U589" i="1"/>
  <c r="T589" i="1"/>
  <c r="S589" i="1"/>
  <c r="P589" i="1"/>
  <c r="R341" i="1"/>
  <c r="U341" i="1"/>
  <c r="T341" i="1"/>
  <c r="P341" i="1"/>
  <c r="O341" i="1"/>
  <c r="Q341" i="1"/>
  <c r="X341" i="1"/>
  <c r="M341" i="1"/>
  <c r="L341" i="1"/>
  <c r="K341" i="1"/>
  <c r="S341" i="1"/>
  <c r="W341" i="1"/>
  <c r="V341" i="1"/>
  <c r="T921" i="1"/>
  <c r="U921" i="1"/>
  <c r="O921" i="1"/>
  <c r="K921" i="1"/>
  <c r="M921" i="1"/>
  <c r="L921" i="1"/>
  <c r="W921" i="1"/>
  <c r="V921" i="1"/>
  <c r="P921" i="1"/>
  <c r="S921" i="1"/>
  <c r="X921" i="1"/>
  <c r="R921" i="1"/>
  <c r="Q921" i="1"/>
  <c r="Q668" i="1"/>
  <c r="R668" i="1"/>
  <c r="L668" i="1"/>
  <c r="P668" i="1"/>
  <c r="X668" i="1"/>
  <c r="M668" i="1"/>
  <c r="W668" i="1"/>
  <c r="U668" i="1"/>
  <c r="O668" i="1"/>
  <c r="K668" i="1"/>
  <c r="S668" i="1"/>
  <c r="V668" i="1"/>
  <c r="T668" i="1"/>
  <c r="Q52" i="1"/>
  <c r="P52" i="1"/>
  <c r="U52" i="1"/>
  <c r="S52" i="1"/>
  <c r="K52" i="1"/>
  <c r="X52" i="1"/>
  <c r="H52" i="1"/>
  <c r="L52" i="1"/>
  <c r="O52" i="1"/>
  <c r="R52" i="1"/>
  <c r="T52" i="1"/>
  <c r="M52" i="1"/>
  <c r="W52" i="1"/>
  <c r="V52" i="1"/>
  <c r="O425" i="1"/>
  <c r="S425" i="1"/>
  <c r="W425" i="1"/>
  <c r="Q425" i="1"/>
  <c r="X425" i="1"/>
  <c r="P425" i="1"/>
  <c r="T425" i="1"/>
  <c r="K425" i="1"/>
  <c r="U425" i="1"/>
  <c r="M425" i="1"/>
  <c r="R425" i="1"/>
  <c r="L425" i="1"/>
  <c r="V425" i="1"/>
  <c r="Q883" i="1"/>
  <c r="W883" i="1"/>
  <c r="P883" i="1"/>
  <c r="U883" i="1"/>
  <c r="X883" i="1"/>
  <c r="K883" i="1"/>
  <c r="S883" i="1"/>
  <c r="R883" i="1"/>
  <c r="M883" i="1"/>
  <c r="L883" i="1"/>
  <c r="V883" i="1"/>
  <c r="T883" i="1"/>
  <c r="O883" i="1"/>
  <c r="P357" i="1"/>
  <c r="S357" i="1"/>
  <c r="K357" i="1"/>
  <c r="Q357" i="1"/>
  <c r="X357" i="1"/>
  <c r="M357" i="1"/>
  <c r="L357" i="1"/>
  <c r="O357" i="1"/>
  <c r="W357" i="1"/>
  <c r="V357" i="1"/>
  <c r="R357" i="1"/>
  <c r="T357" i="1"/>
  <c r="U357" i="1"/>
  <c r="O851" i="1"/>
  <c r="K851" i="1"/>
  <c r="R851" i="1"/>
  <c r="W851" i="1"/>
  <c r="S851" i="1"/>
  <c r="X851" i="1"/>
  <c r="M851" i="1"/>
  <c r="L851" i="1"/>
  <c r="Q851" i="1"/>
  <c r="V851" i="1"/>
  <c r="U851" i="1"/>
  <c r="T851" i="1"/>
  <c r="P851" i="1"/>
  <c r="V575" i="1"/>
  <c r="X575" i="1"/>
  <c r="W575" i="1"/>
  <c r="R575" i="1"/>
  <c r="T575" i="1"/>
  <c r="O575" i="1"/>
  <c r="K575" i="1"/>
  <c r="Q575" i="1"/>
  <c r="P575" i="1"/>
  <c r="U575" i="1"/>
  <c r="S575" i="1"/>
  <c r="M575" i="1"/>
  <c r="L575" i="1"/>
  <c r="K174" i="1"/>
  <c r="O174" i="1"/>
  <c r="M174" i="1"/>
  <c r="Q174" i="1"/>
  <c r="U174" i="1"/>
  <c r="T174" i="1"/>
  <c r="P174" i="1"/>
  <c r="S174" i="1"/>
  <c r="L174" i="1"/>
  <c r="R174" i="1"/>
  <c r="X174" i="1"/>
  <c r="W174" i="1"/>
  <c r="V174" i="1"/>
  <c r="T863" i="1"/>
  <c r="K863" i="1"/>
  <c r="O863" i="1"/>
  <c r="X863" i="1"/>
  <c r="L863" i="1"/>
  <c r="W863" i="1"/>
  <c r="V863" i="1"/>
  <c r="S863" i="1"/>
  <c r="R863" i="1"/>
  <c r="M863" i="1"/>
  <c r="Q863" i="1"/>
  <c r="P863" i="1"/>
  <c r="U863" i="1"/>
  <c r="X660" i="1"/>
  <c r="M660" i="1"/>
  <c r="R660" i="1"/>
  <c r="O660" i="1"/>
  <c r="S660" i="1"/>
  <c r="K660" i="1"/>
  <c r="Q660" i="1"/>
  <c r="V660" i="1"/>
  <c r="P660" i="1"/>
  <c r="U660" i="1"/>
  <c r="W660" i="1"/>
  <c r="L660" i="1"/>
  <c r="T660" i="1"/>
  <c r="X366" i="1"/>
  <c r="R366" i="1"/>
  <c r="L366" i="1"/>
  <c r="P366" i="1"/>
  <c r="K366" i="1"/>
  <c r="W366" i="1"/>
  <c r="V366" i="1"/>
  <c r="M366" i="1"/>
  <c r="T366" i="1"/>
  <c r="U366" i="1"/>
  <c r="O366" i="1"/>
  <c r="S366" i="1"/>
  <c r="Q366" i="1"/>
  <c r="P204" i="1"/>
  <c r="L204" i="1"/>
  <c r="M204" i="1"/>
  <c r="R204" i="1"/>
  <c r="W204" i="1"/>
  <c r="Q204" i="1"/>
  <c r="T204" i="1"/>
  <c r="K204" i="1"/>
  <c r="S204" i="1"/>
  <c r="O204" i="1"/>
  <c r="X204" i="1"/>
  <c r="V204" i="1"/>
  <c r="U204" i="1"/>
  <c r="X748" i="1"/>
  <c r="M748" i="1"/>
  <c r="R748" i="1"/>
  <c r="L748" i="1"/>
  <c r="K748" i="1"/>
  <c r="V748" i="1"/>
  <c r="Q748" i="1"/>
  <c r="W748" i="1"/>
  <c r="P748" i="1"/>
  <c r="T748" i="1"/>
  <c r="U748" i="1"/>
  <c r="O748" i="1"/>
  <c r="S748" i="1"/>
  <c r="V7" i="1"/>
  <c r="R7" i="1"/>
  <c r="W7" i="1"/>
  <c r="L7" i="1"/>
  <c r="P7" i="1"/>
  <c r="U7" i="1"/>
  <c r="O7" i="1"/>
  <c r="H7" i="1"/>
  <c r="T7" i="1"/>
  <c r="K7" i="1"/>
  <c r="M7" i="1"/>
  <c r="Q7" i="1"/>
  <c r="S7" i="1"/>
  <c r="X7" i="1"/>
  <c r="T800" i="1"/>
  <c r="S800" i="1"/>
  <c r="O800" i="1"/>
  <c r="K800" i="1"/>
  <c r="R800" i="1"/>
  <c r="M800" i="1"/>
  <c r="W800" i="1"/>
  <c r="V800" i="1"/>
  <c r="P800" i="1"/>
  <c r="X800" i="1"/>
  <c r="L800" i="1"/>
  <c r="Q800" i="1"/>
  <c r="U800" i="1"/>
  <c r="W454" i="1"/>
  <c r="V454" i="1"/>
  <c r="M454" i="1"/>
  <c r="R454" i="1"/>
  <c r="U454" i="1"/>
  <c r="O454" i="1"/>
  <c r="K454" i="1"/>
  <c r="S454" i="1"/>
  <c r="P454" i="1"/>
  <c r="T454" i="1"/>
  <c r="Q454" i="1"/>
  <c r="X454" i="1"/>
  <c r="L454" i="1"/>
  <c r="O379" i="1"/>
  <c r="V379" i="1"/>
  <c r="M379" i="1"/>
  <c r="R379" i="1"/>
  <c r="T379" i="1"/>
  <c r="L379" i="1"/>
  <c r="P379" i="1"/>
  <c r="U379" i="1"/>
  <c r="S379" i="1"/>
  <c r="K379" i="1"/>
  <c r="W379" i="1"/>
  <c r="Q379" i="1"/>
  <c r="X379" i="1"/>
  <c r="X567" i="1"/>
  <c r="U567" i="1"/>
  <c r="T567" i="1"/>
  <c r="S567" i="1"/>
  <c r="Q567" i="1"/>
  <c r="V567" i="1"/>
  <c r="M567" i="1"/>
  <c r="W567" i="1"/>
  <c r="R567" i="1"/>
  <c r="L567" i="1"/>
  <c r="P567" i="1"/>
  <c r="O567" i="1"/>
  <c r="K567" i="1"/>
  <c r="P103" i="1"/>
  <c r="U103" i="1"/>
  <c r="K103" i="1"/>
  <c r="O103" i="1"/>
  <c r="L103" i="1"/>
  <c r="V103" i="1"/>
  <c r="Q103" i="1"/>
  <c r="T103" i="1"/>
  <c r="S103" i="1"/>
  <c r="M103" i="1"/>
  <c r="R103" i="1"/>
  <c r="X103" i="1"/>
  <c r="W103" i="1"/>
  <c r="M788" i="1"/>
  <c r="W788" i="1"/>
  <c r="V788" i="1"/>
  <c r="P788" i="1"/>
  <c r="U788" i="1"/>
  <c r="K788" i="1"/>
  <c r="S788" i="1"/>
  <c r="X788" i="1"/>
  <c r="Q788" i="1"/>
  <c r="T788" i="1"/>
  <c r="O788" i="1"/>
  <c r="R788" i="1"/>
  <c r="L788" i="1"/>
  <c r="K303" i="1"/>
  <c r="S303" i="1"/>
  <c r="V303" i="1"/>
  <c r="L303" i="1"/>
  <c r="P303" i="1"/>
  <c r="U303" i="1"/>
  <c r="T303" i="1"/>
  <c r="O303" i="1"/>
  <c r="W303" i="1"/>
  <c r="Q303" i="1"/>
  <c r="X303" i="1"/>
  <c r="M303" i="1"/>
  <c r="R303" i="1"/>
  <c r="K947" i="1"/>
  <c r="X947" i="1"/>
  <c r="R947" i="1"/>
  <c r="L947" i="1"/>
  <c r="W947" i="1"/>
  <c r="V947" i="1"/>
  <c r="U947" i="1"/>
  <c r="O947" i="1"/>
  <c r="M947" i="1"/>
  <c r="Q947" i="1"/>
  <c r="T947" i="1"/>
  <c r="P947" i="1"/>
  <c r="S947" i="1"/>
  <c r="U216" i="1"/>
  <c r="S216" i="1"/>
  <c r="K216" i="1"/>
  <c r="O216" i="1"/>
  <c r="L216" i="1"/>
  <c r="M216" i="1"/>
  <c r="W216" i="1"/>
  <c r="V216" i="1"/>
  <c r="R216" i="1"/>
  <c r="X216" i="1"/>
  <c r="Q216" i="1"/>
  <c r="T216" i="1"/>
  <c r="P216" i="1"/>
  <c r="W600" i="1"/>
  <c r="L600" i="1"/>
  <c r="P600" i="1"/>
  <c r="U600" i="1"/>
  <c r="T600" i="1"/>
  <c r="M600" i="1"/>
  <c r="S600" i="1"/>
  <c r="K600" i="1"/>
  <c r="Q600" i="1"/>
  <c r="V600" i="1"/>
  <c r="X600" i="1"/>
  <c r="R600" i="1"/>
  <c r="O600" i="1"/>
  <c r="T250" i="1"/>
  <c r="K250" i="1"/>
  <c r="L250" i="1"/>
  <c r="M250" i="1"/>
  <c r="R250" i="1"/>
  <c r="X250" i="1"/>
  <c r="W250" i="1"/>
  <c r="Q250" i="1"/>
  <c r="U250" i="1"/>
  <c r="S250" i="1"/>
  <c r="O250" i="1"/>
  <c r="V250" i="1"/>
  <c r="P250" i="1"/>
  <c r="M872" i="1"/>
  <c r="L872" i="1"/>
  <c r="W872" i="1"/>
  <c r="V872" i="1"/>
  <c r="P872" i="1"/>
  <c r="K872" i="1"/>
  <c r="S872" i="1"/>
  <c r="R872" i="1"/>
  <c r="T872" i="1"/>
  <c r="U872" i="1"/>
  <c r="O872" i="1"/>
  <c r="X872" i="1"/>
  <c r="Q872" i="1"/>
  <c r="M550" i="1"/>
  <c r="L550" i="1"/>
  <c r="K550" i="1"/>
  <c r="Q550" i="1"/>
  <c r="V550" i="1"/>
  <c r="X550" i="1"/>
  <c r="U550" i="1"/>
  <c r="T550" i="1"/>
  <c r="P550" i="1"/>
  <c r="O550" i="1"/>
  <c r="S550" i="1"/>
  <c r="W550" i="1"/>
  <c r="R550" i="1"/>
  <c r="O381" i="1"/>
  <c r="X381" i="1"/>
  <c r="M381" i="1"/>
  <c r="T381" i="1"/>
  <c r="U381" i="1"/>
  <c r="S381" i="1"/>
  <c r="W381" i="1"/>
  <c r="Q381" i="1"/>
  <c r="V381" i="1"/>
  <c r="R381" i="1"/>
  <c r="L381" i="1"/>
  <c r="P381" i="1"/>
  <c r="K381" i="1"/>
  <c r="V626" i="1"/>
  <c r="X626" i="1"/>
  <c r="M626" i="1"/>
  <c r="R626" i="1"/>
  <c r="U626" i="1"/>
  <c r="O626" i="1"/>
  <c r="S626" i="1"/>
  <c r="Q626" i="1"/>
  <c r="P626" i="1"/>
  <c r="T626" i="1"/>
  <c r="K626" i="1"/>
  <c r="W626" i="1"/>
  <c r="L626" i="1"/>
  <c r="W313" i="1"/>
  <c r="Q313" i="1"/>
  <c r="X313" i="1"/>
  <c r="T313" i="1"/>
  <c r="P313" i="1"/>
  <c r="K313" i="1"/>
  <c r="O313" i="1"/>
  <c r="V313" i="1"/>
  <c r="M313" i="1"/>
  <c r="R313" i="1"/>
  <c r="L313" i="1"/>
  <c r="U313" i="1"/>
  <c r="S313" i="1"/>
  <c r="P69" i="1"/>
  <c r="L69" i="1"/>
  <c r="R69" i="1"/>
  <c r="W69" i="1"/>
  <c r="Q69" i="1"/>
  <c r="X69" i="1"/>
  <c r="V69" i="1"/>
  <c r="T69" i="1"/>
  <c r="U69" i="1"/>
  <c r="O69" i="1"/>
  <c r="S69" i="1"/>
  <c r="K69" i="1"/>
  <c r="M69" i="1"/>
  <c r="K964" i="1"/>
  <c r="X964" i="1"/>
  <c r="M964" i="1"/>
  <c r="L964" i="1"/>
  <c r="V964" i="1"/>
  <c r="P964" i="1"/>
  <c r="O964" i="1"/>
  <c r="S964" i="1"/>
  <c r="W964" i="1"/>
  <c r="U964" i="1"/>
  <c r="T964" i="1"/>
  <c r="R964" i="1"/>
  <c r="Q964" i="1"/>
  <c r="L105" i="1"/>
  <c r="M105" i="1"/>
  <c r="W105" i="1"/>
  <c r="V105" i="1"/>
  <c r="Q105" i="1"/>
  <c r="P105" i="1"/>
  <c r="U105" i="1"/>
  <c r="K105" i="1"/>
  <c r="O105" i="1"/>
  <c r="S105" i="1"/>
  <c r="R105" i="1"/>
  <c r="X105" i="1"/>
  <c r="T105" i="1"/>
  <c r="O648" i="1"/>
  <c r="V648" i="1"/>
  <c r="X648" i="1"/>
  <c r="P648" i="1"/>
  <c r="L648" i="1"/>
  <c r="U648" i="1"/>
  <c r="S648" i="1"/>
  <c r="K648" i="1"/>
  <c r="Q648" i="1"/>
  <c r="M648" i="1"/>
  <c r="W648" i="1"/>
  <c r="R648" i="1"/>
  <c r="T648" i="1"/>
  <c r="M373" i="1"/>
  <c r="R373" i="1"/>
  <c r="P373" i="1"/>
  <c r="U373" i="1"/>
  <c r="O373" i="1"/>
  <c r="W373" i="1"/>
  <c r="V373" i="1"/>
  <c r="X373" i="1"/>
  <c r="T373" i="1"/>
  <c r="S373" i="1"/>
  <c r="K373" i="1"/>
  <c r="Q373" i="1"/>
  <c r="L373" i="1"/>
  <c r="R920" i="1"/>
  <c r="M920" i="1"/>
  <c r="Q920" i="1"/>
  <c r="W920" i="1"/>
  <c r="U920" i="1"/>
  <c r="T920" i="1"/>
  <c r="S920" i="1"/>
  <c r="K920" i="1"/>
  <c r="L920" i="1"/>
  <c r="V920" i="1"/>
  <c r="P920" i="1"/>
  <c r="O920" i="1"/>
  <c r="X920" i="1"/>
  <c r="S72" i="1"/>
  <c r="R72" i="1"/>
  <c r="V72" i="1"/>
  <c r="X72" i="1"/>
  <c r="W72" i="1"/>
  <c r="Q72" i="1"/>
  <c r="U72" i="1"/>
  <c r="O72" i="1"/>
  <c r="K72" i="1"/>
  <c r="L72" i="1"/>
  <c r="M72" i="1"/>
  <c r="T72" i="1"/>
  <c r="P72" i="1"/>
  <c r="K906" i="1"/>
  <c r="S906" i="1"/>
  <c r="X906" i="1"/>
  <c r="O906" i="1"/>
  <c r="R906" i="1"/>
  <c r="M906" i="1"/>
  <c r="L906" i="1"/>
  <c r="Q906" i="1"/>
  <c r="W906" i="1"/>
  <c r="V906" i="1"/>
  <c r="U906" i="1"/>
  <c r="T906" i="1"/>
  <c r="P906" i="1"/>
  <c r="V711" i="1"/>
  <c r="X711" i="1"/>
  <c r="W711" i="1"/>
  <c r="L711" i="1"/>
  <c r="U711" i="1"/>
  <c r="K711" i="1"/>
  <c r="S711" i="1"/>
  <c r="M711" i="1"/>
  <c r="R711" i="1"/>
  <c r="P711" i="1"/>
  <c r="T711" i="1"/>
  <c r="O711" i="1"/>
  <c r="Q711" i="1"/>
  <c r="O446" i="1"/>
  <c r="K446" i="1"/>
  <c r="W446" i="1"/>
  <c r="Q446" i="1"/>
  <c r="V446" i="1"/>
  <c r="L446" i="1"/>
  <c r="P446" i="1"/>
  <c r="S446" i="1"/>
  <c r="X446" i="1"/>
  <c r="M446" i="1"/>
  <c r="R446" i="1"/>
  <c r="U446" i="1"/>
  <c r="T446" i="1"/>
  <c r="L709" i="1"/>
  <c r="P709" i="1"/>
  <c r="S709" i="1"/>
  <c r="K709" i="1"/>
  <c r="O709" i="1"/>
  <c r="Q709" i="1"/>
  <c r="W709" i="1"/>
  <c r="U709" i="1"/>
  <c r="V709" i="1"/>
  <c r="X709" i="1"/>
  <c r="M709" i="1"/>
  <c r="R709" i="1"/>
  <c r="T709" i="1"/>
  <c r="T128" i="1"/>
  <c r="U128" i="1"/>
  <c r="K128" i="1"/>
  <c r="L128" i="1"/>
  <c r="M128" i="1"/>
  <c r="R128" i="1"/>
  <c r="X128" i="1"/>
  <c r="Q128" i="1"/>
  <c r="P128" i="1"/>
  <c r="S128" i="1"/>
  <c r="O128" i="1"/>
  <c r="W128" i="1"/>
  <c r="V128" i="1"/>
  <c r="P966" i="1"/>
  <c r="K966" i="1"/>
  <c r="S966" i="1"/>
  <c r="R966" i="1"/>
  <c r="M966" i="1"/>
  <c r="W966" i="1"/>
  <c r="V966" i="1"/>
  <c r="T966" i="1"/>
  <c r="U966" i="1"/>
  <c r="O966" i="1"/>
  <c r="X966" i="1"/>
  <c r="L966" i="1"/>
  <c r="Q966" i="1"/>
  <c r="O288" i="1"/>
  <c r="Q288" i="1"/>
  <c r="V288" i="1"/>
  <c r="X288" i="1"/>
  <c r="U288" i="1"/>
  <c r="L288" i="1"/>
  <c r="T288" i="1"/>
  <c r="P288" i="1"/>
  <c r="K288" i="1"/>
  <c r="S288" i="1"/>
  <c r="W288" i="1"/>
  <c r="M288" i="1"/>
  <c r="R288" i="1"/>
  <c r="R527" i="1"/>
  <c r="U527" i="1"/>
  <c r="K527" i="1"/>
  <c r="Q527" i="1"/>
  <c r="V527" i="1"/>
  <c r="M527" i="1"/>
  <c r="W527" i="1"/>
  <c r="L527" i="1"/>
  <c r="T527" i="1"/>
  <c r="P527" i="1"/>
  <c r="O527" i="1"/>
  <c r="S527" i="1"/>
  <c r="X527" i="1"/>
  <c r="W369" i="1"/>
  <c r="Q369" i="1"/>
  <c r="X369" i="1"/>
  <c r="L369" i="1"/>
  <c r="T369" i="1"/>
  <c r="O369" i="1"/>
  <c r="S369" i="1"/>
  <c r="K369" i="1"/>
  <c r="P369" i="1"/>
  <c r="U369" i="1"/>
  <c r="V369" i="1"/>
  <c r="M369" i="1"/>
  <c r="R369" i="1"/>
  <c r="W983" i="1"/>
  <c r="T983" i="1"/>
  <c r="P983" i="1"/>
  <c r="S983" i="1"/>
  <c r="R983" i="1"/>
  <c r="X983" i="1"/>
  <c r="M983" i="1"/>
  <c r="L983" i="1"/>
  <c r="Q983" i="1"/>
  <c r="V983" i="1"/>
  <c r="U983" i="1"/>
  <c r="K983" i="1"/>
  <c r="O983" i="1"/>
  <c r="K153" i="1"/>
  <c r="L153" i="1"/>
  <c r="M153" i="1"/>
  <c r="R153" i="1"/>
  <c r="V153" i="1"/>
  <c r="U153" i="1"/>
  <c r="S153" i="1"/>
  <c r="O153" i="1"/>
  <c r="X153" i="1"/>
  <c r="W153" i="1"/>
  <c r="Q153" i="1"/>
  <c r="T153" i="1"/>
  <c r="P153" i="1"/>
  <c r="W39" i="1"/>
  <c r="V39" i="1"/>
  <c r="T39" i="1"/>
  <c r="K39" i="1"/>
  <c r="H39" i="1"/>
  <c r="L39" i="1"/>
  <c r="M39" i="1"/>
  <c r="R39" i="1"/>
  <c r="S39" i="1"/>
  <c r="X39" i="1"/>
  <c r="Q39" i="1"/>
  <c r="P39" i="1"/>
  <c r="O39" i="1"/>
  <c r="U39" i="1"/>
  <c r="V696" i="1"/>
  <c r="X696" i="1"/>
  <c r="L696" i="1"/>
  <c r="T696" i="1"/>
  <c r="U696" i="1"/>
  <c r="O696" i="1"/>
  <c r="S696" i="1"/>
  <c r="Q696" i="1"/>
  <c r="R696" i="1"/>
  <c r="P696" i="1"/>
  <c r="K696" i="1"/>
  <c r="M696" i="1"/>
  <c r="W696" i="1"/>
  <c r="O467" i="1"/>
  <c r="Q467" i="1"/>
  <c r="P467" i="1"/>
  <c r="V467" i="1"/>
  <c r="X467" i="1"/>
  <c r="M467" i="1"/>
  <c r="R467" i="1"/>
  <c r="L467" i="1"/>
  <c r="S467" i="1"/>
  <c r="K467" i="1"/>
  <c r="W467" i="1"/>
  <c r="T467" i="1"/>
  <c r="U467" i="1"/>
  <c r="M799" i="1"/>
  <c r="W799" i="1"/>
  <c r="P799" i="1"/>
  <c r="T799" i="1"/>
  <c r="O799" i="1"/>
  <c r="K799" i="1"/>
  <c r="X799" i="1"/>
  <c r="Q799" i="1"/>
  <c r="V799" i="1"/>
  <c r="U799" i="1"/>
  <c r="S799" i="1"/>
  <c r="R799" i="1"/>
  <c r="L799" i="1"/>
  <c r="P162" i="1"/>
  <c r="T162" i="1"/>
  <c r="K162" i="1"/>
  <c r="R162" i="1"/>
  <c r="W162" i="1"/>
  <c r="M162" i="1"/>
  <c r="X162" i="1"/>
  <c r="V162" i="1"/>
  <c r="Q162" i="1"/>
  <c r="U162" i="1"/>
  <c r="O162" i="1"/>
  <c r="S162" i="1"/>
  <c r="L162" i="1"/>
  <c r="V701" i="1"/>
  <c r="M701" i="1"/>
  <c r="R701" i="1"/>
  <c r="P701" i="1"/>
  <c r="U701" i="1"/>
  <c r="T701" i="1"/>
  <c r="O701" i="1"/>
  <c r="S701" i="1"/>
  <c r="K701" i="1"/>
  <c r="Q701" i="1"/>
  <c r="X701" i="1"/>
  <c r="W701" i="1"/>
  <c r="L701" i="1"/>
  <c r="X923" i="1"/>
  <c r="R923" i="1"/>
  <c r="M923" i="1"/>
  <c r="V923" i="1"/>
  <c r="P923" i="1"/>
  <c r="K923" i="1"/>
  <c r="O923" i="1"/>
  <c r="S923" i="1"/>
  <c r="U923" i="1"/>
  <c r="T923" i="1"/>
  <c r="L923" i="1"/>
  <c r="Q923" i="1"/>
  <c r="W923" i="1"/>
  <c r="T483" i="1"/>
  <c r="O483" i="1"/>
  <c r="S483" i="1"/>
  <c r="W483" i="1"/>
  <c r="Q483" i="1"/>
  <c r="M483" i="1"/>
  <c r="L483" i="1"/>
  <c r="P483" i="1"/>
  <c r="U483" i="1"/>
  <c r="K483" i="1"/>
  <c r="V483" i="1"/>
  <c r="X483" i="1"/>
  <c r="R483" i="1"/>
  <c r="K201" i="1"/>
  <c r="M201" i="1"/>
  <c r="W201" i="1"/>
  <c r="T201" i="1"/>
  <c r="U201" i="1"/>
  <c r="S201" i="1"/>
  <c r="O201" i="1"/>
  <c r="L201" i="1"/>
  <c r="R201" i="1"/>
  <c r="X201" i="1"/>
  <c r="V201" i="1"/>
  <c r="Q201" i="1"/>
  <c r="P201" i="1"/>
  <c r="P796" i="1"/>
  <c r="U796" i="1"/>
  <c r="K796" i="1"/>
  <c r="S796" i="1"/>
  <c r="X796" i="1"/>
  <c r="Q796" i="1"/>
  <c r="W796" i="1"/>
  <c r="T796" i="1"/>
  <c r="O796" i="1"/>
  <c r="R796" i="1"/>
  <c r="M796" i="1"/>
  <c r="L796" i="1"/>
  <c r="V796" i="1"/>
  <c r="V647" i="1"/>
  <c r="X647" i="1"/>
  <c r="P647" i="1"/>
  <c r="K647" i="1"/>
  <c r="O647" i="1"/>
  <c r="Q647" i="1"/>
  <c r="R647" i="1"/>
  <c r="L647" i="1"/>
  <c r="U647" i="1"/>
  <c r="T647" i="1"/>
  <c r="S647" i="1"/>
  <c r="M647" i="1"/>
  <c r="W647" i="1"/>
  <c r="W426" i="1"/>
  <c r="V426" i="1"/>
  <c r="L426" i="1"/>
  <c r="T426" i="1"/>
  <c r="P426" i="1"/>
  <c r="K426" i="1"/>
  <c r="O426" i="1"/>
  <c r="Q426" i="1"/>
  <c r="X426" i="1"/>
  <c r="M426" i="1"/>
  <c r="R426" i="1"/>
  <c r="U426" i="1"/>
  <c r="S426" i="1"/>
  <c r="K977" i="1"/>
  <c r="X977" i="1"/>
  <c r="R977" i="1"/>
  <c r="M977" i="1"/>
  <c r="L977" i="1"/>
  <c r="Q977" i="1"/>
  <c r="W977" i="1"/>
  <c r="S977" i="1"/>
  <c r="U977" i="1"/>
  <c r="V977" i="1"/>
  <c r="T977" i="1"/>
  <c r="P977" i="1"/>
  <c r="O977" i="1"/>
  <c r="M21" i="1"/>
  <c r="U21" i="1"/>
  <c r="O21" i="1"/>
  <c r="K21" i="1"/>
  <c r="R21" i="1"/>
  <c r="V21" i="1"/>
  <c r="P21" i="1"/>
  <c r="H21" i="1"/>
  <c r="S21" i="1"/>
  <c r="L21" i="1"/>
  <c r="W21" i="1"/>
  <c r="T21" i="1"/>
  <c r="X21" i="1"/>
  <c r="Q21" i="1"/>
  <c r="S731" i="1"/>
  <c r="V731" i="1"/>
  <c r="R731" i="1"/>
  <c r="L731" i="1"/>
  <c r="T731" i="1"/>
  <c r="K731" i="1"/>
  <c r="O731" i="1"/>
  <c r="Q731" i="1"/>
  <c r="X731" i="1"/>
  <c r="M731" i="1"/>
  <c r="W731" i="1"/>
  <c r="U731" i="1"/>
  <c r="P731" i="1"/>
  <c r="W508" i="1"/>
  <c r="Q508" i="1"/>
  <c r="V508" i="1"/>
  <c r="L508" i="1"/>
  <c r="T508" i="1"/>
  <c r="U508" i="1"/>
  <c r="P508" i="1"/>
  <c r="K508" i="1"/>
  <c r="O508" i="1"/>
  <c r="X508" i="1"/>
  <c r="M508" i="1"/>
  <c r="R508" i="1"/>
  <c r="S508" i="1"/>
  <c r="K919" i="1"/>
  <c r="R919" i="1"/>
  <c r="Q919" i="1"/>
  <c r="W919" i="1"/>
  <c r="T919" i="1"/>
  <c r="S919" i="1"/>
  <c r="O919" i="1"/>
  <c r="X919" i="1"/>
  <c r="M919" i="1"/>
  <c r="L919" i="1"/>
  <c r="V919" i="1"/>
  <c r="U919" i="1"/>
  <c r="P919" i="1"/>
  <c r="S698" i="1"/>
  <c r="Q698" i="1"/>
  <c r="R698" i="1"/>
  <c r="L698" i="1"/>
  <c r="U698" i="1"/>
  <c r="T698" i="1"/>
  <c r="P698" i="1"/>
  <c r="O698" i="1"/>
  <c r="K698" i="1"/>
  <c r="V698" i="1"/>
  <c r="X698" i="1"/>
  <c r="M698" i="1"/>
  <c r="W698" i="1"/>
  <c r="X334" i="1"/>
  <c r="U334" i="1"/>
  <c r="K334" i="1"/>
  <c r="Q334" i="1"/>
  <c r="V334" i="1"/>
  <c r="M334" i="1"/>
  <c r="R334" i="1"/>
  <c r="L334" i="1"/>
  <c r="T334" i="1"/>
  <c r="P334" i="1"/>
  <c r="S334" i="1"/>
  <c r="O334" i="1"/>
  <c r="W334" i="1"/>
  <c r="O157" i="1"/>
  <c r="K157" i="1"/>
  <c r="M157" i="1"/>
  <c r="V157" i="1"/>
  <c r="T157" i="1"/>
  <c r="P157" i="1"/>
  <c r="S157" i="1"/>
  <c r="L157" i="1"/>
  <c r="R157" i="1"/>
  <c r="X157" i="1"/>
  <c r="W157" i="1"/>
  <c r="Q157" i="1"/>
  <c r="U157" i="1"/>
  <c r="W841" i="1"/>
  <c r="V841" i="1"/>
  <c r="U841" i="1"/>
  <c r="T841" i="1"/>
  <c r="R841" i="1"/>
  <c r="L841" i="1"/>
  <c r="S841" i="1"/>
  <c r="X841" i="1"/>
  <c r="M841" i="1"/>
  <c r="Q841" i="1"/>
  <c r="P841" i="1"/>
  <c r="K841" i="1"/>
  <c r="O841" i="1"/>
  <c r="T545" i="1"/>
  <c r="K545" i="1"/>
  <c r="X545" i="1"/>
  <c r="R545" i="1"/>
  <c r="L545" i="1"/>
  <c r="M545" i="1"/>
  <c r="W545" i="1"/>
  <c r="P545" i="1"/>
  <c r="U545" i="1"/>
  <c r="O545" i="1"/>
  <c r="S545" i="1"/>
  <c r="Q545" i="1"/>
  <c r="V545" i="1"/>
  <c r="S463" i="1"/>
  <c r="X463" i="1"/>
  <c r="T463" i="1"/>
  <c r="U463" i="1"/>
  <c r="V463" i="1"/>
  <c r="M463" i="1"/>
  <c r="R463" i="1"/>
  <c r="L463" i="1"/>
  <c r="K463" i="1"/>
  <c r="O463" i="1"/>
  <c r="W463" i="1"/>
  <c r="Q463" i="1"/>
  <c r="P463" i="1"/>
  <c r="M56" i="1"/>
  <c r="T56" i="1"/>
  <c r="R56" i="1"/>
  <c r="X56" i="1"/>
  <c r="V56" i="1"/>
  <c r="Q56" i="1"/>
  <c r="K56" i="1"/>
  <c r="L56" i="1"/>
  <c r="W56" i="1"/>
  <c r="P56" i="1"/>
  <c r="U56" i="1"/>
  <c r="O56" i="1"/>
  <c r="H56" i="1"/>
  <c r="S56" i="1"/>
  <c r="U248" i="1"/>
  <c r="O248" i="1"/>
  <c r="R248" i="1"/>
  <c r="W248" i="1"/>
  <c r="T248" i="1"/>
  <c r="X248" i="1"/>
  <c r="V248" i="1"/>
  <c r="Q248" i="1"/>
  <c r="P248" i="1"/>
  <c r="S248" i="1"/>
  <c r="K248" i="1"/>
  <c r="L248" i="1"/>
  <c r="M248" i="1"/>
  <c r="R675" i="1"/>
  <c r="U675" i="1"/>
  <c r="O675" i="1"/>
  <c r="S675" i="1"/>
  <c r="Q675" i="1"/>
  <c r="X675" i="1"/>
  <c r="L675" i="1"/>
  <c r="P675" i="1"/>
  <c r="T675" i="1"/>
  <c r="K675" i="1"/>
  <c r="V675" i="1"/>
  <c r="M675" i="1"/>
  <c r="W675" i="1"/>
  <c r="S286" i="1"/>
  <c r="Q286" i="1"/>
  <c r="V286" i="1"/>
  <c r="R286" i="1"/>
  <c r="L286" i="1"/>
  <c r="T286" i="1"/>
  <c r="U286" i="1"/>
  <c r="K286" i="1"/>
  <c r="O286" i="1"/>
  <c r="W286" i="1"/>
  <c r="X286" i="1"/>
  <c r="M286" i="1"/>
  <c r="P286" i="1"/>
  <c r="T763" i="1"/>
  <c r="O763" i="1"/>
  <c r="S763" i="1"/>
  <c r="M763" i="1"/>
  <c r="X763" i="1"/>
  <c r="W763" i="1"/>
  <c r="R763" i="1"/>
  <c r="L763" i="1"/>
  <c r="P763" i="1"/>
  <c r="K763" i="1"/>
  <c r="Q763" i="1"/>
  <c r="V763" i="1"/>
  <c r="U763" i="1"/>
  <c r="S19" i="1"/>
  <c r="X19" i="1"/>
  <c r="T19" i="1"/>
  <c r="H19" i="1"/>
  <c r="K19" i="1"/>
  <c r="O19" i="1"/>
  <c r="L19" i="1"/>
  <c r="R19" i="1"/>
  <c r="M19" i="1"/>
  <c r="W19" i="1"/>
  <c r="V19" i="1"/>
  <c r="Q19" i="1"/>
  <c r="P19" i="1"/>
  <c r="U19" i="1"/>
  <c r="O974" i="1"/>
  <c r="S974" i="1"/>
  <c r="M974" i="1"/>
  <c r="Q974" i="1"/>
  <c r="W974" i="1"/>
  <c r="V974" i="1"/>
  <c r="U974" i="1"/>
  <c r="K974" i="1"/>
  <c r="P974" i="1"/>
  <c r="R974" i="1"/>
  <c r="L974" i="1"/>
  <c r="T974" i="1"/>
  <c r="X974" i="1"/>
  <c r="T505" i="1"/>
  <c r="O505" i="1"/>
  <c r="W505" i="1"/>
  <c r="Q505" i="1"/>
  <c r="X505" i="1"/>
  <c r="R505" i="1"/>
  <c r="U505" i="1"/>
  <c r="P505" i="1"/>
  <c r="S505" i="1"/>
  <c r="K505" i="1"/>
  <c r="V505" i="1"/>
  <c r="M505" i="1"/>
  <c r="L505" i="1"/>
  <c r="M561" i="1"/>
  <c r="W561" i="1"/>
  <c r="R561" i="1"/>
  <c r="T561" i="1"/>
  <c r="P561" i="1"/>
  <c r="S561" i="1"/>
  <c r="O561" i="1"/>
  <c r="V561" i="1"/>
  <c r="L561" i="1"/>
  <c r="U561" i="1"/>
  <c r="K561" i="1"/>
  <c r="Q561" i="1"/>
  <c r="X561" i="1"/>
  <c r="Q982" i="1"/>
  <c r="W982" i="1"/>
  <c r="V982" i="1"/>
  <c r="K982" i="1"/>
  <c r="O982" i="1"/>
  <c r="X982" i="1"/>
  <c r="R982" i="1"/>
  <c r="L982" i="1"/>
  <c r="P982" i="1"/>
  <c r="S982" i="1"/>
  <c r="M982" i="1"/>
  <c r="T982" i="1"/>
  <c r="U982" i="1"/>
  <c r="T393" i="1"/>
  <c r="K393" i="1"/>
  <c r="W393" i="1"/>
  <c r="Q393" i="1"/>
  <c r="M393" i="1"/>
  <c r="R393" i="1"/>
  <c r="L393" i="1"/>
  <c r="U393" i="1"/>
  <c r="S393" i="1"/>
  <c r="O393" i="1"/>
  <c r="V393" i="1"/>
  <c r="X393" i="1"/>
  <c r="P393" i="1"/>
  <c r="M194" i="1"/>
  <c r="W194" i="1"/>
  <c r="V194" i="1"/>
  <c r="P194" i="1"/>
  <c r="U194" i="1"/>
  <c r="K194" i="1"/>
  <c r="S194" i="1"/>
  <c r="L194" i="1"/>
  <c r="Q194" i="1"/>
  <c r="T194" i="1"/>
  <c r="O194" i="1"/>
  <c r="R194" i="1"/>
  <c r="X194" i="1"/>
  <c r="S999" i="1"/>
  <c r="L999" i="1"/>
  <c r="V999" i="1"/>
  <c r="T999" i="1"/>
  <c r="U999" i="1"/>
  <c r="P999" i="1"/>
  <c r="K999" i="1"/>
  <c r="O999" i="1"/>
  <c r="X999" i="1"/>
  <c r="R999" i="1"/>
  <c r="M999" i="1"/>
  <c r="Q999" i="1"/>
  <c r="W999" i="1"/>
  <c r="L608" i="1"/>
  <c r="P608" i="1"/>
  <c r="U608" i="1"/>
  <c r="V608" i="1"/>
  <c r="M608" i="1"/>
  <c r="R608" i="1"/>
  <c r="Q608" i="1"/>
  <c r="X608" i="1"/>
  <c r="W608" i="1"/>
  <c r="T608" i="1"/>
  <c r="K608" i="1"/>
  <c r="O608" i="1"/>
  <c r="S608" i="1"/>
  <c r="L76" i="1"/>
  <c r="M76" i="1"/>
  <c r="X76" i="1"/>
  <c r="W76" i="1"/>
  <c r="Q76" i="1"/>
  <c r="U76" i="1"/>
  <c r="T76" i="1"/>
  <c r="S76" i="1"/>
  <c r="P76" i="1"/>
  <c r="O76" i="1"/>
  <c r="R76" i="1"/>
  <c r="V76" i="1"/>
  <c r="K76" i="1"/>
  <c r="W406" i="1"/>
  <c r="Q406" i="1"/>
  <c r="V406" i="1"/>
  <c r="R406" i="1"/>
  <c r="P406" i="1"/>
  <c r="O406" i="1"/>
  <c r="S406" i="1"/>
  <c r="X406" i="1"/>
  <c r="M406" i="1"/>
  <c r="L406" i="1"/>
  <c r="T406" i="1"/>
  <c r="U406" i="1"/>
  <c r="K406" i="1"/>
  <c r="O484" i="1"/>
  <c r="T484" i="1"/>
  <c r="W484" i="1"/>
  <c r="Q484" i="1"/>
  <c r="X484" i="1"/>
  <c r="M484" i="1"/>
  <c r="K484" i="1"/>
  <c r="S484" i="1"/>
  <c r="V484" i="1"/>
  <c r="R484" i="1"/>
  <c r="L484" i="1"/>
  <c r="U484" i="1"/>
  <c r="P484" i="1"/>
  <c r="L826" i="1"/>
  <c r="T826" i="1"/>
  <c r="M826" i="1"/>
  <c r="S826" i="1"/>
  <c r="P826" i="1"/>
  <c r="U826" i="1"/>
  <c r="X826" i="1"/>
  <c r="R826" i="1"/>
  <c r="Q826" i="1"/>
  <c r="K826" i="1"/>
  <c r="O826" i="1"/>
  <c r="W826" i="1"/>
  <c r="V826" i="1"/>
  <c r="O571" i="1"/>
  <c r="S571" i="1"/>
  <c r="P571" i="1"/>
  <c r="X571" i="1"/>
  <c r="W571" i="1"/>
  <c r="K571" i="1"/>
  <c r="U571" i="1"/>
  <c r="T571" i="1"/>
  <c r="Q571" i="1"/>
  <c r="V571" i="1"/>
  <c r="M571" i="1"/>
  <c r="R571" i="1"/>
  <c r="L571" i="1"/>
  <c r="S122" i="1"/>
  <c r="L122" i="1"/>
  <c r="M122" i="1"/>
  <c r="R122" i="1"/>
  <c r="Q122" i="1"/>
  <c r="O122" i="1"/>
  <c r="K122" i="1"/>
  <c r="U122" i="1"/>
  <c r="X122" i="1"/>
  <c r="W122" i="1"/>
  <c r="V122" i="1"/>
  <c r="P122" i="1"/>
  <c r="T122" i="1"/>
  <c r="V457" i="1"/>
  <c r="L457" i="1"/>
  <c r="O457" i="1"/>
  <c r="U457" i="1"/>
  <c r="W457" i="1"/>
  <c r="P457" i="1"/>
  <c r="Q457" i="1"/>
  <c r="X457" i="1"/>
  <c r="M457" i="1"/>
  <c r="R457" i="1"/>
  <c r="S457" i="1"/>
  <c r="K457" i="1"/>
  <c r="T457" i="1"/>
  <c r="V170" i="1"/>
  <c r="S170" i="1"/>
  <c r="T170" i="1"/>
  <c r="L170" i="1"/>
  <c r="R170" i="1"/>
  <c r="W170" i="1"/>
  <c r="X170" i="1"/>
  <c r="Q170" i="1"/>
  <c r="O170" i="1"/>
  <c r="K170" i="1"/>
  <c r="U170" i="1"/>
  <c r="P170" i="1"/>
  <c r="M170" i="1"/>
  <c r="S678" i="1"/>
  <c r="P678" i="1"/>
  <c r="M678" i="1"/>
  <c r="W678" i="1"/>
  <c r="R678" i="1"/>
  <c r="V678" i="1"/>
  <c r="X678" i="1"/>
  <c r="L678" i="1"/>
  <c r="O678" i="1"/>
  <c r="K678" i="1"/>
  <c r="U678" i="1"/>
  <c r="T678" i="1"/>
  <c r="Q678" i="1"/>
  <c r="U813" i="1"/>
  <c r="X813" i="1"/>
  <c r="R813" i="1"/>
  <c r="M813" i="1"/>
  <c r="L813" i="1"/>
  <c r="S813" i="1"/>
  <c r="O813" i="1"/>
  <c r="P813" i="1"/>
  <c r="Q813" i="1"/>
  <c r="W813" i="1"/>
  <c r="V813" i="1"/>
  <c r="K813" i="1"/>
  <c r="T813" i="1"/>
  <c r="T985" i="1"/>
  <c r="X985" i="1"/>
  <c r="R985" i="1"/>
  <c r="M985" i="1"/>
  <c r="L985" i="1"/>
  <c r="W985" i="1"/>
  <c r="O985" i="1"/>
  <c r="P985" i="1"/>
  <c r="V985" i="1"/>
  <c r="U985" i="1"/>
  <c r="Q985" i="1"/>
  <c r="S985" i="1"/>
  <c r="K985" i="1"/>
  <c r="T687" i="1"/>
  <c r="P687" i="1"/>
  <c r="X687" i="1"/>
  <c r="W687" i="1"/>
  <c r="L687" i="1"/>
  <c r="O687" i="1"/>
  <c r="K687" i="1"/>
  <c r="U687" i="1"/>
  <c r="Q687" i="1"/>
  <c r="V687" i="1"/>
  <c r="M687" i="1"/>
  <c r="R687" i="1"/>
  <c r="S687" i="1"/>
  <c r="T342" i="1"/>
  <c r="W342" i="1"/>
  <c r="Q342" i="1"/>
  <c r="V342" i="1"/>
  <c r="U342" i="1"/>
  <c r="X342" i="1"/>
  <c r="M342" i="1"/>
  <c r="R342" i="1"/>
  <c r="O342" i="1"/>
  <c r="S342" i="1"/>
  <c r="K342" i="1"/>
  <c r="P342" i="1"/>
  <c r="L342" i="1"/>
  <c r="Q222" i="1"/>
  <c r="M222" i="1"/>
  <c r="X222" i="1"/>
  <c r="W222" i="1"/>
  <c r="V222" i="1"/>
  <c r="U222" i="1"/>
  <c r="P222" i="1"/>
  <c r="L222" i="1"/>
  <c r="R222" i="1"/>
  <c r="S222" i="1"/>
  <c r="K222" i="1"/>
  <c r="O222" i="1"/>
  <c r="T222" i="1"/>
  <c r="O773" i="1"/>
  <c r="T773" i="1"/>
  <c r="X773" i="1"/>
  <c r="M773" i="1"/>
  <c r="S773" i="1"/>
  <c r="K773" i="1"/>
  <c r="R773" i="1"/>
  <c r="L773" i="1"/>
  <c r="Q773" i="1"/>
  <c r="W773" i="1"/>
  <c r="V773" i="1"/>
  <c r="U773" i="1"/>
  <c r="P773" i="1"/>
  <c r="S363" i="1"/>
  <c r="T363" i="1"/>
  <c r="W363" i="1"/>
  <c r="V363" i="1"/>
  <c r="X363" i="1"/>
  <c r="M363" i="1"/>
  <c r="K363" i="1"/>
  <c r="O363" i="1"/>
  <c r="P363" i="1"/>
  <c r="U363" i="1"/>
  <c r="Q363" i="1"/>
  <c r="R363" i="1"/>
  <c r="L363" i="1"/>
  <c r="T539" i="1"/>
  <c r="Q539" i="1"/>
  <c r="V539" i="1"/>
  <c r="X539" i="1"/>
  <c r="W539" i="1"/>
  <c r="K539" i="1"/>
  <c r="O539" i="1"/>
  <c r="U539" i="1"/>
  <c r="P539" i="1"/>
  <c r="M539" i="1"/>
  <c r="R539" i="1"/>
  <c r="L539" i="1"/>
  <c r="S539" i="1"/>
  <c r="T205" i="1"/>
  <c r="M205" i="1"/>
  <c r="X205" i="1"/>
  <c r="V205" i="1"/>
  <c r="Q205" i="1"/>
  <c r="O205" i="1"/>
  <c r="K205" i="1"/>
  <c r="P205" i="1"/>
  <c r="R205" i="1"/>
  <c r="W205" i="1"/>
  <c r="S205" i="1"/>
  <c r="U205" i="1"/>
  <c r="L205" i="1"/>
  <c r="S237" i="1"/>
  <c r="T237" i="1"/>
  <c r="P237" i="1"/>
  <c r="L237" i="1"/>
  <c r="M237" i="1"/>
  <c r="W237" i="1"/>
  <c r="O237" i="1"/>
  <c r="K237" i="1"/>
  <c r="U237" i="1"/>
  <c r="R237" i="1"/>
  <c r="X237" i="1"/>
  <c r="V237" i="1"/>
  <c r="Q237" i="1"/>
  <c r="L735" i="1"/>
  <c r="R735" i="1"/>
  <c r="O735" i="1"/>
  <c r="S735" i="1"/>
  <c r="P735" i="1"/>
  <c r="U735" i="1"/>
  <c r="T735" i="1"/>
  <c r="Q735" i="1"/>
  <c r="V735" i="1"/>
  <c r="K735" i="1"/>
  <c r="M735" i="1"/>
  <c r="W735" i="1"/>
  <c r="X735" i="1"/>
  <c r="S501" i="1"/>
  <c r="T501" i="1"/>
  <c r="X501" i="1"/>
  <c r="M501" i="1"/>
  <c r="R501" i="1"/>
  <c r="L501" i="1"/>
  <c r="K501" i="1"/>
  <c r="O501" i="1"/>
  <c r="U501" i="1"/>
  <c r="P501" i="1"/>
  <c r="W501" i="1"/>
  <c r="Q501" i="1"/>
  <c r="V501" i="1"/>
  <c r="S793" i="1"/>
  <c r="P793" i="1"/>
  <c r="U793" i="1"/>
  <c r="X793" i="1"/>
  <c r="R793" i="1"/>
  <c r="L793" i="1"/>
  <c r="V793" i="1"/>
  <c r="O793" i="1"/>
  <c r="K793" i="1"/>
  <c r="T793" i="1"/>
  <c r="M793" i="1"/>
  <c r="Q793" i="1"/>
  <c r="W793" i="1"/>
  <c r="U111" i="1"/>
  <c r="T111" i="1"/>
  <c r="L111" i="1"/>
  <c r="W111" i="1"/>
  <c r="V111" i="1"/>
  <c r="K111" i="1"/>
  <c r="S111" i="1"/>
  <c r="P111" i="1"/>
  <c r="M111" i="1"/>
  <c r="R111" i="1"/>
  <c r="X111" i="1"/>
  <c r="Q111" i="1"/>
  <c r="O111" i="1"/>
  <c r="K350" i="1"/>
  <c r="W350" i="1"/>
  <c r="V350" i="1"/>
  <c r="M350" i="1"/>
  <c r="U350" i="1"/>
  <c r="Q350" i="1"/>
  <c r="X350" i="1"/>
  <c r="R350" i="1"/>
  <c r="O350" i="1"/>
  <c r="S350" i="1"/>
  <c r="P350" i="1"/>
  <c r="T350" i="1"/>
  <c r="L350" i="1"/>
  <c r="P876" i="1"/>
  <c r="X876" i="1"/>
  <c r="L876" i="1"/>
  <c r="W876" i="1"/>
  <c r="S876" i="1"/>
  <c r="T876" i="1"/>
  <c r="U876" i="1"/>
  <c r="M876" i="1"/>
  <c r="Q876" i="1"/>
  <c r="V876" i="1"/>
  <c r="K876" i="1"/>
  <c r="O876" i="1"/>
  <c r="R876" i="1"/>
  <c r="R521" i="1"/>
  <c r="L521" i="1"/>
  <c r="U521" i="1"/>
  <c r="Q521" i="1"/>
  <c r="V521" i="1"/>
  <c r="W521" i="1"/>
  <c r="P521" i="1"/>
  <c r="X521" i="1"/>
  <c r="M521" i="1"/>
  <c r="S521" i="1"/>
  <c r="K521" i="1"/>
  <c r="O521" i="1"/>
  <c r="T521" i="1"/>
  <c r="M658" i="1"/>
  <c r="W658" i="1"/>
  <c r="L658" i="1"/>
  <c r="O658" i="1"/>
  <c r="S658" i="1"/>
  <c r="Q658" i="1"/>
  <c r="V658" i="1"/>
  <c r="X658" i="1"/>
  <c r="R658" i="1"/>
  <c r="K658" i="1"/>
  <c r="P658" i="1"/>
  <c r="T658" i="1"/>
  <c r="U658" i="1"/>
  <c r="R444" i="1"/>
  <c r="S444" i="1"/>
  <c r="K444" i="1"/>
  <c r="T444" i="1"/>
  <c r="P444" i="1"/>
  <c r="W444" i="1"/>
  <c r="V444" i="1"/>
  <c r="M444" i="1"/>
  <c r="L444" i="1"/>
  <c r="O444" i="1"/>
  <c r="U444" i="1"/>
  <c r="Q444" i="1"/>
  <c r="X444" i="1"/>
  <c r="T22" i="1"/>
  <c r="Q22" i="1"/>
  <c r="O22" i="1"/>
  <c r="U22" i="1"/>
  <c r="P22" i="1"/>
  <c r="X22" i="1"/>
  <c r="V22" i="1"/>
  <c r="H22" i="1"/>
  <c r="K22" i="1"/>
  <c r="S22" i="1"/>
  <c r="M22" i="1"/>
  <c r="R22" i="1"/>
  <c r="L22" i="1"/>
  <c r="W22" i="1"/>
  <c r="S781" i="1"/>
  <c r="U781" i="1"/>
  <c r="R781" i="1"/>
  <c r="M781" i="1"/>
  <c r="X781" i="1"/>
  <c r="L781" i="1"/>
  <c r="Q781" i="1"/>
  <c r="W781" i="1"/>
  <c r="O781" i="1"/>
  <c r="K781" i="1"/>
  <c r="P781" i="1"/>
  <c r="T781" i="1"/>
  <c r="V781" i="1"/>
  <c r="X861" i="1"/>
  <c r="L861" i="1"/>
  <c r="Q861" i="1"/>
  <c r="O861" i="1"/>
  <c r="S861" i="1"/>
  <c r="P861" i="1"/>
  <c r="T861" i="1"/>
  <c r="U861" i="1"/>
  <c r="W861" i="1"/>
  <c r="V861" i="1"/>
  <c r="K861" i="1"/>
  <c r="R861" i="1"/>
  <c r="M861" i="1"/>
  <c r="H8" i="1"/>
  <c r="U8" i="1"/>
  <c r="M8" i="1"/>
  <c r="K8" i="1"/>
  <c r="X8" i="1"/>
  <c r="W8" i="1"/>
  <c r="V8" i="1"/>
  <c r="O8" i="1"/>
  <c r="T8" i="1"/>
  <c r="L8" i="1"/>
  <c r="Q8" i="1"/>
  <c r="S8" i="1"/>
  <c r="P8" i="1"/>
  <c r="R8" i="1"/>
  <c r="S553" i="1"/>
  <c r="K553" i="1"/>
  <c r="T553" i="1"/>
  <c r="P553" i="1"/>
  <c r="Q553" i="1"/>
  <c r="V553" i="1"/>
  <c r="X553" i="1"/>
  <c r="M553" i="1"/>
  <c r="R553" i="1"/>
  <c r="L553" i="1"/>
  <c r="O553" i="1"/>
  <c r="U553" i="1"/>
  <c r="W553" i="1"/>
  <c r="W500" i="1"/>
  <c r="Q500" i="1"/>
  <c r="X500" i="1"/>
  <c r="S500" i="1"/>
  <c r="P500" i="1"/>
  <c r="U500" i="1"/>
  <c r="T500" i="1"/>
  <c r="V500" i="1"/>
  <c r="M500" i="1"/>
  <c r="R500" i="1"/>
  <c r="L500" i="1"/>
  <c r="O500" i="1"/>
  <c r="K500" i="1"/>
  <c r="L300" i="1"/>
  <c r="O300" i="1"/>
  <c r="K300" i="1"/>
  <c r="S300" i="1"/>
  <c r="X300" i="1"/>
  <c r="R300" i="1"/>
  <c r="V300" i="1"/>
  <c r="M300" i="1"/>
  <c r="P300" i="1"/>
  <c r="T300" i="1"/>
  <c r="U300" i="1"/>
  <c r="W300" i="1"/>
  <c r="Q300" i="1"/>
  <c r="W998" i="1"/>
  <c r="V998" i="1"/>
  <c r="S998" i="1"/>
  <c r="P998" i="1"/>
  <c r="U998" i="1"/>
  <c r="X998" i="1"/>
  <c r="R998" i="1"/>
  <c r="M998" i="1"/>
  <c r="L998" i="1"/>
  <c r="Q998" i="1"/>
  <c r="O998" i="1"/>
  <c r="K998" i="1"/>
  <c r="T998" i="1"/>
  <c r="L615" i="1"/>
  <c r="O615" i="1"/>
  <c r="Q615" i="1"/>
  <c r="V615" i="1"/>
  <c r="X615" i="1"/>
  <c r="U615" i="1"/>
  <c r="M615" i="1"/>
  <c r="W615" i="1"/>
  <c r="R615" i="1"/>
  <c r="S615" i="1"/>
  <c r="K615" i="1"/>
  <c r="P615" i="1"/>
  <c r="T615" i="1"/>
  <c r="W55" i="1"/>
  <c r="K55" i="1"/>
  <c r="P55" i="1"/>
  <c r="X55" i="1"/>
  <c r="R55" i="1"/>
  <c r="O55" i="1"/>
  <c r="T55" i="1"/>
  <c r="M55" i="1"/>
  <c r="Q55" i="1"/>
  <c r="H55" i="1"/>
  <c r="U55" i="1"/>
  <c r="V55" i="1"/>
  <c r="S55" i="1"/>
  <c r="L55" i="1"/>
  <c r="S75" i="1"/>
  <c r="U75" i="1"/>
  <c r="L75" i="1"/>
  <c r="R75" i="1"/>
  <c r="Q75" i="1"/>
  <c r="O75" i="1"/>
  <c r="P75" i="1"/>
  <c r="T75" i="1"/>
  <c r="M75" i="1"/>
  <c r="X75" i="1"/>
  <c r="W75" i="1"/>
  <c r="V75" i="1"/>
  <c r="K75" i="1"/>
  <c r="T662" i="1"/>
  <c r="U662" i="1"/>
  <c r="Q662" i="1"/>
  <c r="M662" i="1"/>
  <c r="R662" i="1"/>
  <c r="P662" i="1"/>
  <c r="O662" i="1"/>
  <c r="S662" i="1"/>
  <c r="V662" i="1"/>
  <c r="X662" i="1"/>
  <c r="W662" i="1"/>
  <c r="L662" i="1"/>
  <c r="K662" i="1"/>
  <c r="U849" i="1"/>
  <c r="X849" i="1"/>
  <c r="P849" i="1"/>
  <c r="R849" i="1"/>
  <c r="M849" i="1"/>
  <c r="L849" i="1"/>
  <c r="S849" i="1"/>
  <c r="O849" i="1"/>
  <c r="K849" i="1"/>
  <c r="T849" i="1"/>
  <c r="Q849" i="1"/>
  <c r="W849" i="1"/>
  <c r="V849" i="1"/>
  <c r="K352" i="1"/>
  <c r="O352" i="1"/>
  <c r="P352" i="1"/>
  <c r="V352" i="1"/>
  <c r="X352" i="1"/>
  <c r="M352" i="1"/>
  <c r="S352" i="1"/>
  <c r="U352" i="1"/>
  <c r="T352" i="1"/>
  <c r="W352" i="1"/>
  <c r="Q352" i="1"/>
  <c r="R352" i="1"/>
  <c r="L352" i="1"/>
  <c r="M411" i="1"/>
  <c r="L411" i="1"/>
  <c r="S411" i="1"/>
  <c r="O411" i="1"/>
  <c r="P411" i="1"/>
  <c r="W411" i="1"/>
  <c r="V411" i="1"/>
  <c r="X411" i="1"/>
  <c r="R411" i="1"/>
  <c r="K411" i="1"/>
  <c r="T411" i="1"/>
  <c r="U411" i="1"/>
  <c r="Q411" i="1"/>
  <c r="K102" i="1"/>
  <c r="S102" i="1"/>
  <c r="T102" i="1"/>
  <c r="L102" i="1"/>
  <c r="W102" i="1"/>
  <c r="V102" i="1"/>
  <c r="Q102" i="1"/>
  <c r="O102" i="1"/>
  <c r="U102" i="1"/>
  <c r="P102" i="1"/>
  <c r="M102" i="1"/>
  <c r="R102" i="1"/>
  <c r="X102" i="1"/>
  <c r="V995" i="1"/>
  <c r="S995" i="1"/>
  <c r="U995" i="1"/>
  <c r="Q995" i="1"/>
  <c r="P995" i="1"/>
  <c r="X995" i="1"/>
  <c r="R995" i="1"/>
  <c r="M995" i="1"/>
  <c r="L995" i="1"/>
  <c r="K995" i="1"/>
  <c r="O995" i="1"/>
  <c r="T995" i="1"/>
  <c r="W995" i="1"/>
  <c r="P753" i="1"/>
  <c r="V753" i="1"/>
  <c r="X753" i="1"/>
  <c r="M753" i="1"/>
  <c r="R753" i="1"/>
  <c r="L753" i="1"/>
  <c r="O753" i="1"/>
  <c r="T753" i="1"/>
  <c r="U753" i="1"/>
  <c r="Q753" i="1"/>
  <c r="W753" i="1"/>
  <c r="S753" i="1"/>
  <c r="K753" i="1"/>
  <c r="W83" i="1"/>
  <c r="V83" i="1"/>
  <c r="L83" i="1"/>
  <c r="M83" i="1"/>
  <c r="X83" i="1"/>
  <c r="T83" i="1"/>
  <c r="U83" i="1"/>
  <c r="P83" i="1"/>
  <c r="R83" i="1"/>
  <c r="Q83" i="1"/>
  <c r="O83" i="1"/>
  <c r="K83" i="1"/>
  <c r="S83" i="1"/>
  <c r="W942" i="1"/>
  <c r="K942" i="1"/>
  <c r="R942" i="1"/>
  <c r="M942" i="1"/>
  <c r="Q942" i="1"/>
  <c r="U942" i="1"/>
  <c r="X942" i="1"/>
  <c r="L942" i="1"/>
  <c r="V942" i="1"/>
  <c r="O942" i="1"/>
  <c r="S942" i="1"/>
  <c r="P942" i="1"/>
  <c r="T942" i="1"/>
  <c r="K294" i="1"/>
  <c r="T294" i="1"/>
  <c r="P294" i="1"/>
  <c r="W294" i="1"/>
  <c r="M294" i="1"/>
  <c r="R294" i="1"/>
  <c r="S294" i="1"/>
  <c r="O294" i="1"/>
  <c r="U294" i="1"/>
  <c r="Q294" i="1"/>
  <c r="V294" i="1"/>
  <c r="X294" i="1"/>
  <c r="L294" i="1"/>
  <c r="L637" i="1"/>
  <c r="K637" i="1"/>
  <c r="T637" i="1"/>
  <c r="U637" i="1"/>
  <c r="P637" i="1"/>
  <c r="Q637" i="1"/>
  <c r="V637" i="1"/>
  <c r="X637" i="1"/>
  <c r="M637" i="1"/>
  <c r="S637" i="1"/>
  <c r="O637" i="1"/>
  <c r="W637" i="1"/>
  <c r="R637" i="1"/>
  <c r="S752" i="1"/>
  <c r="U752" i="1"/>
  <c r="Q752" i="1"/>
  <c r="V752" i="1"/>
  <c r="M752" i="1"/>
  <c r="W752" i="1"/>
  <c r="O752" i="1"/>
  <c r="K752" i="1"/>
  <c r="X752" i="1"/>
  <c r="R752" i="1"/>
  <c r="L752" i="1"/>
  <c r="P752" i="1"/>
  <c r="T752" i="1"/>
  <c r="X356" i="1"/>
  <c r="R356" i="1"/>
  <c r="L356" i="1"/>
  <c r="S356" i="1"/>
  <c r="P356" i="1"/>
  <c r="T356" i="1"/>
  <c r="W356" i="1"/>
  <c r="Q356" i="1"/>
  <c r="V356" i="1"/>
  <c r="M356" i="1"/>
  <c r="O356" i="1"/>
  <c r="K356" i="1"/>
  <c r="U356" i="1"/>
  <c r="H46" i="1"/>
  <c r="L46" i="1"/>
  <c r="R46" i="1"/>
  <c r="T46" i="1"/>
  <c r="X46" i="1"/>
  <c r="P46" i="1"/>
  <c r="W46" i="1"/>
  <c r="Q46" i="1"/>
  <c r="K46" i="1"/>
  <c r="S46" i="1"/>
  <c r="O46" i="1"/>
  <c r="U46" i="1"/>
  <c r="M46" i="1"/>
  <c r="V46" i="1"/>
  <c r="S835" i="1"/>
  <c r="T835" i="1"/>
  <c r="L835" i="1"/>
  <c r="Q835" i="1"/>
  <c r="W835" i="1"/>
  <c r="R835" i="1"/>
  <c r="M835" i="1"/>
  <c r="V835" i="1"/>
  <c r="O835" i="1"/>
  <c r="K835" i="1"/>
  <c r="P835" i="1"/>
  <c r="U835" i="1"/>
  <c r="X835" i="1"/>
  <c r="M419" i="1"/>
  <c r="S419" i="1"/>
  <c r="U419" i="1"/>
  <c r="W419" i="1"/>
  <c r="P419" i="1"/>
  <c r="Q419" i="1"/>
  <c r="V419" i="1"/>
  <c r="X419" i="1"/>
  <c r="R419" i="1"/>
  <c r="K419" i="1"/>
  <c r="O419" i="1"/>
  <c r="T419" i="1"/>
  <c r="L419" i="1"/>
  <c r="W90" i="1"/>
  <c r="V90" i="1"/>
  <c r="Q90" i="1"/>
  <c r="S90" i="1"/>
  <c r="L90" i="1"/>
  <c r="M90" i="1"/>
  <c r="X90" i="1"/>
  <c r="U90" i="1"/>
  <c r="R90" i="1"/>
  <c r="O90" i="1"/>
  <c r="K90" i="1"/>
  <c r="P90" i="1"/>
  <c r="T90" i="1"/>
  <c r="U542" i="1"/>
  <c r="X542" i="1"/>
  <c r="W542" i="1"/>
  <c r="R542" i="1"/>
  <c r="S542" i="1"/>
  <c r="O542" i="1"/>
  <c r="P542" i="1"/>
  <c r="Q542" i="1"/>
  <c r="V542" i="1"/>
  <c r="M542" i="1"/>
  <c r="L542" i="1"/>
  <c r="K542" i="1"/>
  <c r="T542" i="1"/>
  <c r="S38" i="1"/>
  <c r="Q38" i="1"/>
  <c r="K38" i="1"/>
  <c r="U38" i="1"/>
  <c r="V38" i="1"/>
  <c r="M38" i="1"/>
  <c r="R38" i="1"/>
  <c r="X38" i="1"/>
  <c r="H38" i="1"/>
  <c r="O38" i="1"/>
  <c r="P38" i="1"/>
  <c r="L38" i="1"/>
  <c r="T38" i="1"/>
  <c r="W38" i="1"/>
  <c r="V762" i="1"/>
  <c r="M762" i="1"/>
  <c r="S762" i="1"/>
  <c r="K762" i="1"/>
  <c r="U762" i="1"/>
  <c r="T762" i="1"/>
  <c r="Q762" i="1"/>
  <c r="L762" i="1"/>
  <c r="O762" i="1"/>
  <c r="P762" i="1"/>
  <c r="X762" i="1"/>
  <c r="W762" i="1"/>
  <c r="R762" i="1"/>
  <c r="Q339" i="1"/>
  <c r="V339" i="1"/>
  <c r="M339" i="1"/>
  <c r="R339" i="1"/>
  <c r="S339" i="1"/>
  <c r="T339" i="1"/>
  <c r="U339" i="1"/>
  <c r="W339" i="1"/>
  <c r="X339" i="1"/>
  <c r="L339" i="1"/>
  <c r="K339" i="1"/>
  <c r="O339" i="1"/>
  <c r="P339" i="1"/>
  <c r="R869" i="1"/>
  <c r="Q869" i="1"/>
  <c r="V869" i="1"/>
  <c r="O869" i="1"/>
  <c r="X869" i="1"/>
  <c r="T869" i="1"/>
  <c r="U869" i="1"/>
  <c r="P869" i="1"/>
  <c r="M869" i="1"/>
  <c r="L869" i="1"/>
  <c r="W869" i="1"/>
  <c r="S869" i="1"/>
  <c r="K869" i="1"/>
  <c r="P335" i="1"/>
  <c r="W335" i="1"/>
  <c r="Q335" i="1"/>
  <c r="M335" i="1"/>
  <c r="L335" i="1"/>
  <c r="S335" i="1"/>
  <c r="K335" i="1"/>
  <c r="T335" i="1"/>
  <c r="X335" i="1"/>
  <c r="R335" i="1"/>
  <c r="O335" i="1"/>
  <c r="U335" i="1"/>
  <c r="V335" i="1"/>
  <c r="M733" i="1"/>
  <c r="W733" i="1"/>
  <c r="O733" i="1"/>
  <c r="K733" i="1"/>
  <c r="P733" i="1"/>
  <c r="Q733" i="1"/>
  <c r="V733" i="1"/>
  <c r="X733" i="1"/>
  <c r="L733" i="1"/>
  <c r="S733" i="1"/>
  <c r="U733" i="1"/>
  <c r="T733" i="1"/>
  <c r="R733" i="1"/>
  <c r="O119" i="1"/>
  <c r="T119" i="1"/>
  <c r="M119" i="1"/>
  <c r="W119" i="1"/>
  <c r="S119" i="1"/>
  <c r="K119" i="1"/>
  <c r="P119" i="1"/>
  <c r="U119" i="1"/>
  <c r="L119" i="1"/>
  <c r="R119" i="1"/>
  <c r="X119" i="1"/>
  <c r="V119" i="1"/>
  <c r="Q119" i="1"/>
  <c r="O992" i="1"/>
  <c r="T992" i="1"/>
  <c r="P992" i="1"/>
  <c r="Q992" i="1"/>
  <c r="W992" i="1"/>
  <c r="K992" i="1"/>
  <c r="U992" i="1"/>
  <c r="X992" i="1"/>
  <c r="R992" i="1"/>
  <c r="M992" i="1"/>
  <c r="L992" i="1"/>
  <c r="V992" i="1"/>
  <c r="S992" i="1"/>
  <c r="X359" i="1"/>
  <c r="L359" i="1"/>
  <c r="Q359" i="1"/>
  <c r="V359" i="1"/>
  <c r="O359" i="1"/>
  <c r="T359" i="1"/>
  <c r="U359" i="1"/>
  <c r="P359" i="1"/>
  <c r="W359" i="1"/>
  <c r="M359" i="1"/>
  <c r="K359" i="1"/>
  <c r="S359" i="1"/>
  <c r="R359" i="1"/>
  <c r="K123" i="1"/>
  <c r="L123" i="1"/>
  <c r="M123" i="1"/>
  <c r="R123" i="1"/>
  <c r="X123" i="1"/>
  <c r="V123" i="1"/>
  <c r="Q123" i="1"/>
  <c r="S123" i="1"/>
  <c r="O123" i="1"/>
  <c r="T123" i="1"/>
  <c r="U123" i="1"/>
  <c r="P123" i="1"/>
  <c r="W123" i="1"/>
  <c r="X556" i="1"/>
  <c r="M556" i="1"/>
  <c r="W556" i="1"/>
  <c r="O556" i="1"/>
  <c r="T556" i="1"/>
  <c r="U556" i="1"/>
  <c r="Q556" i="1"/>
  <c r="V556" i="1"/>
  <c r="S556" i="1"/>
  <c r="K556" i="1"/>
  <c r="P556" i="1"/>
  <c r="R556" i="1"/>
  <c r="L556" i="1"/>
  <c r="X945" i="1"/>
  <c r="R945" i="1"/>
  <c r="O945" i="1"/>
  <c r="K945" i="1"/>
  <c r="S945" i="1"/>
  <c r="U945" i="1"/>
  <c r="T945" i="1"/>
  <c r="P945" i="1"/>
  <c r="M945" i="1"/>
  <c r="L945" i="1"/>
  <c r="Q945" i="1"/>
  <c r="W945" i="1"/>
  <c r="V945" i="1"/>
  <c r="V768" i="1"/>
  <c r="S768" i="1"/>
  <c r="L768" i="1"/>
  <c r="Q768" i="1"/>
  <c r="K768" i="1"/>
  <c r="W768" i="1"/>
  <c r="M768" i="1"/>
  <c r="X768" i="1"/>
  <c r="R768" i="1"/>
  <c r="O768" i="1"/>
  <c r="P768" i="1"/>
  <c r="T768" i="1"/>
  <c r="U768" i="1"/>
  <c r="P931" i="1"/>
  <c r="T931" i="1"/>
  <c r="O931" i="1"/>
  <c r="X931" i="1"/>
  <c r="R931" i="1"/>
  <c r="M931" i="1"/>
  <c r="L931" i="1"/>
  <c r="V931" i="1"/>
  <c r="K931" i="1"/>
  <c r="S931" i="1"/>
  <c r="Q931" i="1"/>
  <c r="W931" i="1"/>
  <c r="U931" i="1"/>
  <c r="S323" i="1"/>
  <c r="V323" i="1"/>
  <c r="M323" i="1"/>
  <c r="L323" i="1"/>
  <c r="O323" i="1"/>
  <c r="K323" i="1"/>
  <c r="T323" i="1"/>
  <c r="U323" i="1"/>
  <c r="P323" i="1"/>
  <c r="W323" i="1"/>
  <c r="Q323" i="1"/>
  <c r="X323" i="1"/>
  <c r="R323" i="1"/>
  <c r="U97" i="1"/>
  <c r="T97" i="1"/>
  <c r="L97" i="1"/>
  <c r="M97" i="1"/>
  <c r="X97" i="1"/>
  <c r="V97" i="1"/>
  <c r="O97" i="1"/>
  <c r="K97" i="1"/>
  <c r="R97" i="1"/>
  <c r="W97" i="1"/>
  <c r="Q97" i="1"/>
  <c r="S97" i="1"/>
  <c r="P97" i="1"/>
  <c r="R474" i="1"/>
  <c r="S474" i="1"/>
  <c r="K474" i="1"/>
  <c r="T474" i="1"/>
  <c r="W474" i="1"/>
  <c r="Q474" i="1"/>
  <c r="V474" i="1"/>
  <c r="X474" i="1"/>
  <c r="M474" i="1"/>
  <c r="O474" i="1"/>
  <c r="P474" i="1"/>
  <c r="U474" i="1"/>
  <c r="L474" i="1"/>
  <c r="U889" i="1"/>
  <c r="K889" i="1"/>
  <c r="M889" i="1"/>
  <c r="L889" i="1"/>
  <c r="Q889" i="1"/>
  <c r="W889" i="1"/>
  <c r="V889" i="1"/>
  <c r="T889" i="1"/>
  <c r="P889" i="1"/>
  <c r="S889" i="1"/>
  <c r="O889" i="1"/>
  <c r="X889" i="1"/>
  <c r="R889" i="1"/>
  <c r="U699" i="1"/>
  <c r="X699" i="1"/>
  <c r="M699" i="1"/>
  <c r="L699" i="1"/>
  <c r="O699" i="1"/>
  <c r="S699" i="1"/>
  <c r="K699" i="1"/>
  <c r="P699" i="1"/>
  <c r="R699" i="1"/>
  <c r="T699" i="1"/>
  <c r="Q699" i="1"/>
  <c r="V699" i="1"/>
  <c r="W699" i="1"/>
  <c r="P212" i="1"/>
  <c r="M212" i="1"/>
  <c r="R212" i="1"/>
  <c r="X212" i="1"/>
  <c r="S212" i="1"/>
  <c r="K212" i="1"/>
  <c r="T212" i="1"/>
  <c r="W212" i="1"/>
  <c r="V212" i="1"/>
  <c r="Q212" i="1"/>
  <c r="O212" i="1"/>
  <c r="U212" i="1"/>
  <c r="L212" i="1"/>
  <c r="L223" i="1"/>
  <c r="M223" i="1"/>
  <c r="O223" i="1"/>
  <c r="T223" i="1"/>
  <c r="U223" i="1"/>
  <c r="P223" i="1"/>
  <c r="R223" i="1"/>
  <c r="X223" i="1"/>
  <c r="W223" i="1"/>
  <c r="V223" i="1"/>
  <c r="K223" i="1"/>
  <c r="S223" i="1"/>
  <c r="Q223" i="1"/>
  <c r="S510" i="1"/>
  <c r="O510" i="1"/>
  <c r="W510" i="1"/>
  <c r="Q510" i="1"/>
  <c r="V510" i="1"/>
  <c r="R510" i="1"/>
  <c r="L510" i="1"/>
  <c r="K510" i="1"/>
  <c r="U510" i="1"/>
  <c r="T510" i="1"/>
  <c r="P510" i="1"/>
  <c r="X510" i="1"/>
  <c r="M510" i="1"/>
  <c r="U749" i="1"/>
  <c r="Q749" i="1"/>
  <c r="X749" i="1"/>
  <c r="W749" i="1"/>
  <c r="L749" i="1"/>
  <c r="K749" i="1"/>
  <c r="S749" i="1"/>
  <c r="T749" i="1"/>
  <c r="V749" i="1"/>
  <c r="M749" i="1"/>
  <c r="R749" i="1"/>
  <c r="O749" i="1"/>
  <c r="P749" i="1"/>
  <c r="Q913" i="1"/>
  <c r="W913" i="1"/>
  <c r="T913" i="1"/>
  <c r="U913" i="1"/>
  <c r="K913" i="1"/>
  <c r="O913" i="1"/>
  <c r="R913" i="1"/>
  <c r="L913" i="1"/>
  <c r="P913" i="1"/>
  <c r="S913" i="1"/>
  <c r="X913" i="1"/>
  <c r="M913" i="1"/>
  <c r="V913" i="1"/>
  <c r="O297" i="1"/>
  <c r="S297" i="1"/>
  <c r="P297" i="1"/>
  <c r="U297" i="1"/>
  <c r="R297" i="1"/>
  <c r="L297" i="1"/>
  <c r="K297" i="1"/>
  <c r="T297" i="1"/>
  <c r="W297" i="1"/>
  <c r="Q297" i="1"/>
  <c r="V297" i="1"/>
  <c r="X297" i="1"/>
  <c r="M297" i="1"/>
  <c r="K807" i="1"/>
  <c r="O807" i="1"/>
  <c r="S807" i="1"/>
  <c r="X807" i="1"/>
  <c r="L807" i="1"/>
  <c r="Q807" i="1"/>
  <c r="W807" i="1"/>
  <c r="V807" i="1"/>
  <c r="T807" i="1"/>
  <c r="R807" i="1"/>
  <c r="M807" i="1"/>
  <c r="P807" i="1"/>
  <c r="U807" i="1"/>
  <c r="O756" i="1"/>
  <c r="W756" i="1"/>
  <c r="R756" i="1"/>
  <c r="L756" i="1"/>
  <c r="S756" i="1"/>
  <c r="K756" i="1"/>
  <c r="P756" i="1"/>
  <c r="T756" i="1"/>
  <c r="U756" i="1"/>
  <c r="Q756" i="1"/>
  <c r="V756" i="1"/>
  <c r="X756" i="1"/>
  <c r="M756" i="1"/>
  <c r="H31" i="1"/>
  <c r="O31" i="1"/>
  <c r="P31" i="1"/>
  <c r="T31" i="1"/>
  <c r="X31" i="1"/>
  <c r="K31" i="1"/>
  <c r="U31" i="1"/>
  <c r="R31" i="1"/>
  <c r="V31" i="1"/>
  <c r="S31" i="1"/>
  <c r="L31" i="1"/>
  <c r="M31" i="1"/>
  <c r="W31" i="1"/>
  <c r="Q31" i="1"/>
  <c r="S448" i="1"/>
  <c r="U448" i="1"/>
  <c r="W448" i="1"/>
  <c r="V448" i="1"/>
  <c r="M448" i="1"/>
  <c r="O448" i="1"/>
  <c r="P448" i="1"/>
  <c r="T448" i="1"/>
  <c r="Q448" i="1"/>
  <c r="X448" i="1"/>
  <c r="R448" i="1"/>
  <c r="L448" i="1"/>
  <c r="K448" i="1"/>
  <c r="Q860" i="1"/>
  <c r="W860" i="1"/>
  <c r="V860" i="1"/>
  <c r="O860" i="1"/>
  <c r="S860" i="1"/>
  <c r="X860" i="1"/>
  <c r="M860" i="1"/>
  <c r="U860" i="1"/>
  <c r="T860" i="1"/>
  <c r="K860" i="1"/>
  <c r="R860" i="1"/>
  <c r="L860" i="1"/>
  <c r="P860" i="1"/>
  <c r="M61" i="1"/>
  <c r="R61" i="1"/>
  <c r="K61" i="1"/>
  <c r="S61" i="1"/>
  <c r="U61" i="1"/>
  <c r="T61" i="1"/>
  <c r="L61" i="1"/>
  <c r="X61" i="1"/>
  <c r="W61" i="1"/>
  <c r="V61" i="1"/>
  <c r="O61" i="1"/>
  <c r="P61" i="1"/>
  <c r="Q61" i="1"/>
  <c r="S695" i="1"/>
  <c r="O695" i="1"/>
  <c r="T695" i="1"/>
  <c r="Q695" i="1"/>
  <c r="V695" i="1"/>
  <c r="X695" i="1"/>
  <c r="K695" i="1"/>
  <c r="P695" i="1"/>
  <c r="U695" i="1"/>
  <c r="M695" i="1"/>
  <c r="W695" i="1"/>
  <c r="R695" i="1"/>
  <c r="L695" i="1"/>
  <c r="R493" i="1"/>
  <c r="Q493" i="1"/>
  <c r="V493" i="1"/>
  <c r="X493" i="1"/>
  <c r="U493" i="1"/>
  <c r="T493" i="1"/>
  <c r="P493" i="1"/>
  <c r="W493" i="1"/>
  <c r="M493" i="1"/>
  <c r="S493" i="1"/>
  <c r="K493" i="1"/>
  <c r="O493" i="1"/>
  <c r="L493" i="1"/>
  <c r="X245" i="1"/>
  <c r="W245" i="1"/>
  <c r="Q245" i="1"/>
  <c r="K245" i="1"/>
  <c r="O245" i="1"/>
  <c r="L245" i="1"/>
  <c r="T245" i="1"/>
  <c r="M245" i="1"/>
  <c r="R245" i="1"/>
  <c r="V245" i="1"/>
  <c r="S245" i="1"/>
  <c r="P245" i="1"/>
  <c r="U245" i="1"/>
  <c r="M766" i="1"/>
  <c r="W766" i="1"/>
  <c r="S766" i="1"/>
  <c r="K766" i="1"/>
  <c r="U766" i="1"/>
  <c r="T766" i="1"/>
  <c r="V766" i="1"/>
  <c r="L766" i="1"/>
  <c r="O766" i="1"/>
  <c r="P766" i="1"/>
  <c r="Q766" i="1"/>
  <c r="X766" i="1"/>
  <c r="R766" i="1"/>
  <c r="U888" i="1"/>
  <c r="K888" i="1"/>
  <c r="O888" i="1"/>
  <c r="X888" i="1"/>
  <c r="R888" i="1"/>
  <c r="L888" i="1"/>
  <c r="Q888" i="1"/>
  <c r="V888" i="1"/>
  <c r="T888" i="1"/>
  <c r="S888" i="1"/>
  <c r="M888" i="1"/>
  <c r="W888" i="1"/>
  <c r="P888" i="1"/>
  <c r="U16" i="1"/>
  <c r="P16" i="1"/>
  <c r="V16" i="1"/>
  <c r="H16" i="1"/>
  <c r="T16" i="1"/>
  <c r="M16" i="1"/>
  <c r="W16" i="1"/>
  <c r="O16" i="1"/>
  <c r="R16" i="1"/>
  <c r="X16" i="1"/>
  <c r="L16" i="1"/>
  <c r="S16" i="1"/>
  <c r="Q16" i="1"/>
  <c r="K16" i="1"/>
  <c r="X260" i="1"/>
  <c r="R260" i="1"/>
  <c r="L260" i="1"/>
  <c r="S260" i="1"/>
  <c r="K260" i="1"/>
  <c r="U260" i="1"/>
  <c r="Q260" i="1"/>
  <c r="V260" i="1"/>
  <c r="O260" i="1"/>
  <c r="T260" i="1"/>
  <c r="P260" i="1"/>
  <c r="W260" i="1"/>
  <c r="M260" i="1"/>
  <c r="K933" i="1"/>
  <c r="M933" i="1"/>
  <c r="L933" i="1"/>
  <c r="Q933" i="1"/>
  <c r="W933" i="1"/>
  <c r="P933" i="1"/>
  <c r="U933" i="1"/>
  <c r="S933" i="1"/>
  <c r="O933" i="1"/>
  <c r="X933" i="1"/>
  <c r="R933" i="1"/>
  <c r="V933" i="1"/>
  <c r="T933" i="1"/>
  <c r="K638" i="1"/>
  <c r="O638" i="1"/>
  <c r="U638" i="1"/>
  <c r="T638" i="1"/>
  <c r="Q638" i="1"/>
  <c r="L638" i="1"/>
  <c r="S638" i="1"/>
  <c r="V638" i="1"/>
  <c r="X638" i="1"/>
  <c r="M638" i="1"/>
  <c r="W638" i="1"/>
  <c r="R638" i="1"/>
  <c r="P638" i="1"/>
  <c r="M202" i="1"/>
  <c r="R202" i="1"/>
  <c r="K202" i="1"/>
  <c r="U202" i="1"/>
  <c r="L202" i="1"/>
  <c r="T202" i="1"/>
  <c r="X202" i="1"/>
  <c r="W202" i="1"/>
  <c r="V202" i="1"/>
  <c r="Q202" i="1"/>
  <c r="O202" i="1"/>
  <c r="S202" i="1"/>
  <c r="P202" i="1"/>
  <c r="T670" i="1"/>
  <c r="P670" i="1"/>
  <c r="M670" i="1"/>
  <c r="W670" i="1"/>
  <c r="R670" i="1"/>
  <c r="V670" i="1"/>
  <c r="X670" i="1"/>
  <c r="L670" i="1"/>
  <c r="K670" i="1"/>
  <c r="S670" i="1"/>
  <c r="O670" i="1"/>
  <c r="U670" i="1"/>
  <c r="Q670" i="1"/>
  <c r="T280" i="1"/>
  <c r="W280" i="1"/>
  <c r="Q280" i="1"/>
  <c r="X280" i="1"/>
  <c r="R280" i="1"/>
  <c r="K280" i="1"/>
  <c r="P280" i="1"/>
  <c r="U280" i="1"/>
  <c r="V280" i="1"/>
  <c r="M280" i="1"/>
  <c r="L280" i="1"/>
  <c r="O280" i="1"/>
  <c r="S280" i="1"/>
  <c r="L832" i="1"/>
  <c r="Q832" i="1"/>
  <c r="W832" i="1"/>
  <c r="U832" i="1"/>
  <c r="P832" i="1"/>
  <c r="S832" i="1"/>
  <c r="X832" i="1"/>
  <c r="R832" i="1"/>
  <c r="M832" i="1"/>
  <c r="V832" i="1"/>
  <c r="T832" i="1"/>
  <c r="K832" i="1"/>
  <c r="O832" i="1"/>
  <c r="K843" i="1"/>
  <c r="X843" i="1"/>
  <c r="L843" i="1"/>
  <c r="Q843" i="1"/>
  <c r="P843" i="1"/>
  <c r="T843" i="1"/>
  <c r="O843" i="1"/>
  <c r="S843" i="1"/>
  <c r="R843" i="1"/>
  <c r="M843" i="1"/>
  <c r="W843" i="1"/>
  <c r="V843" i="1"/>
  <c r="U843" i="1"/>
  <c r="O565" i="1"/>
  <c r="V565" i="1"/>
  <c r="X565" i="1"/>
  <c r="M565" i="1"/>
  <c r="S565" i="1"/>
  <c r="K565" i="1"/>
  <c r="P565" i="1"/>
  <c r="U565" i="1"/>
  <c r="T565" i="1"/>
  <c r="Q565" i="1"/>
  <c r="W565" i="1"/>
  <c r="R565" i="1"/>
  <c r="L565" i="1"/>
  <c r="V81" i="1"/>
  <c r="Q81" i="1"/>
  <c r="S81" i="1"/>
  <c r="P81" i="1"/>
  <c r="T81" i="1"/>
  <c r="U81" i="1"/>
  <c r="R81" i="1"/>
  <c r="W81" i="1"/>
  <c r="O81" i="1"/>
  <c r="K81" i="1"/>
  <c r="L81" i="1"/>
  <c r="M81" i="1"/>
  <c r="X81" i="1"/>
  <c r="S304" i="1"/>
  <c r="P304" i="1"/>
  <c r="W304" i="1"/>
  <c r="M304" i="1"/>
  <c r="X304" i="1"/>
  <c r="R304" i="1"/>
  <c r="O304" i="1"/>
  <c r="K304" i="1"/>
  <c r="T304" i="1"/>
  <c r="U304" i="1"/>
  <c r="Q304" i="1"/>
  <c r="V304" i="1"/>
  <c r="L304" i="1"/>
  <c r="X337" i="1"/>
  <c r="L337" i="1"/>
  <c r="O337" i="1"/>
  <c r="T337" i="1"/>
  <c r="Q337" i="1"/>
  <c r="V337" i="1"/>
  <c r="W337" i="1"/>
  <c r="M337" i="1"/>
  <c r="R337" i="1"/>
  <c r="S337" i="1"/>
  <c r="K337" i="1"/>
  <c r="P337" i="1"/>
  <c r="U337" i="1"/>
  <c r="K743" i="1"/>
  <c r="S743" i="1"/>
  <c r="T743" i="1"/>
  <c r="Q743" i="1"/>
  <c r="V743" i="1"/>
  <c r="M743" i="1"/>
  <c r="W743" i="1"/>
  <c r="R743" i="1"/>
  <c r="L743" i="1"/>
  <c r="O743" i="1"/>
  <c r="U743" i="1"/>
  <c r="P743" i="1"/>
  <c r="X743" i="1"/>
  <c r="Q48" i="1"/>
  <c r="O48" i="1"/>
  <c r="H48" i="1"/>
  <c r="M48" i="1"/>
  <c r="X48" i="1"/>
  <c r="K48" i="1"/>
  <c r="S48" i="1"/>
  <c r="L48" i="1"/>
  <c r="R48" i="1"/>
  <c r="T48" i="1"/>
  <c r="U48" i="1"/>
  <c r="P48" i="1"/>
  <c r="V48" i="1"/>
  <c r="W48" i="1"/>
  <c r="X864" i="1"/>
  <c r="R864" i="1"/>
  <c r="W864" i="1"/>
  <c r="V864" i="1"/>
  <c r="T864" i="1"/>
  <c r="U864" i="1"/>
  <c r="K864" i="1"/>
  <c r="O864" i="1"/>
  <c r="P864" i="1"/>
  <c r="L864" i="1"/>
  <c r="Q864" i="1"/>
  <c r="S864" i="1"/>
  <c r="M864" i="1"/>
  <c r="S385" i="1"/>
  <c r="K385" i="1"/>
  <c r="O385" i="1"/>
  <c r="T385" i="1"/>
  <c r="P385" i="1"/>
  <c r="W385" i="1"/>
  <c r="Q385" i="1"/>
  <c r="V385" i="1"/>
  <c r="X385" i="1"/>
  <c r="L385" i="1"/>
  <c r="U385" i="1"/>
  <c r="M385" i="1"/>
  <c r="R385" i="1"/>
  <c r="K823" i="1"/>
  <c r="O823" i="1"/>
  <c r="R823" i="1"/>
  <c r="P823" i="1"/>
  <c r="T823" i="1"/>
  <c r="S823" i="1"/>
  <c r="X823" i="1"/>
  <c r="M823" i="1"/>
  <c r="L823" i="1"/>
  <c r="Q823" i="1"/>
  <c r="W823" i="1"/>
  <c r="V823" i="1"/>
  <c r="U823" i="1"/>
  <c r="R230" i="1"/>
  <c r="X230" i="1"/>
  <c r="W230" i="1"/>
  <c r="U230" i="1"/>
  <c r="P230" i="1"/>
  <c r="K230" i="1"/>
  <c r="T230" i="1"/>
  <c r="L230" i="1"/>
  <c r="M230" i="1"/>
  <c r="V230" i="1"/>
  <c r="Q230" i="1"/>
  <c r="O230" i="1"/>
  <c r="S230" i="1"/>
  <c r="Q532" i="1"/>
  <c r="X532" i="1"/>
  <c r="R532" i="1"/>
  <c r="L532" i="1"/>
  <c r="P532" i="1"/>
  <c r="T532" i="1"/>
  <c r="S532" i="1"/>
  <c r="U532" i="1"/>
  <c r="V532" i="1"/>
  <c r="M532" i="1"/>
  <c r="W532" i="1"/>
  <c r="K532" i="1"/>
  <c r="O532" i="1"/>
  <c r="W148" i="1"/>
  <c r="V148" i="1"/>
  <c r="P148" i="1"/>
  <c r="U148" i="1"/>
  <c r="L148" i="1"/>
  <c r="X148" i="1"/>
  <c r="M148" i="1"/>
  <c r="R148" i="1"/>
  <c r="Q148" i="1"/>
  <c r="O148" i="1"/>
  <c r="S148" i="1"/>
  <c r="K148" i="1"/>
  <c r="T148" i="1"/>
  <c r="Q825" i="1"/>
  <c r="W825" i="1"/>
  <c r="P825" i="1"/>
  <c r="T825" i="1"/>
  <c r="U825" i="1"/>
  <c r="O825" i="1"/>
  <c r="R825" i="1"/>
  <c r="M825" i="1"/>
  <c r="L825" i="1"/>
  <c r="V825" i="1"/>
  <c r="K825" i="1"/>
  <c r="S825" i="1"/>
  <c r="X825" i="1"/>
  <c r="O716" i="1"/>
  <c r="K716" i="1"/>
  <c r="M716" i="1"/>
  <c r="W716" i="1"/>
  <c r="R716" i="1"/>
  <c r="S716" i="1"/>
  <c r="P716" i="1"/>
  <c r="U716" i="1"/>
  <c r="T716" i="1"/>
  <c r="Q716" i="1"/>
  <c r="V716" i="1"/>
  <c r="X716" i="1"/>
  <c r="L716" i="1"/>
  <c r="O452" i="1"/>
  <c r="U452" i="1"/>
  <c r="Q452" i="1"/>
  <c r="M452" i="1"/>
  <c r="R452" i="1"/>
  <c r="X452" i="1"/>
  <c r="L452" i="1"/>
  <c r="K452" i="1"/>
  <c r="S452" i="1"/>
  <c r="T452" i="1"/>
  <c r="P452" i="1"/>
  <c r="W452" i="1"/>
  <c r="V452" i="1"/>
  <c r="V928" i="1"/>
  <c r="P928" i="1"/>
  <c r="R928" i="1"/>
  <c r="M928" i="1"/>
  <c r="L928" i="1"/>
  <c r="Q928" i="1"/>
  <c r="W928" i="1"/>
  <c r="T928" i="1"/>
  <c r="O928" i="1"/>
  <c r="S928" i="1"/>
  <c r="K928" i="1"/>
  <c r="X928" i="1"/>
  <c r="U928" i="1"/>
  <c r="P582" i="1"/>
  <c r="X582" i="1"/>
  <c r="M582" i="1"/>
  <c r="R582" i="1"/>
  <c r="O582" i="1"/>
  <c r="T582" i="1"/>
  <c r="U582" i="1"/>
  <c r="V582" i="1"/>
  <c r="W582" i="1"/>
  <c r="L582" i="1"/>
  <c r="S582" i="1"/>
  <c r="K582" i="1"/>
  <c r="Q582" i="1"/>
  <c r="Q307" i="1"/>
  <c r="V307" i="1"/>
  <c r="X307" i="1"/>
  <c r="K307" i="1"/>
  <c r="O307" i="1"/>
  <c r="S307" i="1"/>
  <c r="P307" i="1"/>
  <c r="T307" i="1"/>
  <c r="R307" i="1"/>
  <c r="U307" i="1"/>
  <c r="W307" i="1"/>
  <c r="M307" i="1"/>
  <c r="L307" i="1"/>
  <c r="W3" i="1"/>
  <c r="V3" i="1"/>
  <c r="Q3" i="1"/>
  <c r="H3" i="1"/>
  <c r="K3" i="1"/>
  <c r="X3" i="1"/>
  <c r="S3" i="1"/>
  <c r="T3" i="1"/>
  <c r="O3" i="1"/>
  <c r="U3" i="1"/>
  <c r="P3" i="1"/>
  <c r="M3" i="1"/>
  <c r="R3" i="1"/>
  <c r="L3" i="1"/>
  <c r="K291" i="1"/>
  <c r="P291" i="1"/>
  <c r="Q291" i="1"/>
  <c r="M291" i="1"/>
  <c r="L291" i="1"/>
  <c r="R291" i="1"/>
  <c r="S291" i="1"/>
  <c r="O291" i="1"/>
  <c r="T291" i="1"/>
  <c r="U291" i="1"/>
  <c r="W291" i="1"/>
  <c r="V291" i="1"/>
  <c r="X291" i="1"/>
  <c r="Q680" i="1"/>
  <c r="V680" i="1"/>
  <c r="X680" i="1"/>
  <c r="M680" i="1"/>
  <c r="R680" i="1"/>
  <c r="T680" i="1"/>
  <c r="O680" i="1"/>
  <c r="S680" i="1"/>
  <c r="P680" i="1"/>
  <c r="U680" i="1"/>
  <c r="W680" i="1"/>
  <c r="L680" i="1"/>
  <c r="K680" i="1"/>
  <c r="W134" i="1"/>
  <c r="V134" i="1"/>
  <c r="Q134" i="1"/>
  <c r="P134" i="1"/>
  <c r="K134" i="1"/>
  <c r="L134" i="1"/>
  <c r="M134" i="1"/>
  <c r="R134" i="1"/>
  <c r="T134" i="1"/>
  <c r="O134" i="1"/>
  <c r="S134" i="1"/>
  <c r="X134" i="1"/>
  <c r="U134" i="1"/>
  <c r="L939" i="1"/>
  <c r="Q939" i="1"/>
  <c r="P939" i="1"/>
  <c r="K939" i="1"/>
  <c r="S939" i="1"/>
  <c r="M939" i="1"/>
  <c r="W939" i="1"/>
  <c r="V939" i="1"/>
  <c r="U939" i="1"/>
  <c r="T939" i="1"/>
  <c r="O939" i="1"/>
  <c r="X939" i="1"/>
  <c r="R939" i="1"/>
  <c r="A1" i="2"/>
  <c r="C9" i="3"/>
  <c r="D9" i="3"/>
  <c r="E9" i="3"/>
  <c r="D7" i="3"/>
  <c r="E7" i="3"/>
  <c r="C7" i="3"/>
  <c r="E3" i="3"/>
  <c r="C3" i="3"/>
  <c r="D6" i="3"/>
  <c r="A6" i="3"/>
  <c r="C6" i="3"/>
  <c r="E6" i="3"/>
  <c r="A1" i="3"/>
  <c r="C8" i="3"/>
  <c r="D8" i="3"/>
  <c r="E8" i="3"/>
  <c r="E5" i="3"/>
  <c r="A5" i="3"/>
  <c r="C5" i="3"/>
  <c r="D5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<sst xmlns="http://schemas.openxmlformats.org/spreadsheetml/2006/main" count="615" uniqueCount="57">
  <si>
    <t>OCTOBER-2021 MOHAK STITCHING BILL</t>
  </si>
  <si>
    <t>OCTOBER-2021 PRESS BILL</t>
  </si>
  <si>
    <t>TOTAL PCS</t>
  </si>
  <si>
    <t>TOTAL AMOUNT</t>
  </si>
  <si>
    <t>DATE</t>
  </si>
  <si>
    <t>PARTY NAME</t>
  </si>
  <si>
    <t>STORE CH. NO.</t>
  </si>
  <si>
    <t>AGST CH. NO.</t>
  </si>
  <si>
    <t>QUALITY</t>
  </si>
  <si>
    <t>TYPE</t>
  </si>
  <si>
    <t>SIZE</t>
  </si>
  <si>
    <t>STITCHING</t>
  </si>
  <si>
    <t>PURPOSE</t>
  </si>
  <si>
    <t>PCS/MTR</t>
  </si>
  <si>
    <t>PRICE</t>
  </si>
  <si>
    <t>AMOUNT</t>
  </si>
  <si>
    <t>BY WHOM</t>
  </si>
  <si>
    <t>WITHOUT PRESS</t>
  </si>
  <si>
    <t>CH. NO.</t>
  </si>
  <si>
    <t>STORE</t>
  </si>
  <si>
    <t>NEW NAKSHI</t>
  </si>
  <si>
    <t>BEDCOVER</t>
  </si>
  <si>
    <t>90*100</t>
  </si>
  <si>
    <t>MOHAK</t>
  </si>
  <si>
    <t>PILLOW</t>
  </si>
  <si>
    <t>single</t>
  </si>
  <si>
    <t>60*90</t>
  </si>
  <si>
    <t>NAKSHI</t>
  </si>
  <si>
    <t>#SPILL!</t>
  </si>
  <si>
    <t>PCS</t>
  </si>
  <si>
    <t>IN HOUSE</t>
  </si>
  <si>
    <t>PAYMENT</t>
  </si>
  <si>
    <t>SINGLE</t>
  </si>
  <si>
    <t>CUSHION</t>
  </si>
  <si>
    <t>BOOSTER</t>
  </si>
  <si>
    <t>PARTICULAR</t>
  </si>
  <si>
    <t>ITEM</t>
  </si>
  <si>
    <t>NEW NAKSHIBEDCOVER</t>
  </si>
  <si>
    <t>60*100</t>
  </si>
  <si>
    <t>NEW NAKSHIPILLOW</t>
  </si>
  <si>
    <t>70*100</t>
  </si>
  <si>
    <t>NEW NAKSHICUSHION</t>
  </si>
  <si>
    <t>NEW NAKSHIBOOSTER</t>
  </si>
  <si>
    <t>100*100</t>
  </si>
  <si>
    <t>NAKSHIBEDCOVER</t>
  </si>
  <si>
    <t>100*108</t>
  </si>
  <si>
    <t>NAKSHIPILLOW</t>
  </si>
  <si>
    <t>GUM</t>
  </si>
  <si>
    <t>NAKSHICUSHION</t>
  </si>
  <si>
    <t>NAKSHIBOOSTER</t>
  </si>
  <si>
    <t>COTTON</t>
  </si>
  <si>
    <t>CUTTING</t>
  </si>
  <si>
    <t>102*110</t>
  </si>
  <si>
    <t>96*110</t>
  </si>
  <si>
    <t>68*90</t>
  </si>
  <si>
    <t>100*90</t>
  </si>
  <si>
    <t>MASK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</si>
</sst>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m/d/yyyy"/>
    <numFmt numFmtId="3" formatCode="d&quot;/&quot;m&quot;/&quot;yyyy"/>
  </numFmts>
  <fonts count="14">
    <font>
      <sz val="11"/>
      <color theme="1"/>
      <name val="Arial"/>
      <family val="2"/>
      <scheme val="minor"/>
    </font>
    <font>
      <name val="'Arial Black'"/>
      <sz val="14.00"/>
      <color rgb="FF000000"/>
      <family val="2"/>
    </font>
    <font>
      <name val="Arial Black"/>
      <sz val="11.00"/>
      <color rgb="FF000000"/>
      <family val="2"/>
    </font>
    <font>
      <name val="'Arial Black'"/>
      <sz val="10.00"/>
      <b/>
      <color rgb="FF000000"/>
      <family val="2"/>
    </font>
    <font>
      <name val="Arial"/>
      <sz val="10.00"/>
      <color rgb="FF000000"/>
      <family val="2"/>
    </font>
    <font>
      <name val="Arial Black"/>
      <sz val="10.00"/>
      <b/>
      <color rgb="FF000000"/>
      <family val="2"/>
    </font>
    <font>
      <name val="Calibri"/>
      <sz val="11.00"/>
      <color rgb="FF000000"/>
      <family val="2"/>
    </font>
    <font>
      <name val="Arial Black"/>
      <sz val="12.00"/>
      <color rgb="FF000000"/>
      <family val="2"/>
    </font>
    <font>
      <name val="Arial Black"/>
      <sz val="10.00"/>
      <color rgb="FF000000"/>
      <family val="2"/>
    </font>
    <font>
      <name val="'Arial Black'"/>
      <sz val="12.00"/>
      <b/>
      <color rgb="FF000000"/>
      <family val="2"/>
    </font>
    <font>
      <name val="'Arial Black'"/>
      <sz val="12.00"/>
      <color rgb="FF000000"/>
      <family val="2"/>
    </font>
    <font>
      <name val="Arial"/>
      <sz val="11.00"/>
      <b/>
      <color rgb="FF000000"/>
      <family val="2"/>
    </font>
    <font>
      <name val="'Arial Black'"/>
      <sz val="10.00"/>
      <color rgb="FF000000"/>
      <family val="2"/>
    </font>
    <font>
      <name val="'Arial Black'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1" applyNumberFormat="1" fontId="1" applyFont="1" applyAlignment="1">
      <alignment horizontal="center"/>
    </xf>
    <xf numFmtId="1" applyNumberFormat="1" fontId="2" applyFont="1" fillId="2" applyFill="1" applyAlignment="1">
      <alignment horizontal="center"/>
    </xf>
    <xf numFmtId="1" applyNumberFormat="1" fontId="3" applyFont="1" applyAlignment="1">
      <alignment horizontal="center" wrapText="1"/>
    </xf>
    <xf numFmtId="2" applyNumberFormat="1" fontId="4" applyFont="1" applyAlignment="1">
      <alignment horizontal="center"/>
    </xf>
    <xf numFmtId="1" applyNumberFormat="1" fontId="5" applyFont="1" applyAlignment="1">
      <alignment horizontal="center"/>
    </xf>
    <xf numFmtId="1" applyNumberFormat="1" fontId="6" applyFont="1" borderId="1" applyBorder="1" applyAlignment="1">
      <alignment/>
    </xf>
    <xf numFmtId="1" applyNumberFormat="1" fontId="7" applyFont="1" applyAlignment="1">
      <alignment horizontal="center"/>
    </xf>
    <xf numFmtId="1" applyNumberFormat="1" fontId="8" applyFont="1" borderId="1" applyBorder="1" applyAlignment="1">
      <alignment horizontal="center"/>
    </xf>
    <xf numFmtId="1" applyNumberFormat="1" fontId="7" applyFont="1" borderId="1" applyBorder="1" applyAlignment="1">
      <alignment horizontal="center"/>
    </xf>
    <xf numFmtId="1" applyNumberFormat="1" fontId="9" applyFont="1" applyAlignment="1">
      <alignment horizontal="center"/>
    </xf>
    <xf numFmtId="1" applyNumberFormat="1" fontId="10" applyFont="1" applyAlignment="1">
      <alignment horizontal="center"/>
    </xf>
    <xf numFmtId="1" applyNumberFormat="1" fontId="4" applyFont="1" applyAlignment="1">
      <alignment horizontal="center"/>
    </xf>
    <xf numFmtId="3" applyNumberFormat="1" fontId="7" applyFont="1" applyAlignment="1">
      <alignment/>
    </xf>
    <xf numFmtId="1" applyNumberFormat="1" fontId="8" applyFont="1" fillId="2" applyFill="1" borderId="1" applyBorder="1" applyAlignment="1">
      <alignment horizontal="center"/>
    </xf>
    <xf numFmtId="1" applyNumberFormat="1" fontId="11" applyFont="1" borderId="1" applyBorder="1" applyAlignment="1">
      <alignment horizontal="center"/>
    </xf>
    <xf numFmtId="1" applyNumberFormat="1" fontId="1" applyFont="1" borderId="1" applyBorder="1" applyAlignment="1">
      <alignment horizontal="center"/>
    </xf>
    <xf numFmtId="1" applyNumberFormat="1" fontId="4" applyFont="1" applyAlignment="1">
      <alignment/>
    </xf>
    <xf numFmtId="1" applyNumberFormat="1" fontId="10" applyFont="1" borderId="1" applyBorder="1" applyAlignment="1">
      <alignment horizontal="center"/>
    </xf>
    <xf numFmtId="2" applyNumberFormat="1" fontId="4" applyFont="1" applyAlignment="1">
      <alignment/>
    </xf>
    <xf numFmtId="1" applyNumberFormat="1" fontId="12" applyFont="1" borderId="1" applyBorder="1" applyAlignment="1">
      <alignment horizontal="center"/>
    </xf>
    <xf numFmtId="3" applyNumberFormat="1" fontId="7" applyFont="1" borderId="1" applyBorder="1" applyAlignment="1">
      <alignment horizontal="center"/>
    </xf>
    <xf numFmtId="2" applyNumberFormat="1" fontId="8" applyFont="1" applyAlignment="1">
      <alignment horizontal="center"/>
    </xf>
    <xf numFmtId="1" applyNumberFormat="1" fontId="1" applyFont="1" borderId="1" applyBorder="1" applyAlignment="1">
      <alignment horizontal="center"/>
    </xf>
    <xf numFmtId="1" applyNumberFormat="1" fontId="11" applyFont="1" fillId="2" applyFill="1" borderId="1" applyBorder="1" applyAlignment="1">
      <alignment horizontal="center"/>
    </xf>
    <xf numFmtId="1" applyNumberFormat="1" fontId="7" applyFont="1" applyAlignment="1">
      <alignment/>
    </xf>
    <xf numFmtId="1" applyNumberFormat="1" fontId="13" applyFont="1" applyAlignment="1">
      <alignment horizontal="center"/>
    </xf>
    <xf numFmtId="3" applyNumberFormat="1" fontId="3" applyFont="1" applyAlignment="1">
      <alignment horizontal="center"/>
    </xf>
    <xf numFmtId="1" applyNumberFormat="1" fontId="4" applyFont="1" applyAlignment="1">
      <alignment/>
    </xf>
    <xf numFmtId="1" applyNumberFormat="1" fontId="1" applyFont="1" applyAlignment="1">
      <alignment horizontal="center"/>
    </xf>
    <xf numFmtId="1" applyNumberFormat="1" fontId="2" applyFont="1" borderId="1" applyBorder="1" applyAlignment="1">
      <alignment horizontal="center"/>
    </xf>
    <xf numFmtId="2" applyNumberFormat="1" fontId="8" applyFont="1" borderId="1" applyBorder="1" applyAlignment="1">
      <alignment horizontal="center"/>
    </xf>
    <xf numFmtId="1" applyNumberFormat="1" fontId="8" applyFont="1" borderId="1" applyBorder="1" applyAlignment="1">
      <alignment horizontal="center"/>
    </xf>
    <xf numFmtId="3" applyNumberFormat="1" fontId="7" applyFont="1" applyAlignment="1">
      <alignment horizontal="center"/>
    </xf>
    <xf numFmtId="1" applyNumberFormat="1" fontId="7" applyFont="1" applyAlignment="1">
      <alignment horizontal="center" wrapText="1"/>
    </xf>
    <xf numFmtId="1" applyNumberFormat="1" fontId="3" applyFont="1" applyAlignment="1">
      <alignment horizontal="center"/>
    </xf>
    <xf numFmtId="1" applyNumberFormat="1" fontId="7" applyFont="1" borderId="1" applyBorder="1" applyAlignment="1">
      <alignment horizontal="center" wrapText="1"/>
    </xf>
    <xf numFmtId="1" applyNumberFormat="1" fontId="2" applyFont="1" fillId="2" applyFill="1" borderId="1" applyBorder="1" applyAlignment="1">
      <alignment horizontal="center"/>
    </xf>
    <xf numFmtId="1" applyNumberFormat="1" fontId="10" applyFont="1" applyAlignment="1">
      <alignment horizontal="center"/>
    </xf>
    <xf numFmtId="1" applyNumberFormat="1" fontId="11" applyFont="1" fillId="2" applyFill="1" borderId="1" applyBorder="1" applyAlignment="1">
      <alignment horizontal="center"/>
    </xf>
    <xf numFmtId="1" applyNumberFormat="1" fontId="13" applyFont="1" borderId="1" applyBorder="1" applyAlignment="1">
      <alignment horizontal="center"/>
    </xf>
    <xf numFmtId="1" applyNumberFormat="1" fontId="8" applyFont="1" applyAlignment="1">
      <alignment horizontal="center"/>
    </xf>
  </cellStyleXfs>
  <cellXfs count="40">
    <xf numFmtId="0" fontId="0" fillId="0" borderId="0" xfId="0"/>
    <xf xfId="27" quotePrefix="0" pivotButton="0" numFmtId="3" applyNumberFormat="1" fontId="3" applyFont="1" applyAlignment="1">
      <alignment horizontal="center"/>
    </xf>
    <xf xfId="35" quotePrefix="0" pivotButton="0" numFmtId="1" applyNumberFormat="1" fontId="3" applyFont="1" applyAlignment="1">
      <alignment horizontal="center"/>
    </xf>
    <xf xfId="10" quotePrefix="0" pivotButton="0" numFmtId="1" applyNumberFormat="1" fontId="9" applyFont="1" applyAlignment="1">
      <alignment horizontal="center"/>
    </xf>
    <xf xfId="11" quotePrefix="0" pivotButton="0" numFmtId="1" applyNumberFormat="1" fontId="10" applyFont="1" applyAlignment="1">
      <alignment horizontal="center"/>
    </xf>
    <xf xfId="7" quotePrefix="0" pivotButton="0" numFmtId="1" applyNumberFormat="1" fontId="7" applyFont="1" applyAlignment="1">
      <alignment horizontal="center"/>
    </xf>
    <xf xfId="34" quotePrefix="0" pivotButton="0" numFmtId="1" applyNumberFormat="1" fontId="7" applyFont="1" applyAlignment="1">
      <alignment horizontal="center" wrapText="1"/>
    </xf>
    <xf xfId="3" quotePrefix="0" pivotButton="0" numFmtId="1" applyNumberFormat="1" fontId="3" applyFont="1" applyAlignment="1">
      <alignment horizontal="center" wrapText="1"/>
    </xf>
    <xf xfId="28" quotePrefix="0" pivotButton="0" numFmtId="1" applyNumberFormat="1" fontId="4" applyFont="1" applyAlignment="1">
      <alignment/>
    </xf>
    <xf xfId="5" quotePrefix="0" pivotButton="0" numFmtId="1" applyNumberFormat="1" fontId="5" applyFont="1" applyAlignment="1">
      <alignment horizontal="center"/>
    </xf>
    <xf xfId="4" quotePrefix="0" pivotButton="0" numFmtId="2" applyNumberFormat="1" fontId="4" applyFont="1" applyAlignment="1">
      <alignment horizontal="center"/>
    </xf>
    <xf xfId="12" quotePrefix="0" pivotButton="0" numFmtId="1" applyNumberFormat="1" fontId="4" applyFont="1" applyAlignment="1">
      <alignment horizontal="center"/>
    </xf>
    <xf xfId="33" quotePrefix="0" pivotButton="0" numFmtId="3" applyNumberFormat="1" fontId="7" applyFont="1" applyAlignment="1">
      <alignment horizontal="center"/>
    </xf>
    <xf xfId="22" quotePrefix="0" pivotButton="0" numFmtId="2" applyNumberFormat="1" fontId="8" applyFont="1" applyAlignment="1">
      <alignment horizontal="center"/>
    </xf>
    <xf xfId="41" quotePrefix="0" pivotButton="0" numFmtId="1" applyNumberFormat="1" fontId="8" applyFont="1" applyAlignment="1">
      <alignment horizontal="center"/>
    </xf>
    <xf xfId="19" quotePrefix="0" pivotButton="0" numFmtId="2" applyNumberFormat="1" fontId="4" applyFont="1" applyAlignment="1">
      <alignment/>
    </xf>
    <xf xfId="1" quotePrefix="0" pivotButton="0" numFmtId="1" applyNumberFormat="1" fontId="1" applyFont="1" applyAlignment="1">
      <alignment horizontal="center"/>
    </xf>
    <xf xfId="38" quotePrefix="0" pivotButton="0" numFmtId="1" applyNumberFormat="1" fontId="10" applyFont="1" applyAlignment="1">
      <alignment horizontal="center"/>
    </xf>
    <xf xfId="18" quotePrefix="0" pivotButton="0" numFmtId="1" applyNumberFormat="1" fontId="10" applyFont="1" borderId="1" applyBorder="1" applyAlignment="1">
      <alignment horizontal="center"/>
    </xf>
    <xf xfId="20" quotePrefix="0" pivotButton="0" numFmtId="1" applyNumberFormat="1" fontId="12" applyFont="1" borderId="1" applyBorder="1" applyAlignment="1">
      <alignment horizontal="center"/>
    </xf>
    <xf xfId="14" quotePrefix="0" pivotButton="0" numFmtId="1" applyNumberFormat="1" fontId="8" applyFont="1" fillId="2" applyFill="1" borderId="1" applyBorder="1" applyAlignment="1">
      <alignment horizontal="center"/>
    </xf>
    <xf xfId="37" quotePrefix="0" pivotButton="0" numFmtId="1" applyNumberFormat="1" fontId="2" applyFont="1" fillId="2" applyFill="1" borderId="1" applyBorder="1" applyAlignment="1">
      <alignment horizontal="center"/>
    </xf>
    <xf xfId="32" quotePrefix="0" pivotButton="0" numFmtId="1" applyNumberFormat="1" fontId="8" applyFont="1" borderId="1" applyBorder="1" applyAlignment="1">
      <alignment horizontal="center"/>
    </xf>
    <xf xfId="23" quotePrefix="0" pivotButton="0" numFmtId="1" applyNumberFormat="1" fontId="1" applyFont="1" borderId="1" applyBorder="1" applyAlignment="1">
      <alignment horizontal="center"/>
    </xf>
    <xf xfId="2" quotePrefix="0" pivotButton="0" numFmtId="1" applyNumberFormat="1" fontId="2" applyFont="1" fillId="2" applyFill="1" applyAlignment="1">
      <alignment horizontal="center"/>
    </xf>
    <xf xfId="13" quotePrefix="0" pivotButton="0" numFmtId="3" applyNumberFormat="1" fontId="7" applyFont="1" applyAlignment="1">
      <alignment/>
    </xf>
    <xf xfId="25" quotePrefix="0" pivotButton="0" numFmtId="1" applyNumberFormat="1" fontId="7" applyFont="1" applyAlignment="1">
      <alignment/>
    </xf>
    <xf xfId="21" quotePrefix="0" pivotButton="0" numFmtId="3" applyNumberFormat="1" fontId="7" applyFont="1" borderId="1" applyBorder="1" applyAlignment="1">
      <alignment horizontal="center"/>
    </xf>
    <xf xfId="36" quotePrefix="0" pivotButton="0" numFmtId="1" applyNumberFormat="1" fontId="7" applyFont="1" borderId="1" applyBorder="1" applyAlignment="1">
      <alignment horizontal="center" wrapText="1"/>
    </xf>
    <xf xfId="9" quotePrefix="0" pivotButton="0" numFmtId="1" applyNumberFormat="1" fontId="7" applyFont="1" borderId="1" applyBorder="1" applyAlignment="1">
      <alignment horizontal="center"/>
    </xf>
    <xf xfId="31" quotePrefix="0" pivotButton="0" numFmtId="2" applyNumberFormat="1" fontId="8" applyFont="1" borderId="1" applyBorder="1" applyAlignment="1">
      <alignment horizontal="center"/>
    </xf>
    <xf xfId="39" quotePrefix="0" pivotButton="0" numFmtId="1" applyNumberFormat="1" fontId="11" applyFont="1" fillId="2" applyFill="1" borderId="1" applyBorder="1" applyAlignment="1">
      <alignment horizontal="center"/>
    </xf>
    <xf xfId="15" quotePrefix="0" pivotButton="0" numFmtId="1" applyNumberFormat="1" fontId="11" applyFont="1" borderId="1" applyBorder="1" applyAlignment="1">
      <alignment horizontal="center"/>
    </xf>
    <xf xfId="24" quotePrefix="0" pivotButton="0" numFmtId="1" applyNumberFormat="1" fontId="11" applyFont="1" fillId="2" applyFill="1" borderId="1" applyBorder="1" applyAlignment="1">
      <alignment horizontal="center"/>
    </xf>
    <xf xfId="29" quotePrefix="0" pivotButton="0" numFmtId="1" applyNumberFormat="1" fontId="1" applyFont="1" applyAlignment="1">
      <alignment horizontal="center"/>
    </xf>
    <xf xfId="16" quotePrefix="0" pivotButton="0" numFmtId="1" applyNumberFormat="1" fontId="1" applyFont="1" borderId="1" applyBorder="1" applyAlignment="1">
      <alignment horizontal="center"/>
    </xf>
    <xf xfId="40" quotePrefix="0" pivotButton="0" numFmtId="1" applyNumberFormat="1" fontId="13" applyFont="1" borderId="1" applyBorder="1" applyAlignment="1">
      <alignment horizontal="center"/>
    </xf>
    <xf xfId="6" quotePrefix="0" pivotButton="0" numFmtId="1" applyNumberFormat="1" fontId="6" applyFont="1" borderId="1" applyBorder="1" applyAlignment="1">
      <alignment/>
    </xf>
    <xf xfId="26" quotePrefix="0" pivotButton="0" numFmtId="1" applyNumberFormat="1" fontId="13" applyFont="1" applyAlignment="1">
      <alignment horizontal="center"/>
    </xf>
    <xf xfId="30" quotePrefix="0" pivotButton="0" numFmtId="1" applyNumberFormat="1" fontId="2" applyFont="1" borderId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theme" Target="theme/theme1.xml"/>
<Relationship Id="rId9" Type="http://schemas.openxmlformats.org/officeDocument/2006/relationships/sharedStrings" Target="sharedStrings.xml"/>
<Relationship Id="rId10" Type="http://schemas.openxmlformats.org/officeDocument/2006/relationships/styles" Target="styles.xml"/>
<Relationship Id="rId11" Type="http://schemas.openxmlformats.org/officeDocument/2006/relationships/calcChain" Target="calcChain.xml"/>
<Relationship Id="rId12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ySplit="2" topLeftCell="A3" activePane="bottomRight" state="frozen"/>
      <selection activeCell="A1" sqref="A1"/>
    </sheetView>
  </sheetViews>
  <sheetFormatPr defaultRowHeight="15.75" customHeight="1" defaultColWidth="13.04"/>
  <cols>
    <col min="1" max="1" width="9.59" customWidth="1" hidden="0"/>
    <col min="2" max="2" width="16.04" customWidth="1" hidden="0"/>
    <col min="3" max="3" width="10.94" customWidth="1" hidden="0"/>
    <col min="4" max="5" width="13.94" customWidth="1" hidden="0"/>
    <col min="6" max="6" width="13.19" customWidth="1" hidden="0"/>
    <col min="7" max="7" width="7.95" customWidth="1" hidden="0"/>
    <col min="8" max="8" width="14.09" customWidth="1" hidden="0"/>
    <col min="9" max="9" width="12.89" customWidth="1" hidden="0"/>
    <col min="10" max="10" width="12.14" customWidth="1" hidden="0"/>
    <col min="11" max="11" width="9.44" customWidth="1" hidden="0"/>
    <col min="12" max="12" width="12.14" customWidth="1" hidden="0"/>
    <col min="13" max="13" width="9.44" customWidth="1" hidden="1"/>
    <col min="16" max="16" width="16.04" customWidth="1" hidden="0"/>
    <col min="17" max="17" width="13.04" customWidth="1" hidden="0"/>
    <col min="18" max="18" width="10.94" customWidth="1" hidden="0"/>
  </cols>
  <sheetData>
    <row r="1" ht="31.50" customHeight="true">
      <c r="A1" s="1"/>
      <c r="B1" s="2"/>
      <c r="C1" s="3" t="s">
        <f>UPPER(TEXT($A$3,"MMMM-YYYY")&amp;" MOHAK STITCHING BILL")</f>
        <v>0</v>
      </c>
      <c r="I1" s="2"/>
      <c r="J1" s="4">
        <f>SUM(J3:J1001)</f>
        <v>315</v>
      </c>
      <c r="K1" s="4"/>
      <c r="L1" s="4">
        <f>SUM(L3:L1001)</f>
        <v>1890</v>
      </c>
      <c r="P1" s="3" t="s">
        <f>UPPER(TEXT($A$3,"MMMM-YYYY")&amp;" PRESS BILL")</f>
        <v>1</v>
      </c>
      <c r="T1" t="s" s="5">
        <v>2</v>
      </c>
      <c r="V1" s="5">
        <f>SUM(V3:V1001)</f>
        <v>105</v>
      </c>
      <c r="W1" t="s" s="6">
        <v>3</v>
      </c>
      <c r="X1" s="5">
        <f>SUM(X3:X1001)</f>
        <v>157.5</v>
      </c>
    </row>
    <row r="2" ht="26.00" customHeight="true">
      <c r="A2" t="s" s="1">
        <v>4</v>
      </c>
      <c r="B2" t="s" s="2">
        <v>5</v>
      </c>
      <c r="C2" t="s" s="7">
        <v>6</v>
      </c>
      <c r="D2" t="s" s="7">
        <v>7</v>
      </c>
      <c r="E2" t="s" s="2">
        <v>8</v>
      </c>
      <c r="F2" t="s" s="2">
        <v>9</v>
      </c>
      <c r="G2" t="s" s="2">
        <v>10</v>
      </c>
      <c r="H2" t="s" s="2">
        <v>11</v>
      </c>
      <c r="I2" t="s" s="2">
        <v>12</v>
      </c>
      <c r="J2" t="s" s="2">
        <v>13</v>
      </c>
      <c r="K2" t="s" s="2">
        <v>14</v>
      </c>
      <c r="L2" t="s" s="2">
        <v>15</v>
      </c>
      <c r="M2" t="s" s="8">
        <v>16</v>
      </c>
      <c r="N2" t="s" s="2">
        <v>17</v>
      </c>
      <c r="O2" t="s" s="1">
        <v>4</v>
      </c>
      <c r="P2" t="s" s="2">
        <v>5</v>
      </c>
      <c r="Q2" t="s" s="2">
        <v>16</v>
      </c>
      <c r="R2" t="s" s="2">
        <v>18</v>
      </c>
      <c r="S2" t="s" s="2">
        <v>8</v>
      </c>
      <c r="T2" t="s" s="2">
        <v>9</v>
      </c>
      <c r="U2" t="s" s="2">
        <v>10</v>
      </c>
      <c r="V2" t="s" s="9">
        <v>13</v>
      </c>
      <c r="W2" t="s" s="9">
        <v>14</v>
      </c>
      <c r="X2" t="s" s="9">
        <v>15</v>
      </c>
    </row>
    <row r="3" ht="15.75" customHeight="true">
      <c r="A3" s="10">
        <v>44471</v>
      </c>
      <c r="B3" t="s" s="11">
        <v>19</v>
      </c>
      <c r="C3" s="11">
        <v>1055</v>
      </c>
      <c r="D3" s="11">
        <v>4845</v>
      </c>
      <c r="E3" t="s" s="11">
        <v>20</v>
      </c>
      <c r="F3" t="s" s="11">
        <v>21</v>
      </c>
      <c r="G3" t="s" s="11">
        <v>22</v>
      </c>
      <c r="H3" s="11" t="s">
        <f>IF(E3="","",IF(OR(LOWER(E3)="nakshi",LOWER(E3)="new nakshi"),IF(LOWER(F3)="bedcover",E3,"single"),"single"))</f>
        <v>20</v>
      </c>
      <c r="I3" t="s" s="11">
        <v>11</v>
      </c>
      <c r="J3" s="11">
        <v>105</v>
      </c>
      <c r="K3" s="11">
        <f>4</f>
        <v>4</v>
      </c>
      <c r="L3" s="11">
        <f ref="L3:L257" t="shared" si="239">IF(K3&lt;&gt;"",J3*K3,"")</f>
        <v>420</v>
      </c>
      <c r="M3" s="8" t="s">
        <f ref="M3:M257" t="shared" si="240">IF(I3="STITCHING","MOHAK",IF(I3="CUTTING","MOHAK",IF(I3="WASHING","WASHING",IF(I3="OTHER","OTHER",""))))</f>
        <v>23</v>
      </c>
      <c r="N3" s="11"/>
      <c r="O3" s="10">
        <f ref="O3:P3" t="shared" si="244">A3</f>
        <v>44471</v>
      </c>
      <c r="P3" s="11" t="s">
        <f t="shared" si="244"/>
        <v>19</v>
      </c>
      <c r="Q3" s="11" t="s">
        <f ref="Q3:Q257" t="shared" si="247">M3</f>
        <v>23</v>
      </c>
      <c r="R3" s="11">
        <f ref="R3:R257" t="shared" si="241">C3</f>
        <v>1055</v>
      </c>
      <c r="S3" s="11" t="s">
        <f ref="S3:U3" t="shared" si="243">E3</f>
        <v>20</v>
      </c>
      <c r="T3" s="11" t="s">
        <f t="shared" si="243"/>
        <v>21</v>
      </c>
      <c r="U3" s="11" t="s">
        <f t="shared" si="243"/>
        <v>22</v>
      </c>
      <c r="V3" s="11">
        <f ref="V3:V257" t="shared" si="246">IF(N3="",J3,0)</f>
        <v>105</v>
      </c>
      <c r="W3" s="11">
        <f ref="W3:W257" t="shared" si="245">(IF(T3="BEDCOVER",1.5,IF(T3="pillow",0.9,IF(T3="cushion",0.9,IF(T3="booster",0.9,"")))))</f>
        <v>1.5</v>
      </c>
      <c r="X3" s="11">
        <f ref="X3:X257" t="shared" si="242">IF(W3&lt;&gt;"",V3*W3,"")</f>
        <v>157.5</v>
      </c>
      <c r="Y3" s="11"/>
    </row>
    <row r="4" ht="15.75" customHeight="true">
      <c r="A4" s="10">
        <v>44471</v>
      </c>
      <c r="B4" t="s" s="11">
        <v>19</v>
      </c>
      <c r="C4" s="11">
        <v>1055</v>
      </c>
      <c r="D4" s="11">
        <v>4845</v>
      </c>
      <c r="E4" t="s" s="11">
        <v>20</v>
      </c>
      <c r="F4" t="s" s="11">
        <v>24</v>
      </c>
      <c r="G4" s="11"/>
      <c r="H4" s="11" t="s">
        <f>IF(E4="","",IF(OR(LOWER(E4)="nakshi",LOWER(E4)="new nakshi"),IF(LOWER(F4)="bedcover",E4,"single"),"single"))</f>
        <v>25</v>
      </c>
      <c r="I4" t="s" s="11">
        <v>11</v>
      </c>
      <c r="J4" s="11">
        <v>210</v>
      </c>
      <c r="K4" s="11">
        <f>7</f>
        <v>7</v>
      </c>
      <c r="L4" s="11">
        <f t="shared" si="239"/>
        <v>1470</v>
      </c>
      <c r="M4" s="8" t="s">
        <f t="shared" si="240"/>
        <v>23</v>
      </c>
      <c r="N4" t="s" s="11">
        <v>17</v>
      </c>
      <c r="O4" s="10">
        <f ref="O4:P4" t="shared" si="893">A4</f>
        <v>44471</v>
      </c>
      <c r="P4" s="11" t="s">
        <f t="shared" si="893"/>
        <v>19</v>
      </c>
      <c r="Q4" s="11" t="s">
        <f t="shared" si="247"/>
        <v>23</v>
      </c>
      <c r="R4" s="11">
        <f t="shared" si="241"/>
        <v>1055</v>
      </c>
      <c r="S4" s="11" t="s">
        <f ref="S4:U4" t="shared" si="892">E4</f>
        <v>20</v>
      </c>
      <c r="T4" s="11" t="s">
        <f t="shared" si="892"/>
        <v>24</v>
      </c>
      <c r="U4" s="11">
        <f t="shared" si="892"/>
        <v>0</v>
      </c>
      <c r="V4" s="11">
        <f t="shared" si="246"/>
        <v>0</v>
      </c>
      <c r="W4" s="11">
        <f t="shared" si="245"/>
        <v>0.9</v>
      </c>
      <c r="X4" s="11">
        <f t="shared" si="242"/>
        <v>0</v>
      </c>
      <c r="Y4" s="11"/>
    </row>
    <row r="5" ht="15.75" customHeight="true">
      <c r="A5" s="10">
        <v>44471</v>
      </c>
      <c r="B5" t="s" s="11">
        <v>19</v>
      </c>
      <c r="C5" s="11">
        <v>1055</v>
      </c>
      <c r="D5" s="11">
        <v>4844</v>
      </c>
      <c r="E5" t="s" s="11">
        <v>20</v>
      </c>
      <c r="F5" t="s" s="11">
        <v>21</v>
      </c>
      <c r="G5" t="s" s="11">
        <v>26</v>
      </c>
      <c r="H5" s="11" t="s">
        <f>IF(E5="","",IF(OR(LOWER(E5)="nakshi",LOWER(E5)="new nakshi"),IF(LOWER(F5)="bedcover",E5,"single"),"single"))</f>
        <v>20</v>
      </c>
      <c r="I5" t="s" s="11">
        <v>11</v>
      </c>
      <c r="J5" s="11"/>
      <c r="K5" s="11" t="s">
        <f>""</f>
      </c>
      <c r="L5" s="11" t="s">
        <f t="shared" si="239"/>
      </c>
      <c r="M5" s="8" t="s">
        <f t="shared" si="240"/>
        <v>23</v>
      </c>
      <c r="N5" s="11"/>
      <c r="O5" s="10">
        <f ref="O5:P5" t="shared" si="1209">A5</f>
        <v>44471</v>
      </c>
      <c r="P5" s="11" t="s">
        <f t="shared" si="1209"/>
        <v>19</v>
      </c>
      <c r="Q5" s="11" t="s">
        <f t="shared" si="247"/>
        <v>23</v>
      </c>
      <c r="R5" s="11">
        <f t="shared" si="241"/>
        <v>1055</v>
      </c>
      <c r="S5" s="11" t="s">
        <f ref="S5:U5" t="shared" si="1210">E5</f>
        <v>20</v>
      </c>
      <c r="T5" s="11" t="s">
        <f t="shared" si="1210"/>
        <v>21</v>
      </c>
      <c r="U5" s="11" t="s">
        <f t="shared" si="1210"/>
        <v>26</v>
      </c>
      <c r="V5" s="11">
        <f t="shared" si="246"/>
      </c>
      <c r="W5" s="11">
        <f t="shared" si="245"/>
        <v>1.5</v>
      </c>
      <c r="X5" s="11">
        <f t="shared" si="242"/>
        <v>0</v>
      </c>
      <c r="Y5" s="11"/>
    </row>
    <row r="6" ht="15.75" customHeight="true">
      <c r="A6" s="10"/>
      <c r="B6" t="s" s="11">
        <v>19</v>
      </c>
      <c r="C6" s="11"/>
      <c r="D6" s="11"/>
      <c r="E6" s="11"/>
      <c r="F6" s="11"/>
      <c r="G6" s="11"/>
      <c r="H6" s="11" t="s">
        <f>IF(E6="","",IF(OR(LOWER(E6)="nakshi",LOWER(E6)="new nakshi"),IF(LOWER(F6)="bedcover",E6,"single"),"single"))</f>
      </c>
      <c r="I6" t="s" s="11">
        <v>11</v>
      </c>
      <c r="J6" s="11"/>
      <c r="K6" s="11" t="s">
        <f>""</f>
      </c>
      <c r="L6" s="11" t="s">
        <f t="shared" si="239"/>
      </c>
      <c r="M6" s="8" t="s">
        <f t="shared" si="240"/>
        <v>23</v>
      </c>
      <c r="N6" s="11"/>
      <c r="O6" s="10">
        <f ref="O6:P6" t="shared" si="1166">A6</f>
        <v>0</v>
      </c>
      <c r="P6" s="11" t="s">
        <f t="shared" si="1166"/>
        <v>19</v>
      </c>
      <c r="Q6" s="11" t="s">
        <f t="shared" si="247"/>
        <v>23</v>
      </c>
      <c r="R6" s="11">
        <f t="shared" si="241"/>
        <v>0</v>
      </c>
      <c r="S6" s="11">
        <f ref="S6:U6" t="shared" si="1165">E6</f>
        <v>0</v>
      </c>
      <c r="T6" s="11">
        <f t="shared" si="1165"/>
        <v>0</v>
      </c>
      <c r="U6" s="11">
        <f t="shared" si="1165"/>
        <v>0</v>
      </c>
      <c r="V6" s="11">
        <f t="shared" si="246"/>
      </c>
      <c r="W6" s="11" t="s">
        <f t="shared" si="245"/>
      </c>
      <c r="X6" s="11" t="s">
        <f t="shared" si="242"/>
      </c>
      <c r="Y6" s="11"/>
    </row>
    <row r="7" ht="15.75" customHeight="true">
      <c r="A7" s="10"/>
      <c r="B7" t="s" s="11">
        <v>19</v>
      </c>
      <c r="C7" s="11"/>
      <c r="D7" s="11"/>
      <c r="E7" t="s" s="11">
        <v>27</v>
      </c>
      <c r="F7" s="11"/>
      <c r="G7" s="11"/>
      <c r="H7" s="11" t="s">
        <f>IF(E7="","",IF(OR(LOWER(E7)="nakshi",LOWER(E7)="new nakshi"),IF(LOWER(F7)="bedcover",E7,"single"),"single"))</f>
        <v>25</v>
      </c>
      <c r="I7" t="s" s="11">
        <v>11</v>
      </c>
      <c r="J7" s="11"/>
      <c r="K7" s="11" t="s">
        <f>""</f>
      </c>
      <c r="L7" s="11" t="s">
        <f t="shared" si="239"/>
      </c>
      <c r="M7" s="8" t="s">
        <f t="shared" si="240"/>
        <v>23</v>
      </c>
      <c r="N7" s="11"/>
      <c r="O7" s="10">
        <f ref="O7:P7" t="shared" si="1882">A7</f>
        <v>0</v>
      </c>
      <c r="P7" s="11" t="s">
        <f t="shared" si="1882"/>
        <v>19</v>
      </c>
      <c r="Q7" s="11" t="s">
        <f t="shared" si="247"/>
        <v>23</v>
      </c>
      <c r="R7" s="11">
        <f t="shared" si="241"/>
        <v>0</v>
      </c>
      <c r="S7" s="11" t="s">
        <f ref="S7:U7" t="shared" si="1883">E7</f>
        <v>27</v>
      </c>
      <c r="T7" s="11">
        <f t="shared" si="1883"/>
        <v>0</v>
      </c>
      <c r="U7" s="11">
        <f t="shared" si="1883"/>
        <v>0</v>
      </c>
      <c r="V7" s="11">
        <f t="shared" si="246"/>
      </c>
      <c r="W7" s="11" t="s">
        <f t="shared" si="245"/>
      </c>
      <c r="X7" s="11" t="s">
        <f t="shared" si="242"/>
      </c>
      <c r="Y7" s="11"/>
    </row>
    <row r="8" ht="15.75" customHeight="true">
      <c r="A8" s="10"/>
      <c r="B8" t="s" s="11">
        <v>19</v>
      </c>
      <c r="C8" s="11"/>
      <c r="D8" s="11"/>
      <c r="E8" s="11"/>
      <c r="F8" s="11"/>
      <c r="G8" s="11"/>
      <c r="H8" s="11" t="s">
        <f>IF(E8="","",IF(OR(LOWER(E8)="nakshi",LOWER(E8)="new nakshi"),IF(LOWER(F8)="bedcover",E8,"single"),"single"))</f>
      </c>
      <c r="I8" t="s" s="11">
        <v>11</v>
      </c>
      <c r="J8" s="11"/>
      <c r="K8" s="11" t="s">
        <f>""</f>
      </c>
      <c r="L8" s="11" t="s">
        <f t="shared" si="239"/>
      </c>
      <c r="M8" s="8" t="s">
        <f t="shared" si="240"/>
        <v>23</v>
      </c>
      <c r="N8" s="11"/>
      <c r="O8" s="10">
        <f ref="O8:P8" t="shared" si="63">A8</f>
        <v>0</v>
      </c>
      <c r="P8" s="11" t="s">
        <f t="shared" si="63"/>
        <v>19</v>
      </c>
      <c r="Q8" s="11" t="s">
        <f t="shared" si="247"/>
        <v>23</v>
      </c>
      <c r="R8" s="11">
        <f t="shared" si="241"/>
        <v>0</v>
      </c>
      <c r="S8" s="11">
        <f ref="S8:U8" t="shared" si="62">E8</f>
        <v>0</v>
      </c>
      <c r="T8" s="11">
        <f t="shared" si="62"/>
        <v>0</v>
      </c>
      <c r="U8" s="11">
        <f t="shared" si="62"/>
        <v>0</v>
      </c>
      <c r="V8" s="11">
        <f t="shared" si="246"/>
      </c>
      <c r="W8" s="11" t="s">
        <f t="shared" si="245"/>
      </c>
      <c r="X8" s="11" t="s">
        <f t="shared" si="242"/>
      </c>
      <c r="Y8" s="11"/>
    </row>
    <row r="9" ht="15.75" customHeight="true">
      <c r="A9" s="10"/>
      <c r="B9" t="s" s="11">
        <v>19</v>
      </c>
      <c r="C9" s="11"/>
      <c r="D9" s="11"/>
      <c r="E9" s="11"/>
      <c r="F9" s="11"/>
      <c r="G9" s="11"/>
      <c r="H9" s="11" t="s">
        <f>IF(E9="","",IF(OR(LOWER(E9)="nakshi",LOWER(E9)="new nakshi"),IF(LOWER(F9)="bedcover",E9,"single"),"single"))</f>
      </c>
      <c r="I9" t="s" s="11">
        <v>11</v>
      </c>
      <c r="J9" s="11"/>
      <c r="K9" s="11" t="s">
        <f>""</f>
      </c>
      <c r="L9" s="11" t="s">
        <f t="shared" si="239"/>
      </c>
      <c r="M9" s="8" t="s">
        <f t="shared" si="240"/>
        <v>23</v>
      </c>
      <c r="N9" s="11"/>
      <c r="O9" s="10">
        <f ref="O9:P9" t="shared" si="1320">A9</f>
        <v>0</v>
      </c>
      <c r="P9" s="11" t="s">
        <f t="shared" si="1320"/>
        <v>19</v>
      </c>
      <c r="Q9" s="11" t="s">
        <f t="shared" si="247"/>
        <v>23</v>
      </c>
      <c r="R9" s="11">
        <f t="shared" si="241"/>
        <v>0</v>
      </c>
      <c r="S9" s="11">
        <f ref="S9:U9" t="shared" si="1321">E9</f>
        <v>0</v>
      </c>
      <c r="T9" s="11">
        <f t="shared" si="1321"/>
        <v>0</v>
      </c>
      <c r="U9" s="11">
        <f t="shared" si="1321"/>
        <v>0</v>
      </c>
      <c r="V9" s="11">
        <f t="shared" si="246"/>
      </c>
      <c r="W9" s="11" t="s">
        <f t="shared" si="245"/>
      </c>
      <c r="X9" s="11" t="s">
        <f t="shared" si="242"/>
      </c>
      <c r="Y9" s="11"/>
    </row>
    <row r="10" ht="15.75" customHeight="true">
      <c r="A10" s="10"/>
      <c r="B10" t="s" s="11">
        <v>19</v>
      </c>
      <c r="C10" s="11"/>
      <c r="D10" s="11"/>
      <c r="E10" s="11"/>
      <c r="F10" s="11"/>
      <c r="G10" s="11"/>
      <c r="H10" s="11" t="s">
        <f>IF(E10="","",IF(OR(LOWER(E10)="nakshi",LOWER(E10)="new nakshi"),IF(LOWER(F10)="bedcover",E10,"single"),"single"))</f>
      </c>
      <c r="I10" t="s" s="11">
        <v>11</v>
      </c>
      <c r="J10" s="11"/>
      <c r="K10" s="11" t="s">
        <f>""</f>
      </c>
      <c r="L10" s="11" t="s">
        <f t="shared" si="239"/>
      </c>
      <c r="M10" s="8" t="s">
        <f t="shared" si="240"/>
        <v>23</v>
      </c>
      <c r="N10" s="11"/>
      <c r="O10" s="10">
        <f ref="O10:P10" t="shared" si="975">A10</f>
        <v>0</v>
      </c>
      <c r="P10" s="11" t="s">
        <f t="shared" si="975"/>
        <v>19</v>
      </c>
      <c r="Q10" s="11" t="s">
        <f t="shared" si="247"/>
        <v>23</v>
      </c>
      <c r="R10" s="11">
        <f t="shared" si="241"/>
        <v>0</v>
      </c>
      <c r="S10" s="11">
        <f ref="S10:U10" t="shared" si="976">E10</f>
        <v>0</v>
      </c>
      <c r="T10" s="11">
        <f t="shared" si="976"/>
        <v>0</v>
      </c>
      <c r="U10" s="11">
        <f t="shared" si="976"/>
        <v>0</v>
      </c>
      <c r="V10" s="11">
        <f t="shared" si="246"/>
      </c>
      <c r="W10" s="11" t="s">
        <f t="shared" si="245"/>
      </c>
      <c r="X10" s="11" t="s">
        <f t="shared" si="242"/>
      </c>
      <c r="Y10" s="11"/>
    </row>
    <row r="11" ht="15.75" customHeight="true">
      <c r="A11" s="10"/>
      <c r="B11" t="s" s="11">
        <v>19</v>
      </c>
      <c r="C11" s="11"/>
      <c r="D11" s="11"/>
      <c r="E11" s="11"/>
      <c r="F11" s="11"/>
      <c r="G11" s="11"/>
      <c r="H11" s="11" t="s">
        <f>IF(E11="","",IF(OR(LOWER(E11)="nakshi",LOWER(E11)="new nakshi"),IF(LOWER(F11)="bedcover",E11,"single"),"single"))</f>
      </c>
      <c r="I11" t="s" s="11">
        <v>11</v>
      </c>
      <c r="J11" s="11"/>
      <c r="K11" s="11" t="s">
        <f>""</f>
      </c>
      <c r="L11" s="11" t="s">
        <f t="shared" si="239"/>
      </c>
      <c r="M11" s="8" t="s">
        <f t="shared" si="240"/>
        <v>23</v>
      </c>
      <c r="N11" s="11"/>
      <c r="O11" s="10">
        <f ref="O11:P11" t="shared" si="660">A11</f>
        <v>0</v>
      </c>
      <c r="P11" s="11" t="s">
        <f t="shared" si="660"/>
        <v>19</v>
      </c>
      <c r="Q11" s="11" t="s">
        <f t="shared" si="247"/>
        <v>23</v>
      </c>
      <c r="R11" s="11">
        <f t="shared" si="241"/>
        <v>0</v>
      </c>
      <c r="S11" s="11">
        <f ref="S11:U11" t="shared" si="661">E11</f>
        <v>0</v>
      </c>
      <c r="T11" s="11">
        <f t="shared" si="661"/>
        <v>0</v>
      </c>
      <c r="U11" s="11">
        <f t="shared" si="661"/>
        <v>0</v>
      </c>
      <c r="V11" s="11">
        <f t="shared" si="246"/>
      </c>
      <c r="W11" s="11" t="s">
        <f t="shared" si="245"/>
      </c>
      <c r="X11" s="11" t="s">
        <f t="shared" si="242"/>
      </c>
      <c r="Y11" s="11"/>
    </row>
    <row r="12" ht="15.75" customHeight="true">
      <c r="A12" s="10"/>
      <c r="B12" t="s" s="11">
        <v>19</v>
      </c>
      <c r="C12" s="11"/>
      <c r="D12" s="11"/>
      <c r="E12" s="11"/>
      <c r="F12" s="11"/>
      <c r="G12" s="11"/>
      <c r="H12" s="11" t="s">
        <f>IF(E12="","",IF(OR(LOWER(E12)="nakshi",LOWER(E12)="new nakshi"),IF(LOWER(F12)="bedcover",E12,"single"),"single"))</f>
      </c>
      <c r="I12" t="s" s="11">
        <v>11</v>
      </c>
      <c r="J12" s="11"/>
      <c r="K12" s="11" t="s">
        <f>""</f>
      </c>
      <c r="L12" s="11" t="s">
        <f t="shared" si="239"/>
      </c>
      <c r="M12" s="8" t="s">
        <f t="shared" si="240"/>
        <v>23</v>
      </c>
      <c r="N12" s="11"/>
      <c r="O12" s="10">
        <f ref="O12:P12" t="shared" si="1055">A12</f>
        <v>0</v>
      </c>
      <c r="P12" s="11" t="s">
        <f t="shared" si="1055"/>
        <v>19</v>
      </c>
      <c r="Q12" s="11" t="s">
        <f t="shared" si="247"/>
        <v>23</v>
      </c>
      <c r="R12" s="11">
        <f t="shared" si="241"/>
        <v>0</v>
      </c>
      <c r="S12" s="11">
        <f ref="S12:U12" t="shared" si="1056">E12</f>
        <v>0</v>
      </c>
      <c r="T12" s="11">
        <f t="shared" si="1056"/>
        <v>0</v>
      </c>
      <c r="U12" s="11">
        <f t="shared" si="1056"/>
        <v>0</v>
      </c>
      <c r="V12" s="11">
        <f t="shared" si="246"/>
      </c>
      <c r="W12" s="11" t="s">
        <f t="shared" si="245"/>
      </c>
      <c r="X12" s="11" t="s">
        <f t="shared" si="242"/>
      </c>
      <c r="Y12" s="11"/>
    </row>
    <row r="13" ht="15.75" customHeight="true">
      <c r="A13" s="10"/>
      <c r="B13" t="s" s="11">
        <v>19</v>
      </c>
      <c r="C13" s="11"/>
      <c r="D13" s="11"/>
      <c r="E13" s="11"/>
      <c r="F13" s="11"/>
      <c r="G13" s="11"/>
      <c r="H13" s="11" t="s">
        <f>IF(E13="","",IF(OR(LOWER(E13)="nakshi",LOWER(E13)="new nakshi"),IF(LOWER(F13)="bedcover",E13,"single"),"single"))</f>
      </c>
      <c r="I13" t="s" s="11">
        <v>11</v>
      </c>
      <c r="J13" s="11"/>
      <c r="K13" s="11" t="s">
        <f>""</f>
      </c>
      <c r="L13" s="11" t="s">
        <f t="shared" si="239"/>
      </c>
      <c r="M13" s="8" t="s">
        <f t="shared" si="240"/>
        <v>23</v>
      </c>
      <c r="N13" s="11"/>
      <c r="O13" s="10">
        <f ref="O13:P13" t="shared" si="1001">A13</f>
        <v>0</v>
      </c>
      <c r="P13" s="11" t="s">
        <f t="shared" si="1001"/>
        <v>19</v>
      </c>
      <c r="Q13" s="11" t="s">
        <f t="shared" si="247"/>
        <v>23</v>
      </c>
      <c r="R13" s="11">
        <f t="shared" si="241"/>
        <v>0</v>
      </c>
      <c r="S13" s="11">
        <f ref="S13:U13" t="shared" si="1002">E13</f>
        <v>0</v>
      </c>
      <c r="T13" s="11">
        <f t="shared" si="1002"/>
        <v>0</v>
      </c>
      <c r="U13" s="11">
        <f t="shared" si="1002"/>
        <v>0</v>
      </c>
      <c r="V13" s="11">
        <f t="shared" si="246"/>
      </c>
      <c r="W13" s="11" t="s">
        <f t="shared" si="245"/>
      </c>
      <c r="X13" s="11" t="s">
        <f t="shared" si="242"/>
      </c>
      <c r="Y13" s="11"/>
    </row>
    <row r="14" ht="15.75" customHeight="true">
      <c r="A14" s="10"/>
      <c r="B14" t="s" s="11">
        <v>19</v>
      </c>
      <c r="C14" s="11"/>
      <c r="D14" s="11"/>
      <c r="E14" s="11"/>
      <c r="F14" s="11"/>
      <c r="G14" s="11"/>
      <c r="H14" s="11" t="s">
        <f>IF(E14="","",IF(OR(LOWER(E14)="nakshi",LOWER(E14)="new nakshi"),IF(LOWER(F14)="bedcover",E14,"single"),"single"))</f>
      </c>
      <c r="I14" t="s" s="11">
        <v>11</v>
      </c>
      <c r="J14" s="11"/>
      <c r="K14" s="11" t="s">
        <f>""</f>
      </c>
      <c r="L14" s="11" t="s">
        <f t="shared" si="239"/>
      </c>
      <c r="M14" s="8" t="s">
        <f t="shared" si="240"/>
        <v>23</v>
      </c>
      <c r="N14" s="11"/>
      <c r="O14" s="10">
        <f ref="O14:P14" t="shared" si="845">A14</f>
        <v>0</v>
      </c>
      <c r="P14" s="11" t="s">
        <f t="shared" si="845"/>
        <v>19</v>
      </c>
      <c r="Q14" s="11" t="s">
        <f t="shared" si="247"/>
        <v>23</v>
      </c>
      <c r="R14" s="11">
        <f t="shared" si="241"/>
        <v>0</v>
      </c>
      <c r="S14" s="11">
        <f ref="S14:U14" t="shared" si="844">E14</f>
        <v>0</v>
      </c>
      <c r="T14" s="11">
        <f t="shared" si="844"/>
        <v>0</v>
      </c>
      <c r="U14" s="11">
        <f t="shared" si="844"/>
        <v>0</v>
      </c>
      <c r="V14" s="11">
        <f t="shared" si="246"/>
      </c>
      <c r="W14" s="11" t="s">
        <f t="shared" si="245"/>
      </c>
      <c r="X14" s="11" t="s">
        <f t="shared" si="242"/>
      </c>
      <c r="Y14" s="11"/>
    </row>
    <row r="15" ht="15.75" customHeight="true">
      <c r="A15" s="10"/>
      <c r="B15" t="s" s="11">
        <v>19</v>
      </c>
      <c r="C15" s="11"/>
      <c r="D15" s="11"/>
      <c r="E15" s="11"/>
      <c r="F15" s="11"/>
      <c r="G15" s="11"/>
      <c r="H15" s="11" t="s">
        <f>IF(E15="","",IF(OR(LOWER(E15)="nakshi",LOWER(E15)="new nakshi"),IF(LOWER(F15)="bedcover",E15,"single"),"single"))</f>
      </c>
      <c r="I15" t="s" s="11">
        <v>11</v>
      </c>
      <c r="J15" s="11"/>
      <c r="K15" s="11" t="s">
        <f>""</f>
      </c>
      <c r="L15" s="11" t="s">
        <f t="shared" si="239"/>
      </c>
      <c r="M15" s="8" t="s">
        <f t="shared" si="240"/>
        <v>23</v>
      </c>
      <c r="N15" s="11"/>
      <c r="O15" s="10">
        <f ref="O15:P15" t="shared" si="336">A15</f>
        <v>0</v>
      </c>
      <c r="P15" s="11" t="s">
        <f t="shared" si="336"/>
        <v>19</v>
      </c>
      <c r="Q15" s="11" t="s">
        <f t="shared" si="247"/>
        <v>23</v>
      </c>
      <c r="R15" s="11">
        <f t="shared" si="241"/>
        <v>0</v>
      </c>
      <c r="S15" s="11">
        <f ref="S15:U15" t="shared" si="337">E15</f>
        <v>0</v>
      </c>
      <c r="T15" s="11">
        <f t="shared" si="337"/>
        <v>0</v>
      </c>
      <c r="U15" s="11">
        <f t="shared" si="337"/>
        <v>0</v>
      </c>
      <c r="V15" s="11">
        <f t="shared" si="246"/>
      </c>
      <c r="W15" s="11" t="s">
        <f t="shared" si="245"/>
      </c>
      <c r="X15" s="11" t="s">
        <f t="shared" si="242"/>
      </c>
      <c r="Y15" s="11"/>
    </row>
    <row r="16" ht="15.75" customHeight="true">
      <c r="A16" s="10"/>
      <c r="B16" t="s" s="11">
        <v>19</v>
      </c>
      <c r="C16" s="11"/>
      <c r="D16" s="11"/>
      <c r="E16" s="11"/>
      <c r="F16" s="11"/>
      <c r="G16" s="11"/>
      <c r="H16" s="11" t="s">
        <f>IF(E16="","",IF(OR(LOWER(E16)="nakshi",LOWER(E16)="new nakshi"),IF(LOWER(F16)="bedcover",E16,"single"),"single"))</f>
      </c>
      <c r="I16" t="s" s="11">
        <v>11</v>
      </c>
      <c r="J16" s="11"/>
      <c r="K16" s="11" t="s">
        <f>""</f>
      </c>
      <c r="L16" s="11" t="s">
        <f t="shared" si="239"/>
      </c>
      <c r="M16" s="8" t="s">
        <f t="shared" si="240"/>
        <v>23</v>
      </c>
      <c r="N16" s="11"/>
      <c r="O16" s="10">
        <f ref="O16:P16" t="shared" si="194">A16</f>
        <v>0</v>
      </c>
      <c r="P16" s="11" t="s">
        <f t="shared" si="194"/>
        <v>19</v>
      </c>
      <c r="Q16" s="11" t="s">
        <f t="shared" si="247"/>
        <v>23</v>
      </c>
      <c r="R16" s="11">
        <f t="shared" si="241"/>
        <v>0</v>
      </c>
      <c r="S16" s="11">
        <f ref="S16:U16" t="shared" si="193">E16</f>
        <v>0</v>
      </c>
      <c r="T16" s="11">
        <f t="shared" si="193"/>
        <v>0</v>
      </c>
      <c r="U16" s="11">
        <f t="shared" si="193"/>
        <v>0</v>
      </c>
      <c r="V16" s="11">
        <f t="shared" si="246"/>
      </c>
      <c r="W16" s="11" t="s">
        <f t="shared" si="245"/>
      </c>
      <c r="X16" s="11" t="s">
        <f t="shared" si="242"/>
      </c>
      <c r="Y16" s="11"/>
    </row>
    <row r="17" ht="15.75" customHeight="true">
      <c r="A17" s="10"/>
      <c r="B17" t="s" s="11">
        <v>19</v>
      </c>
      <c r="C17" s="11"/>
      <c r="D17" s="11"/>
      <c r="E17" s="11"/>
      <c r="F17" s="11"/>
      <c r="G17" s="11"/>
      <c r="H17" s="11" t="s">
        <f>IF(E17="","",IF(OR(LOWER(E17)="nakshi",LOWER(E17)="new nakshi"),IF(LOWER(F17)="bedcover",E17,"single"),"single"))</f>
      </c>
      <c r="I17" t="s" s="11">
        <v>11</v>
      </c>
      <c r="J17" s="11"/>
      <c r="K17" s="11" t="s">
        <f>""</f>
      </c>
      <c r="L17" s="11" t="s">
        <f t="shared" si="239"/>
      </c>
      <c r="M17" s="8" t="s">
        <f t="shared" si="240"/>
        <v>23</v>
      </c>
      <c r="N17" s="11"/>
      <c r="O17" s="10">
        <f ref="O17:P17" t="shared" si="689">A17</f>
        <v>0</v>
      </c>
      <c r="P17" s="11" t="s">
        <f t="shared" si="689"/>
        <v>19</v>
      </c>
      <c r="Q17" s="11" t="s">
        <f t="shared" si="247"/>
        <v>23</v>
      </c>
      <c r="R17" s="11">
        <f t="shared" si="241"/>
        <v>0</v>
      </c>
      <c r="S17" s="11">
        <f ref="S17:U17" t="shared" si="688">E17</f>
        <v>0</v>
      </c>
      <c r="T17" s="11">
        <f t="shared" si="688"/>
        <v>0</v>
      </c>
      <c r="U17" s="11">
        <f t="shared" si="688"/>
        <v>0</v>
      </c>
      <c r="V17" s="11">
        <f t="shared" si="246"/>
      </c>
      <c r="W17" s="11" t="s">
        <f t="shared" si="245"/>
      </c>
      <c r="X17" s="11" t="s">
        <f t="shared" si="242"/>
      </c>
      <c r="Y17" s="11"/>
    </row>
    <row r="18" ht="15.75" customHeight="true">
      <c r="A18" s="10"/>
      <c r="B18" t="s" s="11">
        <v>19</v>
      </c>
      <c r="C18" s="11"/>
      <c r="D18" s="11"/>
      <c r="E18" s="11"/>
      <c r="F18" s="11"/>
      <c r="G18" s="11"/>
      <c r="H18" s="11" t="s">
        <f>IF(E18="","",IF(OR(LOWER(E18)="nakshi",LOWER(E18)="new nakshi"),IF(LOWER(F18)="bedcover",E18,"single"),"single"))</f>
      </c>
      <c r="I18" t="s" s="11">
        <v>11</v>
      </c>
      <c r="J18" s="11"/>
      <c r="K18" s="11" t="s">
        <f>""</f>
      </c>
      <c r="L18" s="11" t="s">
        <f t="shared" si="239"/>
      </c>
      <c r="M18" s="8" t="s">
        <f t="shared" si="240"/>
        <v>23</v>
      </c>
      <c r="N18" s="11"/>
      <c r="O18" s="10">
        <f ref="O18:P18" t="shared" si="289">A18</f>
        <v>0</v>
      </c>
      <c r="P18" s="11" t="s">
        <f t="shared" si="289"/>
        <v>19</v>
      </c>
      <c r="Q18" s="11" t="s">
        <f t="shared" si="247"/>
        <v>23</v>
      </c>
      <c r="R18" s="11">
        <f t="shared" si="241"/>
        <v>0</v>
      </c>
      <c r="S18" s="11">
        <f ref="S18:U18" t="shared" si="288">E18</f>
        <v>0</v>
      </c>
      <c r="T18" s="11">
        <f t="shared" si="288"/>
        <v>0</v>
      </c>
      <c r="U18" s="11">
        <f t="shared" si="288"/>
        <v>0</v>
      </c>
      <c r="V18" s="11">
        <f t="shared" si="246"/>
      </c>
      <c r="W18" s="11" t="s">
        <f t="shared" si="245"/>
      </c>
      <c r="X18" s="11" t="s">
        <f t="shared" si="242"/>
      </c>
      <c r="Y18" s="11"/>
    </row>
    <row r="19" ht="15.75" customHeight="true">
      <c r="A19" s="10"/>
      <c r="B19" t="s" s="11">
        <v>19</v>
      </c>
      <c r="C19" s="11"/>
      <c r="D19" s="11"/>
      <c r="E19" s="11"/>
      <c r="F19" s="11"/>
      <c r="G19" s="11"/>
      <c r="H19" s="11" t="s">
        <f>IF(E19="","",IF(OR(LOWER(E19)="nakshi",LOWER(E19)="new nakshi"),IF(LOWER(F19)="bedcover",E19,"single"),"single"))</f>
      </c>
      <c r="I19" t="s" s="11">
        <v>11</v>
      </c>
      <c r="J19" s="11"/>
      <c r="K19" s="11" t="s">
        <f>""</f>
      </c>
      <c r="L19" s="11" t="s">
        <f t="shared" si="239"/>
      </c>
      <c r="M19" s="8" t="s">
        <f t="shared" si="240"/>
        <v>23</v>
      </c>
      <c r="N19" s="11"/>
      <c r="O19" s="10">
        <f ref="O19:P19" t="shared" si="2009">A19</f>
        <v>0</v>
      </c>
      <c r="P19" s="11" t="s">
        <f t="shared" si="2009"/>
        <v>19</v>
      </c>
      <c r="Q19" s="11" t="s">
        <f t="shared" si="247"/>
        <v>23</v>
      </c>
      <c r="R19" s="11">
        <f t="shared" si="241"/>
        <v>0</v>
      </c>
      <c r="S19" s="11">
        <f ref="S19:U19" t="shared" si="2008">E19</f>
        <v>0</v>
      </c>
      <c r="T19" s="11">
        <f t="shared" si="2008"/>
        <v>0</v>
      </c>
      <c r="U19" s="11">
        <f t="shared" si="2008"/>
        <v>0</v>
      </c>
      <c r="V19" s="11">
        <f t="shared" si="246"/>
      </c>
      <c r="W19" s="11" t="s">
        <f t="shared" si="245"/>
      </c>
      <c r="X19" s="11" t="s">
        <f t="shared" si="242"/>
      </c>
      <c r="Y19" s="11"/>
    </row>
    <row r="20" ht="15.75" customHeight="true">
      <c r="A20" s="10"/>
      <c r="B20" t="s" s="11">
        <v>19</v>
      </c>
      <c r="C20" s="11"/>
      <c r="D20" s="11"/>
      <c r="E20" s="11"/>
      <c r="F20" s="11"/>
      <c r="G20" s="11"/>
      <c r="H20" s="11" t="s">
        <f>IF(E20="","",IF(OR(LOWER(E20)="nakshi",LOWER(E20)="new nakshi"),IF(LOWER(F20)="bedcover",E20,"single"),"single"))</f>
      </c>
      <c r="I20" t="s" s="11">
        <v>11</v>
      </c>
      <c r="J20" s="11"/>
      <c r="K20" s="11" t="s">
        <f>""</f>
      </c>
      <c r="L20" s="11" t="s">
        <f t="shared" si="239"/>
      </c>
      <c r="M20" s="8" t="s">
        <f t="shared" si="240"/>
        <v>23</v>
      </c>
      <c r="N20" s="11"/>
      <c r="O20" s="10">
        <f ref="O20:P20" t="shared" si="1181">A20</f>
        <v>0</v>
      </c>
      <c r="P20" s="11" t="s">
        <f t="shared" si="1181"/>
        <v>19</v>
      </c>
      <c r="Q20" s="11" t="s">
        <f t="shared" si="247"/>
        <v>23</v>
      </c>
      <c r="R20" s="11">
        <f t="shared" si="241"/>
        <v>0</v>
      </c>
      <c r="S20" s="11">
        <f ref="S20:U20" t="shared" si="1182">E20</f>
        <v>0</v>
      </c>
      <c r="T20" s="11">
        <f t="shared" si="1182"/>
        <v>0</v>
      </c>
      <c r="U20" s="11">
        <f t="shared" si="1182"/>
        <v>0</v>
      </c>
      <c r="V20" s="11">
        <f t="shared" si="246"/>
      </c>
      <c r="W20" s="11" t="s">
        <f t="shared" si="245"/>
      </c>
      <c r="X20" s="11" t="s">
        <f t="shared" si="242"/>
      </c>
      <c r="Y20" s="11"/>
    </row>
    <row r="21" ht="15.75" customHeight="true">
      <c r="A21" s="10"/>
      <c r="B21" t="s" s="11">
        <v>19</v>
      </c>
      <c r="C21" s="11"/>
      <c r="D21" s="11"/>
      <c r="E21" s="11"/>
      <c r="F21" s="11"/>
      <c r="G21" s="11"/>
      <c r="H21" s="11" t="s">
        <f>IF(E21="","",IF(OR(LOWER(E21)="nakshi",LOWER(E21)="new nakshi"),IF(LOWER(F21)="bedcover",E21,"single"),"single"))</f>
      </c>
      <c r="I21" t="s" s="11">
        <v>11</v>
      </c>
      <c r="J21" s="11"/>
      <c r="K21" s="11" t="s">
        <f>""</f>
      </c>
      <c r="L21" s="11" t="s">
        <f t="shared" si="239"/>
      </c>
      <c r="M21" s="8" t="s">
        <f t="shared" si="240"/>
        <v>23</v>
      </c>
      <c r="N21" s="11"/>
      <c r="O21" s="10">
        <f ref="O21:P21" t="shared" si="1978">A21</f>
        <v>0</v>
      </c>
      <c r="P21" s="11" t="s">
        <f t="shared" si="1978"/>
        <v>19</v>
      </c>
      <c r="Q21" s="11" t="s">
        <f t="shared" si="247"/>
        <v>23</v>
      </c>
      <c r="R21" s="11">
        <f t="shared" si="241"/>
        <v>0</v>
      </c>
      <c r="S21" s="11">
        <f ref="S21:U21" t="shared" si="1979">E21</f>
        <v>0</v>
      </c>
      <c r="T21" s="11">
        <f t="shared" si="1979"/>
        <v>0</v>
      </c>
      <c r="U21" s="11">
        <f t="shared" si="1979"/>
        <v>0</v>
      </c>
      <c r="V21" s="11">
        <f t="shared" si="246"/>
      </c>
      <c r="W21" s="11" t="s">
        <f t="shared" si="245"/>
      </c>
      <c r="X21" s="11" t="s">
        <f t="shared" si="242"/>
      </c>
      <c r="Y21" s="11"/>
    </row>
    <row r="22" ht="15.75" customHeight="true">
      <c r="A22" s="10"/>
      <c r="B22" t="s" s="11">
        <v>19</v>
      </c>
      <c r="C22" s="11"/>
      <c r="D22" s="11"/>
      <c r="E22" s="11"/>
      <c r="F22" s="11"/>
      <c r="G22" s="11"/>
      <c r="H22" s="11" t="s">
        <f>IF(E22="","",IF(OR(LOWER(E22)="nakshi",LOWER(E22)="new nakshi"),IF(LOWER(F22)="bedcover",E22,"single"),"single"))</f>
      </c>
      <c r="I22" t="s" s="11">
        <v>11</v>
      </c>
      <c r="J22" s="11"/>
      <c r="K22" s="11" t="s">
        <f>""</f>
      </c>
      <c r="L22" s="11" t="s">
        <f t="shared" si="239"/>
      </c>
      <c r="M22" s="8" t="s">
        <f t="shared" si="240"/>
        <v>23</v>
      </c>
      <c r="N22" s="11"/>
      <c r="O22" s="10">
        <f ref="O22:P22" t="shared" si="49">A22</f>
        <v>0</v>
      </c>
      <c r="P22" s="11" t="s">
        <f t="shared" si="49"/>
        <v>19</v>
      </c>
      <c r="Q22" s="11" t="s">
        <f t="shared" si="247"/>
        <v>23</v>
      </c>
      <c r="R22" s="11">
        <f t="shared" si="241"/>
        <v>0</v>
      </c>
      <c r="S22" s="11">
        <f ref="S22:U22" t="shared" si="48">E22</f>
        <v>0</v>
      </c>
      <c r="T22" s="11">
        <f t="shared" si="48"/>
        <v>0</v>
      </c>
      <c r="U22" s="11">
        <f t="shared" si="48"/>
        <v>0</v>
      </c>
      <c r="V22" s="11">
        <f t="shared" si="246"/>
      </c>
      <c r="W22" s="11" t="s">
        <f t="shared" si="245"/>
      </c>
      <c r="X22" s="11" t="s">
        <f t="shared" si="242"/>
      </c>
      <c r="Y22" s="11"/>
    </row>
    <row r="23" ht="15.75" customHeight="true">
      <c r="A23" s="10"/>
      <c r="B23" t="s" s="11">
        <v>19</v>
      </c>
      <c r="C23" s="11"/>
      <c r="D23" s="11"/>
      <c r="E23" s="11"/>
      <c r="F23" s="11"/>
      <c r="G23" s="11"/>
      <c r="H23" s="11" t="s">
        <f>IF(E23="","",IF(OR(LOWER(E23)="nakshi",LOWER(E23)="new nakshi"),IF(LOWER(F23)="bedcover",E23,"single"),"single"))</f>
      </c>
      <c r="I23" t="s" s="11">
        <v>11</v>
      </c>
      <c r="J23" s="11"/>
      <c r="K23" s="11" t="s">
        <f>""</f>
      </c>
      <c r="L23" s="11" t="s">
        <f t="shared" si="239"/>
      </c>
      <c r="M23" s="8" t="s">
        <f t="shared" si="240"/>
        <v>23</v>
      </c>
      <c r="N23" s="11"/>
      <c r="O23" s="10">
        <f ref="O23:P23" t="shared" si="1104">A23</f>
        <v>0</v>
      </c>
      <c r="P23" s="11" t="s">
        <f t="shared" si="1104"/>
        <v>19</v>
      </c>
      <c r="Q23" s="11" t="s">
        <f t="shared" si="247"/>
        <v>23</v>
      </c>
      <c r="R23" s="11">
        <f t="shared" si="241"/>
        <v>0</v>
      </c>
      <c r="S23" s="11">
        <f ref="S23:U23" t="shared" si="1103">E23</f>
        <v>0</v>
      </c>
      <c r="T23" s="11">
        <f t="shared" si="1103"/>
        <v>0</v>
      </c>
      <c r="U23" s="11">
        <f t="shared" si="1103"/>
        <v>0</v>
      </c>
      <c r="V23" s="11">
        <f t="shared" si="246"/>
      </c>
      <c r="W23" s="11" t="s">
        <f t="shared" si="245"/>
      </c>
      <c r="X23" s="11" t="s">
        <f t="shared" si="242"/>
      </c>
      <c r="Y23" s="11"/>
    </row>
    <row r="24" ht="15.75" customHeight="true">
      <c r="A24" s="10"/>
      <c r="B24" t="s" s="11">
        <v>19</v>
      </c>
      <c r="C24" s="11"/>
      <c r="D24" s="11"/>
      <c r="E24" s="11"/>
      <c r="F24" s="11"/>
      <c r="G24" s="11"/>
      <c r="H24" s="11" t="s">
        <f>IF(E24="","",IF(OR(LOWER(E24)="nakshi",LOWER(E24)="new nakshi"),IF(LOWER(F24)="bedcover",E24,"single"),"single"))</f>
      </c>
      <c r="I24" t="s" s="11">
        <v>11</v>
      </c>
      <c r="J24" s="11"/>
      <c r="K24" s="11" t="s">
        <f>""</f>
      </c>
      <c r="L24" s="11" t="s">
        <f t="shared" si="239"/>
      </c>
      <c r="M24" s="8" t="s">
        <f t="shared" si="240"/>
        <v>23</v>
      </c>
      <c r="N24" s="11"/>
      <c r="O24" s="10">
        <f ref="O24:P24" t="shared" si="277">A24</f>
        <v>0</v>
      </c>
      <c r="P24" s="11" t="s">
        <f t="shared" si="277"/>
        <v>19</v>
      </c>
      <c r="Q24" s="11" t="s">
        <f t="shared" si="247"/>
        <v>23</v>
      </c>
      <c r="R24" s="11">
        <f t="shared" si="241"/>
        <v>0</v>
      </c>
      <c r="S24" s="11">
        <f ref="S24:U24" t="shared" si="276">E24</f>
        <v>0</v>
      </c>
      <c r="T24" s="11">
        <f t="shared" si="276"/>
        <v>0</v>
      </c>
      <c r="U24" s="11">
        <f t="shared" si="276"/>
        <v>0</v>
      </c>
      <c r="V24" s="11">
        <f t="shared" si="246"/>
      </c>
      <c r="W24" s="11" t="s">
        <f t="shared" si="245"/>
      </c>
      <c r="X24" s="11" t="s">
        <f t="shared" si="242"/>
      </c>
      <c r="Y24" s="11"/>
    </row>
    <row r="25" ht="15.75" customHeight="true">
      <c r="A25" s="10"/>
      <c r="B25" t="s" s="11">
        <v>19</v>
      </c>
      <c r="C25" s="11"/>
      <c r="D25" s="11"/>
      <c r="E25" s="11"/>
      <c r="F25" s="11"/>
      <c r="G25" s="11"/>
      <c r="H25" s="11" t="s">
        <f>IF(E25="","",IF(OR(LOWER(E25)="nakshi",LOWER(E25)="new nakshi"),IF(LOWER(F25)="bedcover",E25,"single"),"single"))</f>
      </c>
      <c r="I25" t="s" s="11">
        <v>11</v>
      </c>
      <c r="J25" s="11"/>
      <c r="K25" s="11" t="s">
        <f>""</f>
      </c>
      <c r="L25" s="11" t="s">
        <f t="shared" si="239"/>
      </c>
      <c r="M25" s="8" t="s">
        <f t="shared" si="240"/>
        <v>23</v>
      </c>
      <c r="N25" s="11"/>
      <c r="O25" s="10">
        <f ref="O25:P25" t="shared" si="840">A25</f>
        <v>0</v>
      </c>
      <c r="P25" s="11" t="s">
        <f t="shared" si="840"/>
        <v>19</v>
      </c>
      <c r="Q25" s="11" t="s">
        <f t="shared" si="247"/>
        <v>23</v>
      </c>
      <c r="R25" s="11">
        <f t="shared" si="241"/>
        <v>0</v>
      </c>
      <c r="S25" s="11">
        <f ref="S25:U25" t="shared" si="841">E25</f>
        <v>0</v>
      </c>
      <c r="T25" s="11">
        <f t="shared" si="841"/>
        <v>0</v>
      </c>
      <c r="U25" s="11">
        <f t="shared" si="841"/>
        <v>0</v>
      </c>
      <c r="V25" s="11">
        <f t="shared" si="246"/>
      </c>
      <c r="W25" s="11" t="s">
        <f t="shared" si="245"/>
      </c>
      <c r="X25" s="11" t="s">
        <f t="shared" si="242"/>
      </c>
      <c r="Y25" s="11"/>
    </row>
    <row r="26" ht="15.75" customHeight="true">
      <c r="A26" s="10"/>
      <c r="B26" t="s" s="11">
        <v>19</v>
      </c>
      <c r="C26" s="11"/>
      <c r="D26" s="11"/>
      <c r="E26" s="11"/>
      <c r="F26" s="11"/>
      <c r="G26" s="11"/>
      <c r="H26" s="11" t="s">
        <f>IF(E26="","",IF(OR(LOWER(E26)="nakshi",LOWER(E26)="new nakshi"),IF(LOWER(F26)="bedcover",E26,"single"),"single"))</f>
      </c>
      <c r="I26" t="s" s="11">
        <v>11</v>
      </c>
      <c r="J26" s="11"/>
      <c r="K26" s="11" t="s">
        <f>""</f>
      </c>
      <c r="L26" s="11" t="s">
        <f t="shared" si="239"/>
      </c>
      <c r="M26" s="8" t="s">
        <f t="shared" si="240"/>
        <v>23</v>
      </c>
      <c r="N26" s="11"/>
      <c r="O26" s="10">
        <f ref="O26:P26" t="shared" si="1833">A26</f>
        <v>0</v>
      </c>
      <c r="P26" s="11" t="s">
        <f t="shared" si="1833"/>
        <v>19</v>
      </c>
      <c r="Q26" s="11" t="s">
        <f t="shared" si="247"/>
        <v>23</v>
      </c>
      <c r="R26" s="11">
        <f t="shared" si="241"/>
        <v>0</v>
      </c>
      <c r="S26" s="11">
        <f ref="S26:U26" t="shared" si="1832">E26</f>
        <v>0</v>
      </c>
      <c r="T26" s="11">
        <f t="shared" si="1832"/>
        <v>0</v>
      </c>
      <c r="U26" s="11">
        <f t="shared" si="1832"/>
        <v>0</v>
      </c>
      <c r="V26" s="11">
        <f t="shared" si="246"/>
      </c>
      <c r="W26" s="11" t="s">
        <f t="shared" si="245"/>
      </c>
      <c r="X26" s="11" t="s">
        <f t="shared" si="242"/>
      </c>
      <c r="Y26" s="11"/>
    </row>
    <row r="27" ht="15.75" customHeight="true">
      <c r="A27" s="10"/>
      <c r="B27" t="s" s="11">
        <v>19</v>
      </c>
      <c r="C27" s="11"/>
      <c r="D27" s="11"/>
      <c r="E27" s="11"/>
      <c r="F27" s="11"/>
      <c r="G27" s="11"/>
      <c r="H27" s="11" t="s">
        <f>IF(E27="","",IF(OR(LOWER(E27)="nakshi",LOWER(E27)="new nakshi"),IF(LOWER(F27)="bedcover",E27,"single"),"single"))</f>
      </c>
      <c r="I27" t="s" s="11">
        <v>11</v>
      </c>
      <c r="J27" s="11"/>
      <c r="K27" s="11" t="s">
        <f>""</f>
      </c>
      <c r="L27" s="11" t="s">
        <f t="shared" si="239"/>
      </c>
      <c r="M27" s="8" t="s">
        <f t="shared" si="240"/>
        <v>23</v>
      </c>
      <c r="N27" s="11"/>
      <c r="O27" s="10">
        <f ref="O27:P27" t="shared" si="1626">A27</f>
        <v>0</v>
      </c>
      <c r="P27" s="11" t="s">
        <f t="shared" si="1626"/>
        <v>19</v>
      </c>
      <c r="Q27" s="11" t="s">
        <f t="shared" si="247"/>
        <v>23</v>
      </c>
      <c r="R27" s="11">
        <f t="shared" si="241"/>
        <v>0</v>
      </c>
      <c r="S27" s="11">
        <f ref="S27:U27" t="shared" si="1627">E27</f>
        <v>0</v>
      </c>
      <c r="T27" s="11">
        <f t="shared" si="1627"/>
        <v>0</v>
      </c>
      <c r="U27" s="11">
        <f t="shared" si="1627"/>
        <v>0</v>
      </c>
      <c r="V27" s="11">
        <f t="shared" si="246"/>
      </c>
      <c r="W27" s="11" t="s">
        <f t="shared" si="245"/>
      </c>
      <c r="X27" s="11" t="s">
        <f t="shared" si="242"/>
      </c>
      <c r="Y27" s="11"/>
    </row>
    <row r="28" ht="15.75" customHeight="true">
      <c r="A28" s="10"/>
      <c r="B28" t="s" s="11">
        <v>19</v>
      </c>
      <c r="C28" s="11"/>
      <c r="D28" s="11"/>
      <c r="E28" s="11"/>
      <c r="F28" s="11"/>
      <c r="G28" s="11"/>
      <c r="H28" s="11" t="s">
        <f>IF(E28="","",IF(OR(LOWER(E28)="nakshi",LOWER(E28)="new nakshi"),IF(LOWER(F28)="bedcover",E28,"single"),"single"))</f>
      </c>
      <c r="I28" t="s" s="11">
        <v>11</v>
      </c>
      <c r="J28" s="11"/>
      <c r="K28" s="11" t="s">
        <f>""</f>
      </c>
      <c r="L28" s="11" t="s">
        <f t="shared" si="239"/>
      </c>
      <c r="M28" s="8" t="s">
        <f t="shared" si="240"/>
        <v>23</v>
      </c>
      <c r="N28" s="11"/>
      <c r="O28" s="10">
        <f ref="O28:P28" t="shared" si="356">A28</f>
        <v>0</v>
      </c>
      <c r="P28" s="11" t="s">
        <f t="shared" si="356"/>
        <v>19</v>
      </c>
      <c r="Q28" s="11" t="s">
        <f t="shared" si="247"/>
        <v>23</v>
      </c>
      <c r="R28" s="11">
        <f t="shared" si="241"/>
        <v>0</v>
      </c>
      <c r="S28" s="11">
        <f ref="S28:U28" t="shared" si="357">E28</f>
        <v>0</v>
      </c>
      <c r="T28" s="11">
        <f t="shared" si="357"/>
        <v>0</v>
      </c>
      <c r="U28" s="11">
        <f t="shared" si="357"/>
        <v>0</v>
      </c>
      <c r="V28" s="11">
        <f t="shared" si="246"/>
      </c>
      <c r="W28" s="11" t="s">
        <f t="shared" si="245"/>
      </c>
      <c r="X28" s="11" t="s">
        <f t="shared" si="242"/>
      </c>
      <c r="Y28" s="11"/>
    </row>
    <row r="29" ht="15.75" customHeight="true">
      <c r="A29" s="10"/>
      <c r="B29" t="s" s="11">
        <v>19</v>
      </c>
      <c r="C29" s="11"/>
      <c r="D29" s="11"/>
      <c r="E29" s="11"/>
      <c r="F29" s="11"/>
      <c r="G29" s="11"/>
      <c r="H29" s="11" t="s">
        <f>IF(E29="","",IF(OR(LOWER(E29)="nakshi",LOWER(E29)="new nakshi"),IF(LOWER(F29)="bedcover",E29,"single"),"single"))</f>
      </c>
      <c r="I29" t="s" s="11">
        <v>11</v>
      </c>
      <c r="J29" s="11"/>
      <c r="K29" s="11" t="s">
        <f>""</f>
      </c>
      <c r="L29" s="11" t="s">
        <f t="shared" si="239"/>
      </c>
      <c r="M29" s="8" t="s">
        <f t="shared" si="240"/>
        <v>23</v>
      </c>
      <c r="N29" s="11"/>
      <c r="O29" s="10">
        <f ref="O29:P29" t="shared" si="433">A29</f>
        <v>0</v>
      </c>
      <c r="P29" s="11" t="s">
        <f t="shared" si="433"/>
        <v>19</v>
      </c>
      <c r="Q29" s="11" t="s">
        <f t="shared" si="247"/>
        <v>23</v>
      </c>
      <c r="R29" s="11">
        <f t="shared" si="241"/>
        <v>0</v>
      </c>
      <c r="S29" s="11">
        <f ref="S29:U29" t="shared" si="432">E29</f>
        <v>0</v>
      </c>
      <c r="T29" s="11">
        <f t="shared" si="432"/>
        <v>0</v>
      </c>
      <c r="U29" s="11">
        <f t="shared" si="432"/>
        <v>0</v>
      </c>
      <c r="V29" s="11">
        <f t="shared" si="246"/>
      </c>
      <c r="W29" s="11" t="s">
        <f t="shared" si="245"/>
      </c>
      <c r="X29" s="11" t="s">
        <f t="shared" si="242"/>
      </c>
      <c r="Y29" s="11"/>
    </row>
    <row r="30" ht="15.75" customHeight="true">
      <c r="A30" s="10"/>
      <c r="B30" t="s" s="11">
        <v>19</v>
      </c>
      <c r="C30" s="11"/>
      <c r="D30" s="11"/>
      <c r="E30" s="11"/>
      <c r="F30" s="11"/>
      <c r="G30" s="11"/>
      <c r="H30" s="11" t="s">
        <f>IF(E30="","",IF(OR(LOWER(E30)="nakshi",LOWER(E30)="new nakshi"),IF(LOWER(F30)="bedcover",E30,"single"),"single"))</f>
      </c>
      <c r="I30" t="s" s="11">
        <v>11</v>
      </c>
      <c r="J30" s="11"/>
      <c r="K30" s="11" t="s">
        <f>""</f>
      </c>
      <c r="L30" s="11" t="s">
        <f t="shared" si="239"/>
      </c>
      <c r="M30" s="8" t="s">
        <f t="shared" si="240"/>
        <v>23</v>
      </c>
      <c r="N30" s="11"/>
      <c r="O30" s="10">
        <f ref="O30:P30" t="shared" si="777">A30</f>
        <v>0</v>
      </c>
      <c r="P30" s="11" t="s">
        <f t="shared" si="777"/>
        <v>19</v>
      </c>
      <c r="Q30" s="11" t="s">
        <f t="shared" si="247"/>
        <v>23</v>
      </c>
      <c r="R30" s="11">
        <f t="shared" si="241"/>
        <v>0</v>
      </c>
      <c r="S30" s="11">
        <f ref="S30:U30" t="shared" si="776">E30</f>
        <v>0</v>
      </c>
      <c r="T30" s="11">
        <f t="shared" si="776"/>
        <v>0</v>
      </c>
      <c r="U30" s="11">
        <f t="shared" si="776"/>
        <v>0</v>
      </c>
      <c r="V30" s="11">
        <f t="shared" si="246"/>
      </c>
      <c r="W30" s="11" t="s">
        <f t="shared" si="245"/>
      </c>
      <c r="X30" s="11" t="s">
        <f t="shared" si="242"/>
      </c>
      <c r="Y30" s="11"/>
    </row>
    <row r="31" ht="15.75" customHeight="true">
      <c r="A31" s="10"/>
      <c r="B31" t="s" s="11">
        <v>19</v>
      </c>
      <c r="C31" s="11"/>
      <c r="D31" s="11"/>
      <c r="E31" s="11"/>
      <c r="F31" s="11"/>
      <c r="G31" s="11"/>
      <c r="H31" s="11" t="s">
        <f>IF(E31="","",IF(OR(LOWER(E31)="nakshi",LOWER(E31)="new nakshi"),IF(LOWER(F31)="bedcover",E31,"single"),"single"))</f>
      </c>
      <c r="I31" t="s" s="11">
        <v>11</v>
      </c>
      <c r="J31" s="11"/>
      <c r="K31" s="11" t="s">
        <f>""</f>
      </c>
      <c r="L31" s="11" t="s">
        <f t="shared" si="239"/>
      </c>
      <c r="M31" s="8" t="s">
        <f t="shared" si="240"/>
        <v>23</v>
      </c>
      <c r="N31" s="11"/>
      <c r="O31" s="10">
        <f ref="O31:P31" t="shared" si="167">A31</f>
        <v>0</v>
      </c>
      <c r="P31" s="11" t="s">
        <f t="shared" si="167"/>
        <v>19</v>
      </c>
      <c r="Q31" s="11" t="s">
        <f t="shared" si="247"/>
        <v>23</v>
      </c>
      <c r="R31" s="11">
        <f t="shared" si="241"/>
        <v>0</v>
      </c>
      <c r="S31" s="11">
        <f ref="S31:U31" t="shared" si="168">E31</f>
        <v>0</v>
      </c>
      <c r="T31" s="11">
        <f t="shared" si="168"/>
        <v>0</v>
      </c>
      <c r="U31" s="11">
        <f t="shared" si="168"/>
        <v>0</v>
      </c>
      <c r="V31" s="11">
        <f t="shared" si="246"/>
      </c>
      <c r="W31" s="11" t="s">
        <f t="shared" si="245"/>
      </c>
      <c r="X31" s="11" t="s">
        <f t="shared" si="242"/>
      </c>
      <c r="Y31" s="11"/>
    </row>
    <row r="32" ht="15.75" customHeight="true">
      <c r="A32" s="10"/>
      <c r="B32" t="s" s="11">
        <v>19</v>
      </c>
      <c r="C32" s="11"/>
      <c r="D32" s="11"/>
      <c r="E32" s="11"/>
      <c r="F32" s="11"/>
      <c r="G32" s="11"/>
      <c r="H32" s="11" t="s">
        <f>IF(E32="","",IF(OR(LOWER(E32)="nakshi",LOWER(E32)="new nakshi"),IF(LOWER(F32)="bedcover",E32,"single"),"single"))</f>
      </c>
      <c r="I32" t="s" s="11">
        <v>11</v>
      </c>
      <c r="J32" s="11"/>
      <c r="K32" s="11" t="s">
        <f>""</f>
      </c>
      <c r="L32" s="11" t="s">
        <f t="shared" si="239"/>
      </c>
      <c r="M32" s="8" t="s">
        <f t="shared" si="240"/>
        <v>23</v>
      </c>
      <c r="N32" s="11"/>
      <c r="O32" s="10">
        <f ref="O32:P32" t="shared" si="1116">A32</f>
        <v>0</v>
      </c>
      <c r="P32" s="11" t="s">
        <f t="shared" si="1116"/>
        <v>19</v>
      </c>
      <c r="Q32" s="11" t="s">
        <f t="shared" si="247"/>
        <v>23</v>
      </c>
      <c r="R32" s="11">
        <f t="shared" si="241"/>
        <v>0</v>
      </c>
      <c r="S32" s="11">
        <f ref="S32:U32" t="shared" si="1115">E32</f>
        <v>0</v>
      </c>
      <c r="T32" s="11">
        <f t="shared" si="1115"/>
        <v>0</v>
      </c>
      <c r="U32" s="11">
        <f t="shared" si="1115"/>
        <v>0</v>
      </c>
      <c r="V32" s="11">
        <f t="shared" si="246"/>
      </c>
      <c r="W32" s="11" t="s">
        <f t="shared" si="245"/>
      </c>
      <c r="X32" s="11" t="s">
        <f t="shared" si="242"/>
      </c>
      <c r="Y32" s="11"/>
    </row>
    <row r="33" ht="15.75" customHeight="true">
      <c r="A33" s="10"/>
      <c r="B33" t="s" s="11">
        <v>19</v>
      </c>
      <c r="C33" s="11"/>
      <c r="D33" s="11"/>
      <c r="E33" s="11"/>
      <c r="F33" s="11"/>
      <c r="G33" s="11"/>
      <c r="H33" s="11" t="s">
        <f>IF(E33="","",IF(OR(LOWER(E33)="nakshi",LOWER(E33)="new nakshi"),IF(LOWER(F33)="bedcover",E33,"single"),"single"))</f>
      </c>
      <c r="I33" t="s" s="11">
        <v>11</v>
      </c>
      <c r="J33" s="11"/>
      <c r="K33" s="11" t="s">
        <f>""</f>
      </c>
      <c r="L33" s="11" t="s">
        <f t="shared" si="239"/>
      </c>
      <c r="M33" s="8" t="s">
        <f t="shared" si="240"/>
        <v>23</v>
      </c>
      <c r="N33" s="11"/>
      <c r="O33" s="10">
        <f ref="O33:P33" t="shared" si="1761">A33</f>
        <v>0</v>
      </c>
      <c r="P33" s="11" t="s">
        <f t="shared" si="1761"/>
        <v>19</v>
      </c>
      <c r="Q33" s="11" t="s">
        <f t="shared" si="247"/>
        <v>23</v>
      </c>
      <c r="R33" s="11">
        <f t="shared" si="241"/>
        <v>0</v>
      </c>
      <c r="S33" s="11">
        <f ref="S33:U33" t="shared" si="1760">E33</f>
        <v>0</v>
      </c>
      <c r="T33" s="11">
        <f t="shared" si="1760"/>
        <v>0</v>
      </c>
      <c r="U33" s="11">
        <f t="shared" si="1760"/>
        <v>0</v>
      </c>
      <c r="V33" s="11">
        <f t="shared" si="246"/>
      </c>
      <c r="W33" s="11" t="s">
        <f t="shared" si="245"/>
      </c>
      <c r="X33" s="11" t="s">
        <f t="shared" si="242"/>
      </c>
      <c r="Y33" s="11"/>
    </row>
    <row r="34" ht="15.75" customHeight="true">
      <c r="A34" s="10"/>
      <c r="B34" t="s" s="11">
        <v>19</v>
      </c>
      <c r="C34" s="11"/>
      <c r="D34" s="11"/>
      <c r="E34" s="11"/>
      <c r="F34" s="11"/>
      <c r="G34" s="11"/>
      <c r="H34" s="11" t="s">
        <f>IF(E34="","",IF(OR(LOWER(E34)="nakshi",LOWER(E34)="new nakshi"),IF(LOWER(F34)="bedcover",E34,"single"),"single"))</f>
      </c>
      <c r="I34" t="s" s="11">
        <v>11</v>
      </c>
      <c r="J34" s="11"/>
      <c r="K34" s="11" t="s">
        <f>""</f>
      </c>
      <c r="L34" s="11" t="s">
        <f t="shared" si="239"/>
      </c>
      <c r="M34" s="8" t="s">
        <f t="shared" si="240"/>
        <v>23</v>
      </c>
      <c r="N34" s="11"/>
      <c r="O34" s="10">
        <f ref="O34:P34" t="shared" si="1609">A34</f>
        <v>0</v>
      </c>
      <c r="P34" s="11" t="s">
        <f t="shared" si="1609"/>
        <v>19</v>
      </c>
      <c r="Q34" s="11" t="s">
        <f t="shared" si="247"/>
        <v>23</v>
      </c>
      <c r="R34" s="11">
        <f t="shared" si="241"/>
        <v>0</v>
      </c>
      <c r="S34" s="11">
        <f ref="S34:U34" t="shared" si="1608">E34</f>
        <v>0</v>
      </c>
      <c r="T34" s="11">
        <f t="shared" si="1608"/>
        <v>0</v>
      </c>
      <c r="U34" s="11">
        <f t="shared" si="1608"/>
        <v>0</v>
      </c>
      <c r="V34" s="11">
        <f t="shared" si="246"/>
      </c>
      <c r="W34" s="11" t="s">
        <f t="shared" si="245"/>
      </c>
      <c r="X34" s="11" t="s">
        <f t="shared" si="242"/>
      </c>
      <c r="Y34" s="11"/>
    </row>
    <row r="35" ht="15.75" customHeight="true">
      <c r="A35" s="10"/>
      <c r="B35" t="s" s="11">
        <v>19</v>
      </c>
      <c r="C35" s="11"/>
      <c r="D35" s="11"/>
      <c r="E35" s="11"/>
      <c r="F35" s="11"/>
      <c r="G35" s="11"/>
      <c r="H35" s="11" t="s">
        <f>IF(E35="","",IF(OR(LOWER(E35)="nakshi",LOWER(E35)="new nakshi"),IF(LOWER(F35)="bedcover",E35,"single"),"single"))</f>
      </c>
      <c r="I35" t="s" s="11">
        <v>11</v>
      </c>
      <c r="J35" s="11"/>
      <c r="K35" s="11" t="s">
        <f>""</f>
      </c>
      <c r="L35" s="11" t="s">
        <f t="shared" si="239"/>
      </c>
      <c r="M35" s="8" t="s">
        <f t="shared" si="240"/>
        <v>23</v>
      </c>
      <c r="N35" s="11"/>
      <c r="O35" s="10">
        <f ref="O35:P35" t="shared" si="1295">A35</f>
        <v>0</v>
      </c>
      <c r="P35" s="11" t="s">
        <f t="shared" si="1295"/>
        <v>19</v>
      </c>
      <c r="Q35" s="11" t="s">
        <f t="shared" si="247"/>
        <v>23</v>
      </c>
      <c r="R35" s="11">
        <f t="shared" si="241"/>
        <v>0</v>
      </c>
      <c r="S35" s="11">
        <f ref="S35:U35" t="shared" si="1294">E35</f>
        <v>0</v>
      </c>
      <c r="T35" s="11">
        <f t="shared" si="1294"/>
        <v>0</v>
      </c>
      <c r="U35" s="11">
        <f t="shared" si="1294"/>
        <v>0</v>
      </c>
      <c r="V35" s="11">
        <f t="shared" si="246"/>
      </c>
      <c r="W35" s="11" t="s">
        <f t="shared" si="245"/>
      </c>
      <c r="X35" s="11" t="s">
        <f t="shared" si="242"/>
      </c>
      <c r="Y35" s="11"/>
    </row>
    <row r="36" ht="15.75" customHeight="true">
      <c r="A36" s="10"/>
      <c r="B36" t="s" s="11">
        <v>19</v>
      </c>
      <c r="C36" s="11"/>
      <c r="D36" s="11"/>
      <c r="E36" s="11"/>
      <c r="F36" s="11"/>
      <c r="G36" s="11"/>
      <c r="H36" s="11" t="s">
        <f>IF(E36="","",IF(OR(LOWER(E36)="nakshi",LOWER(E36)="new nakshi"),IF(LOWER(F36)="bedcover",E36,"single"),"single"))</f>
      </c>
      <c r="I36" t="s" s="11">
        <v>11</v>
      </c>
      <c r="J36" s="11"/>
      <c r="K36" s="11" t="s">
        <f>""</f>
      </c>
      <c r="L36" s="11" t="s">
        <f t="shared" si="239"/>
      </c>
      <c r="M36" s="8" t="s">
        <f t="shared" si="240"/>
        <v>23</v>
      </c>
      <c r="N36" s="11"/>
      <c r="O36" s="10">
        <f ref="O36:P36" t="shared" si="1122">A36</f>
        <v>0</v>
      </c>
      <c r="P36" s="11" t="s">
        <f t="shared" si="1122"/>
        <v>19</v>
      </c>
      <c r="Q36" s="11" t="s">
        <f t="shared" si="247"/>
        <v>23</v>
      </c>
      <c r="R36" s="11">
        <f t="shared" si="241"/>
        <v>0</v>
      </c>
      <c r="S36" s="11">
        <f ref="S36:U36" t="shared" si="1121">E36</f>
        <v>0</v>
      </c>
      <c r="T36" s="11">
        <f t="shared" si="1121"/>
        <v>0</v>
      </c>
      <c r="U36" s="11">
        <f t="shared" si="1121"/>
        <v>0</v>
      </c>
      <c r="V36" s="11">
        <f t="shared" si="246"/>
      </c>
      <c r="W36" s="11" t="s">
        <f t="shared" si="245"/>
      </c>
      <c r="X36" s="11" t="s">
        <f t="shared" si="242"/>
      </c>
      <c r="Y36" s="11"/>
    </row>
    <row r="37" ht="15.75" customHeight="true">
      <c r="A37" s="10"/>
      <c r="B37" t="s" s="11">
        <v>19</v>
      </c>
      <c r="C37" s="11"/>
      <c r="D37" s="11"/>
      <c r="E37" s="11"/>
      <c r="F37" s="11"/>
      <c r="G37" s="11"/>
      <c r="H37" s="11" t="s">
        <f>IF(E37="","",IF(OR(LOWER(E37)="nakshi",LOWER(E37)="new nakshi"),IF(LOWER(F37)="bedcover",E37,"single"),"single"))</f>
      </c>
      <c r="I37" t="s" s="11">
        <v>11</v>
      </c>
      <c r="J37" s="11"/>
      <c r="K37" s="11" t="s">
        <f>""</f>
      </c>
      <c r="L37" s="11" t="s">
        <f t="shared" si="239"/>
      </c>
      <c r="M37" s="8" t="s">
        <f t="shared" si="240"/>
        <v>23</v>
      </c>
      <c r="N37" s="11"/>
      <c r="O37" s="10">
        <f ref="O37:P37" t="shared" si="1035">A37</f>
        <v>0</v>
      </c>
      <c r="P37" s="11" t="s">
        <f t="shared" si="1035"/>
        <v>19</v>
      </c>
      <c r="Q37" s="11" t="s">
        <f t="shared" si="247"/>
        <v>23</v>
      </c>
      <c r="R37" s="11">
        <f t="shared" si="241"/>
        <v>0</v>
      </c>
      <c r="S37" s="11">
        <f ref="S37:U37" t="shared" si="1036">E37</f>
        <v>0</v>
      </c>
      <c r="T37" s="11">
        <f t="shared" si="1036"/>
        <v>0</v>
      </c>
      <c r="U37" s="11">
        <f t="shared" si="1036"/>
        <v>0</v>
      </c>
      <c r="V37" s="11">
        <f t="shared" si="246"/>
      </c>
      <c r="W37" s="11" t="s">
        <f t="shared" si="245"/>
      </c>
      <c r="X37" s="11" t="s">
        <f t="shared" si="242"/>
      </c>
      <c r="Y37" s="11"/>
    </row>
    <row r="38" ht="15.75" customHeight="true">
      <c r="A38" s="10"/>
      <c r="B38" t="s" s="11">
        <v>19</v>
      </c>
      <c r="C38" s="11"/>
      <c r="D38" s="11"/>
      <c r="E38" s="11"/>
      <c r="F38" s="11"/>
      <c r="G38" s="11"/>
      <c r="H38" s="11" t="s">
        <f>IF(E38="","",IF(OR(LOWER(E38)="nakshi",LOWER(E38)="new nakshi"),IF(LOWER(F38)="bedcover",E38,"single"),"single"))</f>
      </c>
      <c r="I38" t="s" s="11">
        <v>11</v>
      </c>
      <c r="J38" s="11"/>
      <c r="K38" s="11" t="s">
        <f>""</f>
      </c>
      <c r="L38" s="11" t="s">
        <f t="shared" si="239"/>
      </c>
      <c r="M38" s="8" t="s">
        <f t="shared" si="240"/>
        <v>23</v>
      </c>
      <c r="N38" s="11"/>
      <c r="O38" s="10">
        <f ref="O38:P38" t="shared" si="115">A38</f>
        <v>0</v>
      </c>
      <c r="P38" s="11" t="s">
        <f t="shared" si="115"/>
        <v>19</v>
      </c>
      <c r="Q38" s="11" t="s">
        <f t="shared" si="247"/>
        <v>23</v>
      </c>
      <c r="R38" s="11">
        <f t="shared" si="241"/>
        <v>0</v>
      </c>
      <c r="S38" s="11">
        <f ref="S38:U38" t="shared" si="114">E38</f>
        <v>0</v>
      </c>
      <c r="T38" s="11">
        <f t="shared" si="114"/>
        <v>0</v>
      </c>
      <c r="U38" s="11">
        <f t="shared" si="114"/>
        <v>0</v>
      </c>
      <c r="V38" s="11">
        <f t="shared" si="246"/>
      </c>
      <c r="W38" s="11" t="s">
        <f t="shared" si="245"/>
      </c>
      <c r="X38" s="11" t="s">
        <f t="shared" si="242"/>
      </c>
      <c r="Y38" s="11"/>
    </row>
    <row r="39" ht="15.75" customHeight="true">
      <c r="A39" s="10"/>
      <c r="B39" t="s" s="11">
        <v>19</v>
      </c>
      <c r="C39" s="11"/>
      <c r="D39" s="11"/>
      <c r="E39" s="11"/>
      <c r="F39" s="11"/>
      <c r="G39" s="11"/>
      <c r="H39" s="11" t="s">
        <f>IF(E39="","",IF(OR(LOWER(E39)="nakshi",LOWER(E39)="new nakshi"),IF(LOWER(F39)="bedcover",E39,"single"),"single"))</f>
      </c>
      <c r="I39" t="s" s="11">
        <v>11</v>
      </c>
      <c r="J39" s="11"/>
      <c r="K39" s="11" t="s">
        <f>""</f>
      </c>
      <c r="L39" s="11" t="s">
        <f t="shared" si="239"/>
      </c>
      <c r="M39" s="8" t="s">
        <f t="shared" si="240"/>
        <v>23</v>
      </c>
      <c r="N39" s="11"/>
      <c r="O39" s="10">
        <f ref="O39:P39" t="shared" si="1952">A39</f>
        <v>0</v>
      </c>
      <c r="P39" s="11" t="s">
        <f t="shared" si="1952"/>
        <v>19</v>
      </c>
      <c r="Q39" s="11" t="s">
        <f t="shared" si="247"/>
        <v>23</v>
      </c>
      <c r="R39" s="11">
        <f t="shared" si="241"/>
        <v>0</v>
      </c>
      <c r="S39" s="11">
        <f ref="S39:U39" t="shared" si="1953">E39</f>
        <v>0</v>
      </c>
      <c r="T39" s="11">
        <f t="shared" si="1953"/>
        <v>0</v>
      </c>
      <c r="U39" s="11">
        <f t="shared" si="1953"/>
        <v>0</v>
      </c>
      <c r="V39" s="11">
        <f t="shared" si="246"/>
      </c>
      <c r="W39" s="11" t="s">
        <f t="shared" si="245"/>
      </c>
      <c r="X39" s="11" t="s">
        <f t="shared" si="242"/>
      </c>
      <c r="Y39" s="11"/>
    </row>
    <row r="40" ht="15.75" customHeight="true">
      <c r="A40" s="10"/>
      <c r="B40" t="s" s="11">
        <v>19</v>
      </c>
      <c r="C40" s="11"/>
      <c r="D40" s="11"/>
      <c r="E40" s="11"/>
      <c r="F40" s="11"/>
      <c r="G40" s="11"/>
      <c r="H40" s="11" t="s">
        <f>IF(E40="","",IF(OR(LOWER(E40)="nakshi",LOWER(E40)="new nakshi"),IF(LOWER(F40)="bedcover",E40,"single"),"single"))</f>
      </c>
      <c r="I40" t="s" s="11">
        <v>11</v>
      </c>
      <c r="J40" s="11"/>
      <c r="K40" s="11" t="s">
        <f>""</f>
      </c>
      <c r="L40" s="11" t="s">
        <f t="shared" si="239"/>
      </c>
      <c r="M40" s="8" t="s">
        <f t="shared" si="240"/>
        <v>23</v>
      </c>
      <c r="N40" s="11"/>
      <c r="O40" s="10">
        <f ref="O40:P40" t="shared" si="1379">A40</f>
        <v>0</v>
      </c>
      <c r="P40" s="11" t="s">
        <f t="shared" si="1379"/>
        <v>19</v>
      </c>
      <c r="Q40" s="11" t="s">
        <f t="shared" si="247"/>
        <v>23</v>
      </c>
      <c r="R40" s="11">
        <f t="shared" si="241"/>
        <v>0</v>
      </c>
      <c r="S40" s="11">
        <f ref="S40:U40" t="shared" si="1378">E40</f>
        <v>0</v>
      </c>
      <c r="T40" s="11">
        <f t="shared" si="1378"/>
        <v>0</v>
      </c>
      <c r="U40" s="11">
        <f t="shared" si="1378"/>
        <v>0</v>
      </c>
      <c r="V40" s="11">
        <f t="shared" si="246"/>
      </c>
      <c r="W40" s="11" t="s">
        <f t="shared" si="245"/>
      </c>
      <c r="X40" s="11" t="s">
        <f t="shared" si="242"/>
      </c>
      <c r="Y40" s="11"/>
    </row>
    <row r="41" ht="15.75" customHeight="true">
      <c r="A41" s="10"/>
      <c r="B41" t="s" s="11">
        <v>19</v>
      </c>
      <c r="C41" s="11"/>
      <c r="D41" s="11"/>
      <c r="E41" s="11"/>
      <c r="F41" s="11"/>
      <c r="G41" s="11"/>
      <c r="H41" s="11" t="s">
        <f>IF(E41="","",IF(OR(LOWER(E41)="nakshi",LOWER(E41)="new nakshi"),IF(LOWER(F41)="bedcover",E41,"single"),"single"))</f>
      </c>
      <c r="I41" t="s" s="11">
        <v>11</v>
      </c>
      <c r="J41" s="11"/>
      <c r="K41" s="11" t="s">
        <f>""</f>
      </c>
      <c r="L41" s="11" t="s">
        <f t="shared" si="239"/>
      </c>
      <c r="M41" s="8" t="s">
        <f t="shared" si="240"/>
        <v>23</v>
      </c>
      <c r="N41" s="11"/>
      <c r="O41" s="10">
        <f ref="O41:P41" t="shared" si="1365">A41</f>
        <v>0</v>
      </c>
      <c r="P41" s="11" t="s">
        <f t="shared" si="1365"/>
        <v>19</v>
      </c>
      <c r="Q41" s="11" t="s">
        <f t="shared" si="247"/>
        <v>23</v>
      </c>
      <c r="R41" s="11">
        <f t="shared" si="241"/>
        <v>0</v>
      </c>
      <c r="S41" s="11">
        <f ref="S41:U41" t="shared" si="1364">E41</f>
        <v>0</v>
      </c>
      <c r="T41" s="11">
        <f t="shared" si="1364"/>
        <v>0</v>
      </c>
      <c r="U41" s="11">
        <f t="shared" si="1364"/>
        <v>0</v>
      </c>
      <c r="V41" s="11">
        <f t="shared" si="246"/>
      </c>
      <c r="W41" s="11" t="s">
        <f t="shared" si="245"/>
      </c>
      <c r="X41" s="11" t="s">
        <f t="shared" si="242"/>
      </c>
      <c r="Y41" s="11"/>
    </row>
    <row r="42" ht="15.75" customHeight="true">
      <c r="A42" s="10"/>
      <c r="B42" t="s" s="11">
        <v>19</v>
      </c>
      <c r="C42" s="11"/>
      <c r="D42" s="11"/>
      <c r="E42" s="11"/>
      <c r="F42" s="11"/>
      <c r="G42" s="11"/>
      <c r="H42" s="11" t="s">
        <f>IF(E42="","",IF(OR(LOWER(E42)="nakshi",LOWER(E42)="new nakshi"),IF(LOWER(F42)="bedcover",E42,"single"),"single"))</f>
      </c>
      <c r="I42" t="s" s="11">
        <v>11</v>
      </c>
      <c r="J42" s="11"/>
      <c r="K42" s="11" t="s">
        <f>""</f>
      </c>
      <c r="L42" s="11" t="s">
        <f t="shared" si="239"/>
      </c>
      <c r="M42" s="8" t="s">
        <f t="shared" si="240"/>
        <v>23</v>
      </c>
      <c r="N42" s="11"/>
      <c r="O42" s="10">
        <f ref="O42:P42" t="shared" si="1453">A42</f>
        <v>0</v>
      </c>
      <c r="P42" s="11" t="s">
        <f t="shared" si="1453"/>
        <v>19</v>
      </c>
      <c r="Q42" s="11" t="s">
        <f t="shared" si="247"/>
        <v>23</v>
      </c>
      <c r="R42" s="11">
        <f t="shared" si="241"/>
        <v>0</v>
      </c>
      <c r="S42" s="11">
        <f ref="S42:U42" t="shared" si="1452">E42</f>
        <v>0</v>
      </c>
      <c r="T42" s="11">
        <f t="shared" si="1452"/>
        <v>0</v>
      </c>
      <c r="U42" s="11">
        <f t="shared" si="1452"/>
        <v>0</v>
      </c>
      <c r="V42" s="11">
        <f t="shared" si="246"/>
      </c>
      <c r="W42" s="11" t="s">
        <f t="shared" si="245"/>
      </c>
      <c r="X42" s="11" t="s">
        <f t="shared" si="242"/>
      </c>
      <c r="Y42" s="11"/>
    </row>
    <row r="43" ht="15.75" customHeight="true">
      <c r="A43" s="10"/>
      <c r="B43" t="s" s="11">
        <v>19</v>
      </c>
      <c r="C43" s="11"/>
      <c r="D43" s="11"/>
      <c r="E43" s="11"/>
      <c r="F43" s="11"/>
      <c r="G43" s="11"/>
      <c r="H43" s="11" t="s">
        <f>IF(E43="","",IF(OR(LOWER(E43)="nakshi",LOWER(E43)="new nakshi"),IF(LOWER(F43)="bedcover",E43,"single"),"single"))</f>
      </c>
      <c r="I43" t="s" s="11">
        <v>11</v>
      </c>
      <c r="J43" s="11"/>
      <c r="K43" s="11" t="s">
        <f>""</f>
      </c>
      <c r="L43" s="11" t="s">
        <f t="shared" si="239"/>
      </c>
      <c r="M43" s="8" t="s">
        <f t="shared" si="240"/>
        <v>23</v>
      </c>
      <c r="N43" s="11"/>
      <c r="O43" s="10">
        <f ref="O43:P43" t="shared" si="1261">A43</f>
        <v>0</v>
      </c>
      <c r="P43" s="11" t="s">
        <f t="shared" si="1261"/>
        <v>19</v>
      </c>
      <c r="Q43" s="11" t="s">
        <f t="shared" si="247"/>
        <v>23</v>
      </c>
      <c r="R43" s="11">
        <f t="shared" si="241"/>
        <v>0</v>
      </c>
      <c r="S43" s="11">
        <f ref="S43:U43" t="shared" si="1260">E43</f>
        <v>0</v>
      </c>
      <c r="T43" s="11">
        <f t="shared" si="1260"/>
        <v>0</v>
      </c>
      <c r="U43" s="11">
        <f t="shared" si="1260"/>
        <v>0</v>
      </c>
      <c r="V43" s="11">
        <f t="shared" si="246"/>
      </c>
      <c r="W43" s="11" t="s">
        <f t="shared" si="245"/>
      </c>
      <c r="X43" s="11" t="s">
        <f t="shared" si="242"/>
      </c>
      <c r="Y43" s="11"/>
    </row>
    <row r="44" ht="15.75" customHeight="true">
      <c r="A44" s="10"/>
      <c r="B44" t="s" s="11">
        <v>19</v>
      </c>
      <c r="C44" s="11"/>
      <c r="D44" s="11"/>
      <c r="E44" s="11"/>
      <c r="F44" s="11"/>
      <c r="G44" s="11"/>
      <c r="H44" s="11" t="s">
        <f>IF(E44="","",IF(OR(LOWER(E44)="nakshi",LOWER(E44)="new nakshi"),IF(LOWER(F44)="bedcover",E44,"single"),"single"))</f>
      </c>
      <c r="I44" t="s" s="11">
        <v>11</v>
      </c>
      <c r="J44" s="11"/>
      <c r="K44" s="11" t="s">
        <f>""</f>
      </c>
      <c r="L44" s="11" t="s">
        <f t="shared" si="239"/>
      </c>
      <c r="M44" s="8" t="s">
        <f t="shared" si="240"/>
        <v>23</v>
      </c>
      <c r="N44" s="11"/>
      <c r="O44" s="10">
        <f ref="O44:P44" t="shared" si="742">A44</f>
        <v>0</v>
      </c>
      <c r="P44" s="11" t="s">
        <f t="shared" si="742"/>
        <v>19</v>
      </c>
      <c r="Q44" s="11" t="s">
        <f t="shared" si="247"/>
        <v>23</v>
      </c>
      <c r="R44" s="11">
        <f t="shared" si="241"/>
        <v>0</v>
      </c>
      <c r="S44" s="11">
        <f ref="S44:U44" t="shared" si="743">E44</f>
        <v>0</v>
      </c>
      <c r="T44" s="11">
        <f t="shared" si="743"/>
        <v>0</v>
      </c>
      <c r="U44" s="11">
        <f t="shared" si="743"/>
        <v>0</v>
      </c>
      <c r="V44" s="11">
        <f t="shared" si="246"/>
      </c>
      <c r="W44" s="11" t="s">
        <f t="shared" si="245"/>
      </c>
      <c r="X44" s="11" t="s">
        <f t="shared" si="242"/>
      </c>
      <c r="Y44" s="11"/>
    </row>
    <row r="45" ht="15.75" customHeight="true">
      <c r="A45" s="10"/>
      <c r="B45" t="s" s="11">
        <v>19</v>
      </c>
      <c r="C45" s="11"/>
      <c r="D45" s="11"/>
      <c r="E45" s="11"/>
      <c r="F45" s="11"/>
      <c r="G45" s="11"/>
      <c r="H45" s="11" t="s">
        <f>IF(E45="","",IF(OR(LOWER(E45)="nakshi",LOWER(E45)="new nakshi"),IF(LOWER(F45)="bedcover",E45,"single"),"single"))</f>
      </c>
      <c r="I45" t="s" s="11">
        <v>11</v>
      </c>
      <c r="J45" s="11"/>
      <c r="K45" s="11" t="s">
        <f>""</f>
      </c>
      <c r="L45" s="11" t="s">
        <f t="shared" si="239"/>
      </c>
      <c r="M45" s="8" t="s">
        <f t="shared" si="240"/>
        <v>23</v>
      </c>
      <c r="N45" s="11"/>
      <c r="O45" s="10">
        <f ref="O45:P45" t="shared" si="1642">A45</f>
        <v>0</v>
      </c>
      <c r="P45" s="11" t="s">
        <f t="shared" si="1642"/>
        <v>19</v>
      </c>
      <c r="Q45" s="11" t="s">
        <f t="shared" si="247"/>
        <v>23</v>
      </c>
      <c r="R45" s="11">
        <f t="shared" si="241"/>
        <v>0</v>
      </c>
      <c r="S45" s="11">
        <f ref="S45:U45" t="shared" si="1643">E45</f>
        <v>0</v>
      </c>
      <c r="T45" s="11">
        <f t="shared" si="1643"/>
        <v>0</v>
      </c>
      <c r="U45" s="11">
        <f t="shared" si="1643"/>
        <v>0</v>
      </c>
      <c r="V45" s="11">
        <f t="shared" si="246"/>
      </c>
      <c r="W45" s="11" t="s">
        <f t="shared" si="245"/>
      </c>
      <c r="X45" s="11" t="s">
        <f t="shared" si="242"/>
      </c>
      <c r="Y45" s="11"/>
    </row>
    <row r="46" ht="15.75" customHeight="true">
      <c r="A46" s="10"/>
      <c r="B46" t="s" s="11">
        <v>19</v>
      </c>
      <c r="C46" s="11"/>
      <c r="D46" s="11"/>
      <c r="E46" s="11"/>
      <c r="F46" s="11"/>
      <c r="G46" s="11"/>
      <c r="H46" s="11" t="s">
        <f>IF(E46="","",IF(OR(LOWER(E46)="nakshi",LOWER(E46)="new nakshi"),IF(LOWER(F46)="bedcover",E46,"single"),"single"))</f>
      </c>
      <c r="I46" t="s" s="11">
        <v>11</v>
      </c>
      <c r="J46" s="11"/>
      <c r="K46" s="11" t="s">
        <f>""</f>
      </c>
      <c r="L46" s="11" t="s">
        <f t="shared" si="239"/>
      </c>
      <c r="M46" s="8" t="s">
        <f t="shared" si="240"/>
        <v>23</v>
      </c>
      <c r="N46" s="11"/>
      <c r="O46" s="10">
        <f ref="O46:P46" t="shared" si="97">A46</f>
        <v>0</v>
      </c>
      <c r="P46" s="11" t="s">
        <f t="shared" si="97"/>
        <v>19</v>
      </c>
      <c r="Q46" s="11" t="s">
        <f t="shared" si="247"/>
        <v>23</v>
      </c>
      <c r="R46" s="11">
        <f t="shared" si="241"/>
        <v>0</v>
      </c>
      <c r="S46" s="11">
        <f ref="S46:U46" t="shared" si="96">E46</f>
        <v>0</v>
      </c>
      <c r="T46" s="11">
        <f t="shared" si="96"/>
        <v>0</v>
      </c>
      <c r="U46" s="11">
        <f t="shared" si="96"/>
        <v>0</v>
      </c>
      <c r="V46" s="11">
        <f t="shared" si="246"/>
      </c>
      <c r="W46" s="11" t="s">
        <f t="shared" si="245"/>
      </c>
      <c r="X46" s="11" t="s">
        <f t="shared" si="242"/>
      </c>
      <c r="Y46" s="11"/>
    </row>
    <row r="47" ht="15.75" customHeight="true">
      <c r="A47" s="10"/>
      <c r="B47" t="s" s="11">
        <v>19</v>
      </c>
      <c r="C47" s="11"/>
      <c r="D47" s="11"/>
      <c r="E47" s="11"/>
      <c r="F47" s="11"/>
      <c r="G47" s="11"/>
      <c r="H47" s="11" t="s">
        <f>IF(E47="","",IF(OR(LOWER(E47)="nakshi",LOWER(E47)="new nakshi"),IF(LOWER(F47)="bedcover",E47,"single"),"single"))</f>
      </c>
      <c r="I47" t="s" s="11">
        <v>11</v>
      </c>
      <c r="J47" s="11"/>
      <c r="K47" s="11" t="s">
        <f>""</f>
      </c>
      <c r="L47" s="11" t="s">
        <f t="shared" si="239"/>
      </c>
      <c r="M47" s="8" t="s">
        <f t="shared" si="240"/>
        <v>23</v>
      </c>
      <c r="N47" s="11"/>
      <c r="O47" s="10">
        <f ref="O47:P47" t="shared" si="673">A47</f>
        <v>0</v>
      </c>
      <c r="P47" s="11" t="s">
        <f t="shared" si="673"/>
        <v>19</v>
      </c>
      <c r="Q47" s="11" t="s">
        <f t="shared" si="247"/>
        <v>23</v>
      </c>
      <c r="R47" s="11">
        <f t="shared" si="241"/>
        <v>0</v>
      </c>
      <c r="S47" s="11">
        <f ref="S47:U47" t="shared" si="672">E47</f>
        <v>0</v>
      </c>
      <c r="T47" s="11">
        <f t="shared" si="672"/>
        <v>0</v>
      </c>
      <c r="U47" s="11">
        <f t="shared" si="672"/>
        <v>0</v>
      </c>
      <c r="V47" s="11">
        <f t="shared" si="246"/>
      </c>
      <c r="W47" s="11" t="s">
        <f t="shared" si="245"/>
      </c>
      <c r="X47" s="11" t="s">
        <f t="shared" si="242"/>
      </c>
      <c r="Y47" s="11"/>
    </row>
    <row r="48" ht="15.75" customHeight="true">
      <c r="A48" s="10"/>
      <c r="B48" t="s" s="11">
        <v>19</v>
      </c>
      <c r="C48" s="11"/>
      <c r="D48" s="11"/>
      <c r="E48" s="11"/>
      <c r="F48" s="11"/>
      <c r="G48" s="11"/>
      <c r="H48" s="11" t="s">
        <f>IF(E48="","",IF(OR(LOWER(E48)="nakshi",LOWER(E48)="new nakshi"),IF(LOWER(F48)="bedcover",E48,"single"),"single"))</f>
      </c>
      <c r="I48" t="s" s="11">
        <v>11</v>
      </c>
      <c r="J48" s="11"/>
      <c r="K48" s="11" t="s">
        <f>""</f>
      </c>
      <c r="L48" s="11" t="s">
        <f t="shared" si="239"/>
      </c>
      <c r="M48" s="8" t="s">
        <f t="shared" si="240"/>
        <v>23</v>
      </c>
      <c r="N48" s="11"/>
      <c r="O48" s="10">
        <f ref="O48:P48" t="shared" si="214">A48</f>
        <v>0</v>
      </c>
      <c r="P48" s="11" t="s">
        <f t="shared" si="214"/>
        <v>19</v>
      </c>
      <c r="Q48" s="11" t="s">
        <f t="shared" si="247"/>
        <v>23</v>
      </c>
      <c r="R48" s="11">
        <f t="shared" si="241"/>
        <v>0</v>
      </c>
      <c r="S48" s="11">
        <f ref="S48:U48" t="shared" si="213">E48</f>
        <v>0</v>
      </c>
      <c r="T48" s="11">
        <f t="shared" si="213"/>
        <v>0</v>
      </c>
      <c r="U48" s="11">
        <f t="shared" si="213"/>
        <v>0</v>
      </c>
      <c r="V48" s="11">
        <f t="shared" si="246"/>
      </c>
      <c r="W48" s="11" t="s">
        <f t="shared" si="245"/>
      </c>
      <c r="X48" s="11" t="s">
        <f t="shared" si="242"/>
      </c>
      <c r="Y48" s="11"/>
    </row>
    <row r="49" ht="15.75" customHeight="true">
      <c r="A49" s="10"/>
      <c r="B49" t="s" s="11">
        <v>19</v>
      </c>
      <c r="C49" s="11"/>
      <c r="D49" s="11"/>
      <c r="E49" s="11"/>
      <c r="F49" s="11"/>
      <c r="G49" s="11"/>
      <c r="H49" s="11" t="s">
        <f>IF(E49="","",IF(OR(LOWER(E49)="nakshi",LOWER(E49)="new nakshi"),IF(LOWER(F49)="bedcover",E49,"single"),"single"))</f>
      </c>
      <c r="I49" t="s" s="11">
        <v>11</v>
      </c>
      <c r="J49" s="11"/>
      <c r="K49" s="11" t="s">
        <f>""</f>
      </c>
      <c r="L49" s="11" t="s">
        <f t="shared" si="239"/>
      </c>
      <c r="M49" s="8" t="s">
        <f t="shared" si="240"/>
        <v>23</v>
      </c>
      <c r="N49" s="11"/>
      <c r="O49" s="10">
        <f ref="O49:P49" t="shared" si="331">A49</f>
        <v>0</v>
      </c>
      <c r="P49" s="11" t="s">
        <f t="shared" si="331"/>
        <v>19</v>
      </c>
      <c r="Q49" s="11" t="s">
        <f t="shared" si="247"/>
        <v>23</v>
      </c>
      <c r="R49" s="11">
        <f t="shared" si="241"/>
        <v>0</v>
      </c>
      <c r="S49" s="11">
        <f ref="S49:U49" t="shared" si="330">E49</f>
        <v>0</v>
      </c>
      <c r="T49" s="11">
        <f t="shared" si="330"/>
        <v>0</v>
      </c>
      <c r="U49" s="11">
        <f t="shared" si="330"/>
        <v>0</v>
      </c>
      <c r="V49" s="11">
        <f t="shared" si="246"/>
      </c>
      <c r="W49" s="11" t="s">
        <f t="shared" si="245"/>
      </c>
      <c r="X49" s="11" t="s">
        <f t="shared" si="242"/>
      </c>
      <c r="Y49" s="11"/>
    </row>
    <row r="50" ht="15.75" customHeight="true">
      <c r="A50" s="10"/>
      <c r="B50" t="s" s="11">
        <v>19</v>
      </c>
      <c r="C50" s="11"/>
      <c r="D50" s="11"/>
      <c r="E50" s="11"/>
      <c r="F50" s="11"/>
      <c r="G50" s="11"/>
      <c r="H50" s="11" t="s">
        <f>IF(E50="","",IF(OR(LOWER(E50)="nakshi",LOWER(E50)="new nakshi"),IF(LOWER(F50)="bedcover",E50,"single"),"single"))</f>
      </c>
      <c r="I50" t="s" s="11">
        <v>11</v>
      </c>
      <c r="J50" s="11"/>
      <c r="K50" s="11" t="s">
        <f>""</f>
      </c>
      <c r="L50" s="11" t="s">
        <f t="shared" si="239"/>
      </c>
      <c r="M50" s="8" t="s">
        <f t="shared" si="240"/>
        <v>23</v>
      </c>
      <c r="N50" s="11"/>
      <c r="O50" s="10">
        <f ref="O50:P50" t="shared" si="588">A50</f>
        <v>0</v>
      </c>
      <c r="P50" s="11" t="s">
        <f t="shared" si="588"/>
        <v>19</v>
      </c>
      <c r="Q50" s="11" t="s">
        <f t="shared" si="247"/>
        <v>23</v>
      </c>
      <c r="R50" s="11">
        <f t="shared" si="241"/>
        <v>0</v>
      </c>
      <c r="S50" s="11">
        <f ref="S50:U50" t="shared" si="589">E50</f>
        <v>0</v>
      </c>
      <c r="T50" s="11">
        <f t="shared" si="589"/>
        <v>0</v>
      </c>
      <c r="U50" s="11">
        <f t="shared" si="589"/>
        <v>0</v>
      </c>
      <c r="V50" s="11">
        <f t="shared" si="246"/>
      </c>
      <c r="W50" s="11" t="s">
        <f t="shared" si="245"/>
      </c>
      <c r="X50" s="11" t="s">
        <f t="shared" si="242"/>
      </c>
      <c r="Y50" s="11"/>
    </row>
    <row r="51" ht="15.75" customHeight="true">
      <c r="A51" s="10"/>
      <c r="B51" t="s" s="11">
        <v>19</v>
      </c>
      <c r="C51" s="11"/>
      <c r="D51" s="11"/>
      <c r="E51" s="11"/>
      <c r="F51" s="11"/>
      <c r="G51" s="11"/>
      <c r="H51" s="11" t="s">
        <f>IF(E51="","",IF(OR(LOWER(E51)="nakshi",LOWER(E51)="new nakshi"),IF(LOWER(F51)="bedcover",E51,"single"),"single"))</f>
      </c>
      <c r="I51" t="s" s="11">
        <v>11</v>
      </c>
      <c r="J51" s="11"/>
      <c r="K51" s="11" t="s">
        <f>""</f>
      </c>
      <c r="L51" s="11" t="s">
        <f t="shared" si="239"/>
      </c>
      <c r="M51" s="8" t="s">
        <f t="shared" si="240"/>
        <v>23</v>
      </c>
      <c r="N51" s="11"/>
      <c r="O51" s="10">
        <f ref="O51:P51" t="shared" si="1459">A51</f>
        <v>0</v>
      </c>
      <c r="P51" s="11" t="s">
        <f t="shared" si="1459"/>
        <v>19</v>
      </c>
      <c r="Q51" s="11" t="s">
        <f t="shared" si="247"/>
        <v>23</v>
      </c>
      <c r="R51" s="11">
        <f t="shared" si="241"/>
        <v>0</v>
      </c>
      <c r="S51" s="11">
        <f ref="S51:U51" t="shared" si="1458">E51</f>
        <v>0</v>
      </c>
      <c r="T51" s="11">
        <f t="shared" si="1458"/>
        <v>0</v>
      </c>
      <c r="U51" s="11">
        <f t="shared" si="1458"/>
        <v>0</v>
      </c>
      <c r="V51" s="11">
        <f t="shared" si="246"/>
      </c>
      <c r="W51" s="11" t="s">
        <f t="shared" si="245"/>
      </c>
      <c r="X51" s="11" t="s">
        <f t="shared" si="242"/>
      </c>
      <c r="Y51" s="11"/>
    </row>
    <row r="52" ht="15.75" customHeight="true">
      <c r="A52" s="10"/>
      <c r="B52" t="s" s="11">
        <v>19</v>
      </c>
      <c r="C52" s="11"/>
      <c r="D52" s="11"/>
      <c r="E52" s="11"/>
      <c r="F52" s="11"/>
      <c r="G52" s="11"/>
      <c r="H52" s="11" t="s">
        <f>IF(E52="","",IF(OR(LOWER(E52)="nakshi",LOWER(E52)="new nakshi"),IF(LOWER(F52)="bedcover",E52,"single"),"single"))</f>
      </c>
      <c r="I52" t="s" s="11">
        <v>11</v>
      </c>
      <c r="J52" s="11"/>
      <c r="K52" s="11" t="s">
        <f>""</f>
      </c>
      <c r="L52" s="11" t="s">
        <f t="shared" si="239"/>
      </c>
      <c r="M52" s="8" t="s">
        <f t="shared" si="240"/>
        <v>23</v>
      </c>
      <c r="N52" s="11"/>
      <c r="O52" s="10">
        <f ref="O52:P52" t="shared" si="1858">A52</f>
        <v>0</v>
      </c>
      <c r="P52" s="11" t="s">
        <f t="shared" si="1858"/>
        <v>19</v>
      </c>
      <c r="Q52" s="11" t="s">
        <f t="shared" si="247"/>
        <v>23</v>
      </c>
      <c r="R52" s="11">
        <f t="shared" si="241"/>
        <v>0</v>
      </c>
      <c r="S52" s="11">
        <f ref="S52:U52" t="shared" si="1859">E52</f>
        <v>0</v>
      </c>
      <c r="T52" s="11">
        <f t="shared" si="1859"/>
        <v>0</v>
      </c>
      <c r="U52" s="11">
        <f t="shared" si="1859"/>
        <v>0</v>
      </c>
      <c r="V52" s="11">
        <f t="shared" si="246"/>
      </c>
      <c r="W52" s="11" t="s">
        <f t="shared" si="245"/>
      </c>
      <c r="X52" s="11" t="s">
        <f t="shared" si="242"/>
      </c>
      <c r="Y52" s="11"/>
    </row>
    <row r="53" ht="15.75" customHeight="true">
      <c r="A53" s="10"/>
      <c r="B53" t="s" s="11">
        <v>19</v>
      </c>
      <c r="C53" s="11"/>
      <c r="D53" s="11"/>
      <c r="E53" s="11"/>
      <c r="F53" s="11"/>
      <c r="G53" s="11"/>
      <c r="H53" s="11" t="s">
        <f>IF(E53="","",IF(OR(LOWER(E53)="nakshi",LOWER(E53)="new nakshi"),IF(LOWER(F53)="bedcover",E53,"single"),"single"))</f>
      </c>
      <c r="I53" t="s" s="11">
        <v>11</v>
      </c>
      <c r="J53" s="11"/>
      <c r="K53" s="11" t="s">
        <f>""</f>
      </c>
      <c r="L53" s="11" t="s">
        <f t="shared" si="239"/>
      </c>
      <c r="M53" s="8" t="s">
        <f t="shared" si="240"/>
        <v>23</v>
      </c>
      <c r="N53" s="11"/>
      <c r="O53" s="10">
        <f ref="O53:P53" t="shared" si="1512">A53</f>
        <v>0</v>
      </c>
      <c r="P53" s="11" t="s">
        <f t="shared" si="1512"/>
        <v>19</v>
      </c>
      <c r="Q53" s="11" t="s">
        <f t="shared" si="247"/>
        <v>23</v>
      </c>
      <c r="R53" s="11">
        <f t="shared" si="241"/>
        <v>0</v>
      </c>
      <c r="S53" s="11">
        <f ref="S53:U53" t="shared" si="1513">E53</f>
        <v>0</v>
      </c>
      <c r="T53" s="11">
        <f t="shared" si="1513"/>
        <v>0</v>
      </c>
      <c r="U53" s="11">
        <f t="shared" si="1513"/>
        <v>0</v>
      </c>
      <c r="V53" s="11">
        <f t="shared" si="246"/>
      </c>
      <c r="W53" s="11" t="s">
        <f t="shared" si="245"/>
      </c>
      <c r="X53" s="11" t="s">
        <f t="shared" si="242"/>
      </c>
      <c r="Y53" s="11"/>
    </row>
    <row r="54" ht="15.75" customHeight="true">
      <c r="A54" s="10"/>
      <c r="B54" t="s" s="11">
        <v>19</v>
      </c>
      <c r="C54" s="11"/>
      <c r="D54" s="11"/>
      <c r="E54" s="11"/>
      <c r="F54" s="11"/>
      <c r="G54" s="11"/>
      <c r="H54" s="11" t="s">
        <f>IF(E54="","",IF(OR(LOWER(E54)="nakshi",LOWER(E54)="new nakshi"),IF(LOWER(F54)="bedcover",E54,"single"),"single"))</f>
      </c>
      <c r="I54" t="s" s="11">
        <v>11</v>
      </c>
      <c r="J54" s="11"/>
      <c r="K54" s="11" t="s">
        <f>""</f>
      </c>
      <c r="L54" s="11" t="s">
        <f t="shared" si="239"/>
      </c>
      <c r="M54" s="8" t="s">
        <f t="shared" si="240"/>
        <v>23</v>
      </c>
      <c r="N54" s="11"/>
      <c r="O54" s="10">
        <f ref="O54:P54" t="shared" si="295">A54</f>
        <v>0</v>
      </c>
      <c r="P54" s="11" t="s">
        <f t="shared" si="295"/>
        <v>19</v>
      </c>
      <c r="Q54" s="11" t="s">
        <f t="shared" si="247"/>
        <v>23</v>
      </c>
      <c r="R54" s="11">
        <f t="shared" si="241"/>
        <v>0</v>
      </c>
      <c r="S54" s="11">
        <f ref="S54:U54" t="shared" si="294">E54</f>
        <v>0</v>
      </c>
      <c r="T54" s="11">
        <f t="shared" si="294"/>
        <v>0</v>
      </c>
      <c r="U54" s="11">
        <f t="shared" si="294"/>
        <v>0</v>
      </c>
      <c r="V54" s="11">
        <f t="shared" si="246"/>
      </c>
      <c r="W54" s="11" t="s">
        <f t="shared" si="245"/>
      </c>
      <c r="X54" s="11" t="s">
        <f t="shared" si="242"/>
      </c>
      <c r="Y54" s="11"/>
    </row>
    <row r="55" ht="15.75" customHeight="true">
      <c r="A55" s="10"/>
      <c r="B55" t="s" s="11">
        <v>19</v>
      </c>
      <c r="C55" s="11"/>
      <c r="D55" s="11"/>
      <c r="E55" s="11"/>
      <c r="F55" s="11"/>
      <c r="G55" s="11"/>
      <c r="H55" s="11" t="s">
        <f>IF(E55="","",IF(OR(LOWER(E55)="nakshi",LOWER(E55)="new nakshi"),IF(LOWER(F55)="bedcover",E55,"single"),"single"))</f>
      </c>
      <c r="I55" t="s" s="11">
        <v>11</v>
      </c>
      <c r="J55" s="11"/>
      <c r="K55" s="11" t="s">
        <f>""</f>
      </c>
      <c r="L55" s="11" t="s">
        <f t="shared" si="239"/>
      </c>
      <c r="M55" s="8" t="s">
        <f t="shared" si="240"/>
        <v>23</v>
      </c>
      <c r="N55" s="11"/>
      <c r="O55" s="10">
        <f ref="O55:P55" t="shared" si="67">A55</f>
        <v>0</v>
      </c>
      <c r="P55" s="11" t="s">
        <f t="shared" si="67"/>
        <v>19</v>
      </c>
      <c r="Q55" s="11" t="s">
        <f t="shared" si="247"/>
        <v>23</v>
      </c>
      <c r="R55" s="11">
        <f t="shared" si="241"/>
        <v>0</v>
      </c>
      <c r="S55" s="11">
        <f ref="S55:U55" t="shared" si="66">E55</f>
        <v>0</v>
      </c>
      <c r="T55" s="11">
        <f t="shared" si="66"/>
        <v>0</v>
      </c>
      <c r="U55" s="11">
        <f t="shared" si="66"/>
        <v>0</v>
      </c>
      <c r="V55" s="11">
        <f t="shared" si="246"/>
      </c>
      <c r="W55" s="11" t="s">
        <f t="shared" si="245"/>
      </c>
      <c r="X55" s="11" t="s">
        <f t="shared" si="242"/>
      </c>
      <c r="Y55" s="11"/>
    </row>
    <row r="56" ht="15.75" customHeight="true">
      <c r="A56" s="10"/>
      <c r="B56" t="s" s="11">
        <v>19</v>
      </c>
      <c r="C56" s="11"/>
      <c r="D56" s="11"/>
      <c r="E56" s="11"/>
      <c r="F56" s="11"/>
      <c r="G56" s="11"/>
      <c r="H56" s="11" t="s">
        <f>IF(E56="","",IF(OR(LOWER(E56)="nakshi",LOWER(E56)="new nakshi"),IF(LOWER(F56)="bedcover",E56,"single"),"single"))</f>
      </c>
      <c r="I56" t="s" s="11">
        <v>11</v>
      </c>
      <c r="J56" s="11"/>
      <c r="K56" s="11" t="s">
        <f>""</f>
      </c>
      <c r="L56" s="11" t="s">
        <f t="shared" si="239"/>
      </c>
      <c r="M56" s="8" t="s">
        <f t="shared" si="240"/>
        <v>23</v>
      </c>
      <c r="N56" s="11"/>
      <c r="O56" s="10">
        <f ref="O56:P56" t="shared" si="1990">A56</f>
        <v>0</v>
      </c>
      <c r="P56" s="11" t="s">
        <f t="shared" si="1990"/>
        <v>19</v>
      </c>
      <c r="Q56" s="11" t="s">
        <f t="shared" si="247"/>
        <v>23</v>
      </c>
      <c r="R56" s="11">
        <f t="shared" si="241"/>
        <v>0</v>
      </c>
      <c r="S56" s="11">
        <f ref="S56:U56" t="shared" si="1991">E56</f>
        <v>0</v>
      </c>
      <c r="T56" s="11">
        <f t="shared" si="1991"/>
        <v>0</v>
      </c>
      <c r="U56" s="11">
        <f t="shared" si="1991"/>
        <v>0</v>
      </c>
      <c r="V56" s="11">
        <f t="shared" si="246"/>
      </c>
      <c r="W56" s="11" t="s">
        <f t="shared" si="245"/>
      </c>
      <c r="X56" s="11" t="s">
        <f t="shared" si="242"/>
      </c>
      <c r="Y56" s="11"/>
    </row>
    <row r="57" ht="15.75" customHeight="true">
      <c r="A57" s="10"/>
      <c r="B57" t="s" s="11">
        <v>19</v>
      </c>
      <c r="C57" s="11"/>
      <c r="D57" s="11"/>
      <c r="E57" s="11"/>
      <c r="F57" s="11"/>
      <c r="G57" s="11"/>
      <c r="H57" s="11" t="s">
        <f>IF(E57="","",IF(OR(LOWER(E57)="nakshi",LOWER(E57)="new nakshi"),IF(LOWER(F57)="bedcover",E57,"single"),"single"))</f>
      </c>
      <c r="I57" t="s" s="11">
        <v>11</v>
      </c>
      <c r="J57" s="11"/>
      <c r="K57" s="11" t="s">
        <f>""</f>
      </c>
      <c r="L57" s="11" t="s">
        <f t="shared" si="239"/>
      </c>
      <c r="M57" s="8" t="s">
        <f t="shared" si="240"/>
        <v>23</v>
      </c>
      <c r="N57" s="11"/>
      <c r="O57" s="10">
        <f ref="O57:P57" t="shared" si="1788">A57</f>
        <v>0</v>
      </c>
      <c r="P57" s="11" t="s">
        <f t="shared" si="1788"/>
        <v>19</v>
      </c>
      <c r="Q57" s="11" t="s">
        <f t="shared" si="247"/>
        <v>23</v>
      </c>
      <c r="R57" s="11">
        <f t="shared" si="241"/>
        <v>0</v>
      </c>
      <c r="S57" s="11">
        <f ref="S57:U57" t="shared" si="1789">E57</f>
        <v>0</v>
      </c>
      <c r="T57" s="11">
        <f t="shared" si="1789"/>
        <v>0</v>
      </c>
      <c r="U57" s="11">
        <f t="shared" si="1789"/>
        <v>0</v>
      </c>
      <c r="V57" s="11">
        <f t="shared" si="246"/>
      </c>
      <c r="W57" s="11" t="s">
        <f t="shared" si="245"/>
      </c>
      <c r="X57" s="11" t="s">
        <f t="shared" si="242"/>
      </c>
      <c r="Y57" s="11"/>
    </row>
    <row r="58" ht="15.75" customHeight="true">
      <c r="A58" s="10"/>
      <c r="B58" t="s" s="11">
        <v>19</v>
      </c>
      <c r="C58" s="11"/>
      <c r="D58" s="11"/>
      <c r="E58" s="11"/>
      <c r="F58" s="11"/>
      <c r="G58" s="11"/>
      <c r="H58" s="11" t="s">
        <f>IF(E58="","",IF(OR(LOWER(E58)="nakshi",LOWER(E58)="new nakshi"),IF(LOWER(F58)="bedcover",E58,"single"),"single"))</f>
      </c>
      <c r="I58" t="s" s="11">
        <v>11</v>
      </c>
      <c r="J58" s="11"/>
      <c r="K58" s="11" t="s">
        <f>""</f>
      </c>
      <c r="L58" s="11" t="s">
        <f t="shared" si="239"/>
      </c>
      <c r="M58" s="8" t="s">
        <f t="shared" si="240"/>
        <v>23</v>
      </c>
      <c r="N58" s="11"/>
      <c r="O58" s="10">
        <f ref="O58:P58" t="shared" si="1581">A58</f>
        <v>0</v>
      </c>
      <c r="P58" s="11" t="s">
        <f t="shared" si="1581"/>
        <v>19</v>
      </c>
      <c r="Q58" s="11" t="s">
        <f t="shared" si="247"/>
        <v>23</v>
      </c>
      <c r="R58" s="11">
        <f t="shared" si="241"/>
        <v>0</v>
      </c>
      <c r="S58" s="11">
        <f ref="S58:U58" t="shared" si="1580">E58</f>
        <v>0</v>
      </c>
      <c r="T58" s="11">
        <f t="shared" si="1580"/>
        <v>0</v>
      </c>
      <c r="U58" s="11">
        <f t="shared" si="1580"/>
        <v>0</v>
      </c>
      <c r="V58" s="11">
        <f t="shared" si="246"/>
      </c>
      <c r="W58" s="11" t="s">
        <f t="shared" si="245"/>
      </c>
      <c r="X58" s="11" t="s">
        <f t="shared" si="242"/>
      </c>
      <c r="Y58" s="11"/>
    </row>
    <row r="59" ht="12.50" customHeight="true">
      <c r="A59" s="10"/>
      <c r="B59" s="11"/>
      <c r="C59" s="11"/>
      <c r="D59" s="11"/>
      <c r="E59" s="11"/>
      <c r="F59" s="11"/>
      <c r="G59" s="11"/>
      <c r="H59" s="11"/>
      <c r="I59" s="11"/>
      <c r="J59" s="11"/>
      <c r="K59" s="11" t="s">
        <f>""</f>
      </c>
      <c r="L59" s="11" t="s">
        <f t="shared" si="239"/>
      </c>
      <c r="M59" s="8" t="s">
        <f t="shared" si="240"/>
      </c>
      <c r="N59" s="11"/>
      <c r="O59" s="10">
        <f ref="O59:P59" t="shared" si="1039">A59</f>
        <v>0</v>
      </c>
      <c r="P59" s="11">
        <f t="shared" si="1039"/>
        <v>0</v>
      </c>
      <c r="Q59" s="11" t="s">
        <f t="shared" si="247"/>
      </c>
      <c r="R59" s="11">
        <f t="shared" si="241"/>
        <v>0</v>
      </c>
      <c r="S59" s="11">
        <f ref="S59:U59" t="shared" si="1040">E59</f>
        <v>0</v>
      </c>
      <c r="T59" s="11">
        <f t="shared" si="1040"/>
        <v>0</v>
      </c>
      <c r="U59" s="11">
        <f t="shared" si="1040"/>
        <v>0</v>
      </c>
      <c r="V59" s="11">
        <f t="shared" si="246"/>
      </c>
      <c r="W59" s="11" t="s">
        <f t="shared" si="245"/>
      </c>
      <c r="X59" s="11" t="s">
        <f t="shared" si="242"/>
      </c>
      <c r="Y59" s="11"/>
    </row>
    <row r="60" ht="12.50" customHeight="true">
      <c r="A60" s="10"/>
      <c r="B60" s="11"/>
      <c r="C60" s="11"/>
      <c r="D60" s="11"/>
      <c r="E60" s="11"/>
      <c r="F60" s="11"/>
      <c r="G60" s="11"/>
      <c r="H60" s="11"/>
      <c r="I60" s="11"/>
      <c r="J60" s="11"/>
      <c r="K60" s="11" t="s">
        <f>""</f>
      </c>
      <c r="L60" s="11" t="s">
        <f t="shared" si="239"/>
      </c>
      <c r="M60" s="8" t="s">
        <f t="shared" si="240"/>
      </c>
      <c r="N60" s="11"/>
      <c r="O60" s="10">
        <f ref="O60:P60" t="shared" si="656">A60</f>
        <v>0</v>
      </c>
      <c r="P60" s="11">
        <f t="shared" si="656"/>
        <v>0</v>
      </c>
      <c r="Q60" s="11" t="s">
        <f t="shared" si="247"/>
      </c>
      <c r="R60" s="11">
        <f t="shared" si="241"/>
        <v>0</v>
      </c>
      <c r="S60" s="11">
        <f ref="S60:U60" t="shared" si="657">E60</f>
        <v>0</v>
      </c>
      <c r="T60" s="11">
        <f t="shared" si="657"/>
        <v>0</v>
      </c>
      <c r="U60" s="11">
        <f t="shared" si="657"/>
        <v>0</v>
      </c>
      <c r="V60" s="11">
        <f t="shared" si="246"/>
      </c>
      <c r="W60" s="11" t="s">
        <f t="shared" si="245"/>
      </c>
      <c r="X60" s="11" t="s">
        <f t="shared" si="242"/>
      </c>
      <c r="Y60" s="11"/>
    </row>
    <row r="61" ht="12.50" customHeight="true">
      <c r="A61" s="10"/>
      <c r="B61" s="11"/>
      <c r="C61" s="11"/>
      <c r="D61" s="11"/>
      <c r="E61" s="11"/>
      <c r="F61" s="11"/>
      <c r="G61" s="11"/>
      <c r="H61" s="11"/>
      <c r="I61" s="11"/>
      <c r="J61" s="11"/>
      <c r="K61" s="11" t="s">
        <f>""</f>
      </c>
      <c r="L61" s="11" t="s">
        <f t="shared" si="239"/>
      </c>
      <c r="M61" s="8" t="s">
        <f t="shared" si="240"/>
      </c>
      <c r="N61" s="11"/>
      <c r="O61" s="10">
        <f ref="O61:P61" t="shared" si="173">A61</f>
        <v>0</v>
      </c>
      <c r="P61" s="11">
        <f t="shared" si="173"/>
        <v>0</v>
      </c>
      <c r="Q61" s="11" t="s">
        <f t="shared" si="247"/>
      </c>
      <c r="R61" s="11">
        <f t="shared" si="241"/>
        <v>0</v>
      </c>
      <c r="S61" s="11">
        <f ref="S61:U61" t="shared" si="174">E61</f>
        <v>0</v>
      </c>
      <c r="T61" s="11">
        <f t="shared" si="174"/>
        <v>0</v>
      </c>
      <c r="U61" s="11">
        <f t="shared" si="174"/>
        <v>0</v>
      </c>
      <c r="V61" s="11">
        <f t="shared" si="246"/>
      </c>
      <c r="W61" s="11" t="s">
        <f t="shared" si="245"/>
      </c>
      <c r="X61" s="11" t="s">
        <f t="shared" si="242"/>
      </c>
      <c r="Y61" s="11"/>
    </row>
    <row r="62" ht="12.50" customHeight="true">
      <c r="A62" s="10"/>
      <c r="B62" s="11"/>
      <c r="C62" s="11"/>
      <c r="D62" s="11"/>
      <c r="E62" s="11"/>
      <c r="F62" s="11"/>
      <c r="G62" s="11"/>
      <c r="H62" s="11"/>
      <c r="I62" s="11"/>
      <c r="J62" s="11"/>
      <c r="K62" s="11" t="s">
        <f>""</f>
      </c>
      <c r="L62" s="11" t="s">
        <f t="shared" si="239"/>
      </c>
      <c r="M62" s="8" t="s">
        <f t="shared" si="240"/>
      </c>
      <c r="N62" s="11"/>
      <c r="O62" s="10">
        <f ref="O62:P62" t="shared" si="948">A62</f>
        <v>0</v>
      </c>
      <c r="P62" s="11">
        <f t="shared" si="948"/>
        <v>0</v>
      </c>
      <c r="Q62" s="11" t="s">
        <f t="shared" si="247"/>
      </c>
      <c r="R62" s="11">
        <f t="shared" si="241"/>
        <v>0</v>
      </c>
      <c r="S62" s="11">
        <f ref="S62:U62" t="shared" si="947">E62</f>
        <v>0</v>
      </c>
      <c r="T62" s="11">
        <f t="shared" si="947"/>
        <v>0</v>
      </c>
      <c r="U62" s="11">
        <f t="shared" si="947"/>
        <v>0</v>
      </c>
      <c r="V62" s="11">
        <f t="shared" si="246"/>
      </c>
      <c r="W62" s="11" t="s">
        <f t="shared" si="245"/>
      </c>
      <c r="X62" s="11" t="s">
        <f t="shared" si="242"/>
      </c>
      <c r="Y62" s="11"/>
    </row>
    <row r="63" ht="12.50" customHeight="true">
      <c r="A63" s="10"/>
      <c r="B63" s="11"/>
      <c r="C63" s="11"/>
      <c r="D63" s="11"/>
      <c r="E63" s="11"/>
      <c r="F63" s="11"/>
      <c r="G63" s="11"/>
      <c r="H63" s="11"/>
      <c r="I63" s="11"/>
      <c r="J63" s="11"/>
      <c r="K63" s="11" t="s">
        <f>""</f>
      </c>
      <c r="L63" s="11" t="s">
        <f t="shared" si="239"/>
      </c>
      <c r="M63" s="8" t="s">
        <f t="shared" si="240"/>
      </c>
      <c r="N63" s="11"/>
      <c r="O63" s="10">
        <f ref="O63:P63" t="shared" si="1147">A63</f>
        <v>0</v>
      </c>
      <c r="P63" s="11">
        <f t="shared" si="1147"/>
        <v>0</v>
      </c>
      <c r="Q63" s="11" t="s">
        <f t="shared" si="247"/>
      </c>
      <c r="R63" s="11">
        <f t="shared" si="241"/>
        <v>0</v>
      </c>
      <c r="S63" s="11">
        <f ref="S63:U63" t="shared" si="1148">E63</f>
        <v>0</v>
      </c>
      <c r="T63" s="11">
        <f t="shared" si="1148"/>
        <v>0</v>
      </c>
      <c r="U63" s="11">
        <f t="shared" si="1148"/>
        <v>0</v>
      </c>
      <c r="V63" s="11">
        <f t="shared" si="246"/>
      </c>
      <c r="W63" s="11" t="s">
        <f t="shared" si="245"/>
      </c>
      <c r="X63" s="11" t="s">
        <f t="shared" si="242"/>
      </c>
      <c r="Y63" s="11"/>
    </row>
    <row r="64" ht="12.50" customHeight="true">
      <c r="A64" s="10"/>
      <c r="B64" s="11"/>
      <c r="C64" s="11"/>
      <c r="D64" s="11"/>
      <c r="E64" s="11"/>
      <c r="F64" s="11"/>
      <c r="G64" s="11"/>
      <c r="H64" s="11"/>
      <c r="I64" s="11"/>
      <c r="J64" s="11"/>
      <c r="K64" s="11" t="s">
        <f>""</f>
      </c>
      <c r="L64" s="11" t="s">
        <f t="shared" si="239"/>
      </c>
      <c r="M64" s="8" t="s">
        <f t="shared" si="240"/>
      </c>
      <c r="N64" s="11"/>
      <c r="O64" s="10">
        <f ref="O64:P64" t="shared" si="925">A64</f>
        <v>0</v>
      </c>
      <c r="P64" s="11">
        <f t="shared" si="925"/>
        <v>0</v>
      </c>
      <c r="Q64" s="11" t="s">
        <f t="shared" si="247"/>
      </c>
      <c r="R64" s="11">
        <f t="shared" si="241"/>
        <v>0</v>
      </c>
      <c r="S64" s="11">
        <f ref="S64:U64" t="shared" si="924">E64</f>
        <v>0</v>
      </c>
      <c r="T64" s="11">
        <f t="shared" si="924"/>
        <v>0</v>
      </c>
      <c r="U64" s="11">
        <f t="shared" si="924"/>
        <v>0</v>
      </c>
      <c r="V64" s="11">
        <f t="shared" si="246"/>
      </c>
      <c r="W64" s="11" t="s">
        <f t="shared" si="245"/>
      </c>
      <c r="X64" s="11" t="s">
        <f t="shared" si="242"/>
      </c>
      <c r="Y64" s="11"/>
    </row>
    <row r="65" ht="12.50" customHeight="true">
      <c r="A65" s="10"/>
      <c r="B65" s="11"/>
      <c r="C65" s="11"/>
      <c r="D65" s="11"/>
      <c r="E65" s="11"/>
      <c r="F65" s="11"/>
      <c r="G65" s="11"/>
      <c r="H65" s="11"/>
      <c r="I65" s="11"/>
      <c r="J65" s="11"/>
      <c r="K65" s="11" t="s">
        <f>""</f>
      </c>
      <c r="L65" s="11" t="s">
        <f t="shared" si="239"/>
      </c>
      <c r="M65" s="8" t="s">
        <f t="shared" si="240"/>
      </c>
      <c r="N65" s="11"/>
      <c r="O65" s="10">
        <f ref="O65:P65" t="shared" si="1487">A65</f>
        <v>0</v>
      </c>
      <c r="P65" s="11">
        <f t="shared" si="1487"/>
        <v>0</v>
      </c>
      <c r="Q65" s="11" t="s">
        <f t="shared" si="247"/>
      </c>
      <c r="R65" s="11">
        <f t="shared" si="241"/>
        <v>0</v>
      </c>
      <c r="S65" s="11">
        <f ref="S65:U65" t="shared" si="1486">E65</f>
        <v>0</v>
      </c>
      <c r="T65" s="11">
        <f t="shared" si="1486"/>
        <v>0</v>
      </c>
      <c r="U65" s="11">
        <f t="shared" si="1486"/>
        <v>0</v>
      </c>
      <c r="V65" s="11">
        <f t="shared" si="246"/>
      </c>
      <c r="W65" s="11" t="s">
        <f t="shared" si="245"/>
      </c>
      <c r="X65" s="11" t="s">
        <f t="shared" si="242"/>
      </c>
      <c r="Y65" s="11"/>
    </row>
    <row r="66" ht="12.50" customHeight="true">
      <c r="A66" s="10"/>
      <c r="B66" s="11"/>
      <c r="C66" s="11"/>
      <c r="D66" s="11"/>
      <c r="E66" s="11"/>
      <c r="F66" s="11"/>
      <c r="G66" s="11"/>
      <c r="H66" s="11"/>
      <c r="I66" s="11"/>
      <c r="J66" s="11"/>
      <c r="K66" s="11" t="s">
        <f>""</f>
      </c>
      <c r="L66" s="11" t="s">
        <f t="shared" si="239"/>
      </c>
      <c r="M66" s="8" t="s">
        <f t="shared" si="240"/>
      </c>
      <c r="N66" s="11"/>
      <c r="O66" s="10">
        <f ref="O66:P66" t="shared" si="867">A66</f>
        <v>0</v>
      </c>
      <c r="P66" s="11">
        <f t="shared" si="867"/>
        <v>0</v>
      </c>
      <c r="Q66" s="11" t="s">
        <f t="shared" si="247"/>
      </c>
      <c r="R66" s="11">
        <f t="shared" si="241"/>
        <v>0</v>
      </c>
      <c r="S66" s="11">
        <f ref="S66:U66" t="shared" si="866">E66</f>
        <v>0</v>
      </c>
      <c r="T66" s="11">
        <f t="shared" si="866"/>
        <v>0</v>
      </c>
      <c r="U66" s="11">
        <f t="shared" si="866"/>
        <v>0</v>
      </c>
      <c r="V66" s="11">
        <f t="shared" si="246"/>
      </c>
      <c r="W66" s="11" t="s">
        <f t="shared" si="245"/>
      </c>
      <c r="X66" s="11" t="s">
        <f t="shared" si="242"/>
      </c>
      <c r="Y66" s="11"/>
    </row>
    <row r="67" ht="12.50" customHeight="true">
      <c r="A67" s="10"/>
      <c r="B67" s="11"/>
      <c r="C67" s="11"/>
      <c r="D67" s="11"/>
      <c r="E67" s="11"/>
      <c r="F67" s="11"/>
      <c r="G67" s="11"/>
      <c r="H67" s="11"/>
      <c r="I67" s="11"/>
      <c r="J67" s="11"/>
      <c r="K67" s="11" t="s">
        <f>""</f>
      </c>
      <c r="L67" s="11" t="s">
        <f t="shared" si="239"/>
      </c>
      <c r="M67" s="8" t="s">
        <f t="shared" si="240"/>
      </c>
      <c r="N67" s="11"/>
      <c r="O67" s="10">
        <f ref="O67:P67" t="shared" si="1013">A67</f>
        <v>0</v>
      </c>
      <c r="P67" s="11">
        <f t="shared" si="1013"/>
        <v>0</v>
      </c>
      <c r="Q67" s="11" t="s">
        <f t="shared" si="247"/>
      </c>
      <c r="R67" s="11">
        <f t="shared" si="241"/>
        <v>0</v>
      </c>
      <c r="S67" s="11">
        <f ref="S67:U67" t="shared" si="1014">E67</f>
        <v>0</v>
      </c>
      <c r="T67" s="11">
        <f t="shared" si="1014"/>
        <v>0</v>
      </c>
      <c r="U67" s="11">
        <f t="shared" si="1014"/>
        <v>0</v>
      </c>
      <c r="V67" s="11">
        <f t="shared" si="246"/>
      </c>
      <c r="W67" s="11" t="s">
        <f t="shared" si="245"/>
      </c>
      <c r="X67" s="11" t="s">
        <f t="shared" si="242"/>
      </c>
      <c r="Y67" s="11"/>
    </row>
    <row r="68" ht="12.50" customHeight="true">
      <c r="A68" s="10"/>
      <c r="B68" s="11"/>
      <c r="C68" s="11"/>
      <c r="D68" s="11"/>
      <c r="E68" s="11"/>
      <c r="F68" s="11"/>
      <c r="G68" s="11"/>
      <c r="H68" s="11"/>
      <c r="I68" s="11"/>
      <c r="J68" s="11"/>
      <c r="K68" s="11" t="s">
        <f>""</f>
      </c>
      <c r="L68" s="11" t="s">
        <f t="shared" si="239"/>
      </c>
      <c r="M68" s="8" t="s">
        <f t="shared" si="240"/>
      </c>
      <c r="N68" s="11"/>
      <c r="O68" s="10">
        <f ref="O68:P68" t="shared" si="789">A68</f>
        <v>0</v>
      </c>
      <c r="P68" s="11">
        <f t="shared" si="789"/>
        <v>0</v>
      </c>
      <c r="Q68" s="11" t="s">
        <f t="shared" si="247"/>
      </c>
      <c r="R68" s="11">
        <f t="shared" si="241"/>
        <v>0</v>
      </c>
      <c r="S68" s="11">
        <f ref="S68:U68" t="shared" si="788">E68</f>
        <v>0</v>
      </c>
      <c r="T68" s="11">
        <f t="shared" si="788"/>
        <v>0</v>
      </c>
      <c r="U68" s="11">
        <f t="shared" si="788"/>
        <v>0</v>
      </c>
      <c r="V68" s="11">
        <f t="shared" si="246"/>
      </c>
      <c r="W68" s="11" t="s">
        <f t="shared" si="245"/>
      </c>
      <c r="X68" s="11" t="s">
        <f t="shared" si="242"/>
      </c>
      <c r="Y68" s="11"/>
    </row>
    <row r="69" ht="12.50" customHeight="true">
      <c r="A69" s="10"/>
      <c r="B69" s="11"/>
      <c r="C69" s="11"/>
      <c r="D69" s="11"/>
      <c r="E69" s="11"/>
      <c r="F69" s="11"/>
      <c r="G69" s="11"/>
      <c r="H69" s="11"/>
      <c r="I69" s="11"/>
      <c r="J69" s="11"/>
      <c r="K69" s="11" t="s">
        <f>""</f>
      </c>
      <c r="L69" s="11" t="s">
        <f t="shared" si="239"/>
      </c>
      <c r="M69" s="8" t="s">
        <f t="shared" si="240"/>
      </c>
      <c r="N69" s="11"/>
      <c r="O69" s="10">
        <f ref="O69:P69" t="shared" si="1908">A69</f>
        <v>0</v>
      </c>
      <c r="P69" s="11">
        <f t="shared" si="1908"/>
        <v>0</v>
      </c>
      <c r="Q69" s="11" t="s">
        <f t="shared" si="247"/>
      </c>
      <c r="R69" s="11">
        <f t="shared" si="241"/>
        <v>0</v>
      </c>
      <c r="S69" s="11">
        <f ref="S69:U69" t="shared" si="1909">E69</f>
        <v>0</v>
      </c>
      <c r="T69" s="11">
        <f t="shared" si="1909"/>
        <v>0</v>
      </c>
      <c r="U69" s="11">
        <f t="shared" si="1909"/>
        <v>0</v>
      </c>
      <c r="V69" s="11">
        <f t="shared" si="246"/>
      </c>
      <c r="W69" s="11" t="s">
        <f t="shared" si="245"/>
      </c>
      <c r="X69" s="11" t="s">
        <f t="shared" si="242"/>
      </c>
      <c r="Y69" s="11"/>
    </row>
    <row r="70" ht="12.50" customHeight="true">
      <c r="A70" s="10"/>
      <c r="B70" s="11"/>
      <c r="C70" s="11"/>
      <c r="D70" s="11"/>
      <c r="E70" s="11"/>
      <c r="F70" s="11"/>
      <c r="G70" s="11"/>
      <c r="H70" s="11"/>
      <c r="I70" s="11"/>
      <c r="J70" s="11"/>
      <c r="K70" s="11" t="s">
        <f>""</f>
      </c>
      <c r="L70" s="11" t="s">
        <f t="shared" si="239"/>
      </c>
      <c r="M70" s="8" t="s">
        <f t="shared" si="240"/>
      </c>
      <c r="N70" s="11"/>
      <c r="O70" s="10">
        <f ref="O70:P70" t="shared" si="632">A70</f>
        <v>0</v>
      </c>
      <c r="P70" s="11">
        <f t="shared" si="632"/>
        <v>0</v>
      </c>
      <c r="Q70" s="11" t="s">
        <f t="shared" si="247"/>
      </c>
      <c r="R70" s="11">
        <f t="shared" si="241"/>
        <v>0</v>
      </c>
      <c r="S70" s="11">
        <f ref="S70:U70" t="shared" si="633">E70</f>
        <v>0</v>
      </c>
      <c r="T70" s="11">
        <f t="shared" si="633"/>
        <v>0</v>
      </c>
      <c r="U70" s="11">
        <f t="shared" si="633"/>
        <v>0</v>
      </c>
      <c r="V70" s="11">
        <f t="shared" si="246"/>
      </c>
      <c r="W70" s="11" t="s">
        <f t="shared" si="245"/>
      </c>
      <c r="X70" s="11" t="s">
        <f t="shared" si="242"/>
      </c>
      <c r="Y70" s="11"/>
    </row>
    <row r="71" ht="12.50" customHeight="true">
      <c r="A71" s="10"/>
      <c r="B71" s="11"/>
      <c r="C71" s="11"/>
      <c r="D71" s="11"/>
      <c r="E71" s="11"/>
      <c r="F71" s="11"/>
      <c r="G71" s="11"/>
      <c r="H71" s="11"/>
      <c r="I71" s="11"/>
      <c r="J71" s="11"/>
      <c r="K71" s="11" t="s">
        <f>""</f>
      </c>
      <c r="L71" s="11" t="s">
        <f t="shared" si="239"/>
      </c>
      <c r="M71" s="8" t="s">
        <f t="shared" si="240"/>
      </c>
      <c r="N71" s="11"/>
      <c r="O71" s="10">
        <f ref="O71:P71" t="shared" si="1565">A71</f>
        <v>0</v>
      </c>
      <c r="P71" s="11">
        <f t="shared" si="1565"/>
        <v>0</v>
      </c>
      <c r="Q71" s="11" t="s">
        <f t="shared" si="247"/>
      </c>
      <c r="R71" s="11">
        <f t="shared" si="241"/>
        <v>0</v>
      </c>
      <c r="S71" s="11">
        <f ref="S71:U71" t="shared" si="1564">E71</f>
        <v>0</v>
      </c>
      <c r="T71" s="11">
        <f t="shared" si="1564"/>
        <v>0</v>
      </c>
      <c r="U71" s="11">
        <f t="shared" si="1564"/>
        <v>0</v>
      </c>
      <c r="V71" s="11">
        <f t="shared" si="246"/>
      </c>
      <c r="W71" s="11" t="s">
        <f t="shared" si="245"/>
      </c>
      <c r="X71" s="11" t="s">
        <f t="shared" si="242"/>
      </c>
      <c r="Y71" s="11"/>
    </row>
    <row r="72" ht="12.50" customHeight="true">
      <c r="A72" s="10"/>
      <c r="B72" s="11"/>
      <c r="C72" s="11"/>
      <c r="D72" s="11"/>
      <c r="E72" s="11"/>
      <c r="F72" s="11"/>
      <c r="G72" s="11"/>
      <c r="H72" s="11"/>
      <c r="I72" s="11"/>
      <c r="J72" s="11"/>
      <c r="K72" s="11" t="s">
        <f>""</f>
      </c>
      <c r="L72" s="11" t="s">
        <f t="shared" si="239"/>
      </c>
      <c r="M72" s="8" t="s">
        <f t="shared" si="240"/>
      </c>
      <c r="N72" s="11"/>
      <c r="O72" s="10">
        <f ref="O72:P72" t="shared" si="1929">A72</f>
        <v>0</v>
      </c>
      <c r="P72" s="11">
        <f t="shared" si="1929"/>
        <v>0</v>
      </c>
      <c r="Q72" s="11" t="s">
        <f t="shared" si="247"/>
      </c>
      <c r="R72" s="11">
        <f t="shared" si="241"/>
        <v>0</v>
      </c>
      <c r="S72" s="11">
        <f ref="S72:U72" t="shared" si="1928">E72</f>
        <v>0</v>
      </c>
      <c r="T72" s="11">
        <f t="shared" si="1928"/>
        <v>0</v>
      </c>
      <c r="U72" s="11">
        <f t="shared" si="1928"/>
        <v>0</v>
      </c>
      <c r="V72" s="11">
        <f t="shared" si="246"/>
      </c>
      <c r="W72" s="11" t="s">
        <f t="shared" si="245"/>
      </c>
      <c r="X72" s="11" t="s">
        <f t="shared" si="242"/>
      </c>
      <c r="Y72" s="11"/>
    </row>
    <row r="73" ht="12.50" customHeight="true">
      <c r="A73" s="10"/>
      <c r="B73" s="11"/>
      <c r="C73" s="11"/>
      <c r="D73" s="11"/>
      <c r="E73" s="11"/>
      <c r="F73" s="11"/>
      <c r="G73" s="11"/>
      <c r="H73" s="11"/>
      <c r="I73" s="11"/>
      <c r="J73" s="11"/>
      <c r="K73" s="11" t="s">
        <f>""</f>
      </c>
      <c r="L73" s="11" t="s">
        <f t="shared" si="239"/>
      </c>
      <c r="M73" s="8" t="s">
        <f t="shared" si="240"/>
      </c>
      <c r="N73" s="11"/>
      <c r="O73" s="10">
        <f ref="O73:P73" t="shared" si="1619">A73</f>
        <v>0</v>
      </c>
      <c r="P73" s="11">
        <f t="shared" si="1619"/>
        <v>0</v>
      </c>
      <c r="Q73" s="11" t="s">
        <f t="shared" si="247"/>
      </c>
      <c r="R73" s="11">
        <f t="shared" si="241"/>
        <v>0</v>
      </c>
      <c r="S73" s="11">
        <f ref="S73:U73" t="shared" si="1618">E73</f>
        <v>0</v>
      </c>
      <c r="T73" s="11">
        <f t="shared" si="1618"/>
        <v>0</v>
      </c>
      <c r="U73" s="11">
        <f t="shared" si="1618"/>
        <v>0</v>
      </c>
      <c r="V73" s="11">
        <f t="shared" si="246"/>
      </c>
      <c r="W73" s="11" t="s">
        <f t="shared" si="245"/>
      </c>
      <c r="X73" s="11" t="s">
        <f t="shared" si="242"/>
      </c>
      <c r="Y73" s="11"/>
    </row>
    <row r="74" ht="12.50" customHeight="true">
      <c r="A74" s="10"/>
      <c r="B74" s="11"/>
      <c r="C74" s="11"/>
      <c r="D74" s="11"/>
      <c r="E74" s="11"/>
      <c r="F74" s="11"/>
      <c r="G74" s="11"/>
      <c r="H74" s="11"/>
      <c r="I74" s="11"/>
      <c r="J74" s="11"/>
      <c r="K74" s="11" t="s">
        <f>""</f>
      </c>
      <c r="L74" s="11" t="s">
        <f t="shared" si="239"/>
      </c>
      <c r="M74" s="8" t="s">
        <f t="shared" si="240"/>
      </c>
      <c r="N74" s="11"/>
      <c r="O74" s="10">
        <f ref="O74:P74" t="shared" si="1590">A74</f>
        <v>0</v>
      </c>
      <c r="P74" s="11">
        <f t="shared" si="1590"/>
        <v>0</v>
      </c>
      <c r="Q74" s="11" t="s">
        <f t="shared" si="247"/>
      </c>
      <c r="R74" s="11">
        <f t="shared" si="241"/>
        <v>0</v>
      </c>
      <c r="S74" s="11">
        <f ref="S74:U74" t="shared" si="1591">E74</f>
        <v>0</v>
      </c>
      <c r="T74" s="11">
        <f t="shared" si="1591"/>
        <v>0</v>
      </c>
      <c r="U74" s="11">
        <f t="shared" si="1591"/>
        <v>0</v>
      </c>
      <c r="V74" s="11">
        <f t="shared" si="246"/>
      </c>
      <c r="W74" s="11" t="s">
        <f t="shared" si="245"/>
      </c>
      <c r="X74" s="11" t="s">
        <f t="shared" si="242"/>
      </c>
      <c r="Y74" s="11"/>
    </row>
    <row r="75" ht="12.50" customHeight="true">
      <c r="A75" s="10"/>
      <c r="B75" s="11"/>
      <c r="C75" s="11"/>
      <c r="D75" s="11"/>
      <c r="E75" s="11"/>
      <c r="F75" s="11"/>
      <c r="G75" s="11"/>
      <c r="H75" s="11"/>
      <c r="I75" s="11"/>
      <c r="J75" s="11"/>
      <c r="K75" s="11" t="s">
        <f>""</f>
      </c>
      <c r="L75" s="11" t="s">
        <f t="shared" si="239"/>
      </c>
      <c r="M75" s="8" t="s">
        <f t="shared" si="240"/>
      </c>
      <c r="N75" s="11"/>
      <c r="O75" s="10">
        <f ref="O75:P75" t="shared" si="76">A75</f>
        <v>0</v>
      </c>
      <c r="P75" s="11">
        <f t="shared" si="76"/>
        <v>0</v>
      </c>
      <c r="Q75" s="11" t="s">
        <f t="shared" si="247"/>
      </c>
      <c r="R75" s="11">
        <f t="shared" si="241"/>
        <v>0</v>
      </c>
      <c r="S75" s="11">
        <f ref="S75:U75" t="shared" si="77">E75</f>
        <v>0</v>
      </c>
      <c r="T75" s="11">
        <f t="shared" si="77"/>
        <v>0</v>
      </c>
      <c r="U75" s="11">
        <f t="shared" si="77"/>
        <v>0</v>
      </c>
      <c r="V75" s="11">
        <f t="shared" si="246"/>
      </c>
      <c r="W75" s="11" t="s">
        <f t="shared" si="245"/>
      </c>
      <c r="X75" s="11" t="s">
        <f t="shared" si="242"/>
      </c>
      <c r="Y75" s="11"/>
    </row>
    <row r="76" ht="12.50" customHeight="true">
      <c r="A76" s="10"/>
      <c r="B76" s="11"/>
      <c r="C76" s="11"/>
      <c r="D76" s="11"/>
      <c r="E76" s="11"/>
      <c r="F76" s="11"/>
      <c r="G76" s="11"/>
      <c r="H76" s="11"/>
      <c r="I76" s="11"/>
      <c r="J76" s="11"/>
      <c r="K76" s="11" t="s">
        <f>""</f>
      </c>
      <c r="L76" s="11" t="s">
        <f t="shared" si="239"/>
      </c>
      <c r="M76" s="8" t="s">
        <f t="shared" si="240"/>
      </c>
      <c r="N76" s="11"/>
      <c r="O76" s="10">
        <f ref="O76:P76" t="shared" si="2019">A76</f>
        <v>0</v>
      </c>
      <c r="P76" s="11">
        <f t="shared" si="2019"/>
        <v>0</v>
      </c>
      <c r="Q76" s="11" t="s">
        <f t="shared" si="247"/>
      </c>
      <c r="R76" s="11">
        <f t="shared" si="241"/>
        <v>0</v>
      </c>
      <c r="S76" s="11">
        <f ref="S76:U76" t="shared" si="2018">E76</f>
        <v>0</v>
      </c>
      <c r="T76" s="11">
        <f t="shared" si="2018"/>
        <v>0</v>
      </c>
      <c r="U76" s="11">
        <f t="shared" si="2018"/>
        <v>0</v>
      </c>
      <c r="V76" s="11">
        <f t="shared" si="246"/>
      </c>
      <c r="W76" s="11" t="s">
        <f t="shared" si="245"/>
      </c>
      <c r="X76" s="11" t="s">
        <f t="shared" si="242"/>
      </c>
      <c r="Y76" s="11"/>
    </row>
    <row r="77" ht="12.50" customHeight="true">
      <c r="A77" s="10"/>
      <c r="B77" s="11"/>
      <c r="C77" s="11"/>
      <c r="D77" s="11"/>
      <c r="E77" s="11"/>
      <c r="F77" s="11"/>
      <c r="G77" s="11"/>
      <c r="H77" s="11"/>
      <c r="I77" s="11"/>
      <c r="J77" s="11"/>
      <c r="K77" s="11" t="s">
        <f>""</f>
      </c>
      <c r="L77" s="11" t="s">
        <f t="shared" si="239"/>
      </c>
      <c r="M77" s="8" t="s">
        <f t="shared" si="240"/>
      </c>
      <c r="N77" s="11"/>
      <c r="O77" s="10">
        <f ref="O77:P77" t="shared" si="1049">A77</f>
        <v>0</v>
      </c>
      <c r="P77" s="11">
        <f t="shared" si="1049"/>
        <v>0</v>
      </c>
      <c r="Q77" s="11" t="s">
        <f t="shared" si="247"/>
      </c>
      <c r="R77" s="11">
        <f t="shared" si="241"/>
        <v>0</v>
      </c>
      <c r="S77" s="11">
        <f ref="S77:U77" t="shared" si="1050">E77</f>
        <v>0</v>
      </c>
      <c r="T77" s="11">
        <f t="shared" si="1050"/>
        <v>0</v>
      </c>
      <c r="U77" s="11">
        <f t="shared" si="1050"/>
        <v>0</v>
      </c>
      <c r="V77" s="11">
        <f t="shared" si="246"/>
      </c>
      <c r="W77" s="11" t="s">
        <f t="shared" si="245"/>
      </c>
      <c r="X77" s="11" t="s">
        <f t="shared" si="242"/>
      </c>
      <c r="Y77" s="11"/>
    </row>
    <row r="78" ht="12.50" customHeight="true">
      <c r="A78" s="10"/>
      <c r="B78" s="11"/>
      <c r="C78" s="11"/>
      <c r="D78" s="11"/>
      <c r="E78" s="11"/>
      <c r="F78" s="11"/>
      <c r="G78" s="11"/>
      <c r="H78" s="11"/>
      <c r="I78" s="11"/>
      <c r="J78" s="11"/>
      <c r="K78" s="11" t="s">
        <f>""</f>
      </c>
      <c r="L78" s="11" t="s">
        <f t="shared" si="239"/>
      </c>
      <c r="M78" s="8" t="s">
        <f t="shared" si="240"/>
      </c>
      <c r="N78" s="11"/>
      <c r="O78" s="10">
        <f ref="O78:P78" t="shared" si="1511">A78</f>
        <v>0</v>
      </c>
      <c r="P78" s="11">
        <f t="shared" si="1511"/>
        <v>0</v>
      </c>
      <c r="Q78" s="11" t="s">
        <f t="shared" si="247"/>
      </c>
      <c r="R78" s="11">
        <f t="shared" si="241"/>
        <v>0</v>
      </c>
      <c r="S78" s="11">
        <f ref="S78:U78" t="shared" si="1510">E78</f>
        <v>0</v>
      </c>
      <c r="T78" s="11">
        <f t="shared" si="1510"/>
        <v>0</v>
      </c>
      <c r="U78" s="11">
        <f t="shared" si="1510"/>
        <v>0</v>
      </c>
      <c r="V78" s="11">
        <f t="shared" si="246"/>
      </c>
      <c r="W78" s="11" t="s">
        <f t="shared" si="245"/>
      </c>
      <c r="X78" s="11" t="s">
        <f t="shared" si="242"/>
      </c>
      <c r="Y78" s="11"/>
    </row>
    <row r="79" ht="12.50" customHeight="true">
      <c r="A79" s="10"/>
      <c r="B79" s="11"/>
      <c r="C79" s="11"/>
      <c r="D79" s="11"/>
      <c r="E79" s="11"/>
      <c r="F79" s="11"/>
      <c r="G79" s="11"/>
      <c r="H79" s="11"/>
      <c r="I79" s="11"/>
      <c r="J79" s="11"/>
      <c r="K79" s="11" t="s">
        <f>""</f>
      </c>
      <c r="L79" s="11" t="s">
        <f t="shared" si="239"/>
      </c>
      <c r="M79" s="8" t="s">
        <f t="shared" si="240"/>
      </c>
      <c r="N79" s="11"/>
      <c r="O79" s="10">
        <f ref="O79:P79" t="shared" si="500">A79</f>
        <v>0</v>
      </c>
      <c r="P79" s="11">
        <f t="shared" si="500"/>
        <v>0</v>
      </c>
      <c r="Q79" s="11" t="s">
        <f t="shared" si="247"/>
      </c>
      <c r="R79" s="11">
        <f t="shared" si="241"/>
        <v>0</v>
      </c>
      <c r="S79" s="11">
        <f ref="S79:U79" t="shared" si="501">E79</f>
        <v>0</v>
      </c>
      <c r="T79" s="11">
        <f t="shared" si="501"/>
        <v>0</v>
      </c>
      <c r="U79" s="11">
        <f t="shared" si="501"/>
        <v>0</v>
      </c>
      <c r="V79" s="11">
        <f t="shared" si="246"/>
      </c>
      <c r="W79" s="11" t="s">
        <f t="shared" si="245"/>
      </c>
      <c r="X79" s="11" t="s">
        <f t="shared" si="242"/>
      </c>
      <c r="Y79" s="11"/>
    </row>
    <row r="80" ht="12.50" customHeight="true">
      <c r="A80" s="10"/>
      <c r="B80" s="11"/>
      <c r="C80" s="11"/>
      <c r="D80" s="11"/>
      <c r="E80" s="11"/>
      <c r="F80" s="11"/>
      <c r="G80" s="11"/>
      <c r="H80" s="11"/>
      <c r="I80" s="11"/>
      <c r="J80" s="11"/>
      <c r="K80" s="11" t="s">
        <f>""</f>
      </c>
      <c r="L80" s="11" t="s">
        <f t="shared" si="239"/>
      </c>
      <c r="M80" s="8" t="s">
        <f t="shared" si="240"/>
      </c>
      <c r="N80" s="11"/>
      <c r="O80" s="10">
        <f ref="O80:P80" t="shared" si="1030">A80</f>
        <v>0</v>
      </c>
      <c r="P80" s="11">
        <f t="shared" si="1030"/>
        <v>0</v>
      </c>
      <c r="Q80" s="11" t="s">
        <f t="shared" si="247"/>
      </c>
      <c r="R80" s="11">
        <f t="shared" si="241"/>
        <v>0</v>
      </c>
      <c r="S80" s="11">
        <f ref="S80:U80" t="shared" si="1029">E80</f>
        <v>0</v>
      </c>
      <c r="T80" s="11">
        <f t="shared" si="1029"/>
        <v>0</v>
      </c>
      <c r="U80" s="11">
        <f t="shared" si="1029"/>
        <v>0</v>
      </c>
      <c r="V80" s="11">
        <f t="shared" si="246"/>
      </c>
      <c r="W80" s="11" t="s">
        <f t="shared" si="245"/>
      </c>
      <c r="X80" s="11" t="s">
        <f t="shared" si="242"/>
      </c>
      <c r="Y80" s="11"/>
    </row>
    <row r="81" ht="12.50" customHeight="true">
      <c r="A81" s="10"/>
      <c r="B81" s="11"/>
      <c r="C81" s="11"/>
      <c r="D81" s="11"/>
      <c r="E81" s="11"/>
      <c r="F81" s="11"/>
      <c r="G81" s="11"/>
      <c r="H81" s="11"/>
      <c r="I81" s="11"/>
      <c r="J81" s="11"/>
      <c r="K81" s="11" t="s">
        <f>""</f>
      </c>
      <c r="L81" s="11" t="s">
        <f t="shared" si="239"/>
      </c>
      <c r="M81" s="8" t="s">
        <f t="shared" si="240"/>
      </c>
      <c r="N81" s="11"/>
      <c r="O81" s="10">
        <f ref="O81:P81" t="shared" si="205">A81</f>
        <v>0</v>
      </c>
      <c r="P81" s="11">
        <f t="shared" si="205"/>
        <v>0</v>
      </c>
      <c r="Q81" s="11" t="s">
        <f t="shared" si="247"/>
      </c>
      <c r="R81" s="11">
        <f t="shared" si="241"/>
        <v>0</v>
      </c>
      <c r="S81" s="11">
        <f ref="S81:U81" t="shared" si="206">E81</f>
        <v>0</v>
      </c>
      <c r="T81" s="11">
        <f t="shared" si="206"/>
        <v>0</v>
      </c>
      <c r="U81" s="11">
        <f t="shared" si="206"/>
        <v>0</v>
      </c>
      <c r="V81" s="11">
        <f t="shared" si="246"/>
      </c>
      <c r="W81" s="11" t="s">
        <f t="shared" si="245"/>
      </c>
      <c r="X81" s="11" t="s">
        <f t="shared" si="242"/>
      </c>
      <c r="Y81" s="11"/>
    </row>
    <row r="82" ht="12.50" customHeight="true">
      <c r="A82" s="10"/>
      <c r="B82" s="11"/>
      <c r="C82" s="11"/>
      <c r="D82" s="11"/>
      <c r="E82" s="11"/>
      <c r="F82" s="11"/>
      <c r="G82" s="11"/>
      <c r="H82" s="11"/>
      <c r="I82" s="11"/>
      <c r="J82" s="11"/>
      <c r="K82" s="11" t="s">
        <f>""</f>
      </c>
      <c r="L82" s="11" t="s">
        <f t="shared" si="239"/>
      </c>
      <c r="M82" s="8" t="s">
        <f t="shared" si="240"/>
      </c>
      <c r="N82" s="11"/>
      <c r="O82" s="10">
        <f ref="O82:P82" t="shared" si="1499">A82</f>
        <v>0</v>
      </c>
      <c r="P82" s="11">
        <f t="shared" si="1499"/>
        <v>0</v>
      </c>
      <c r="Q82" s="11" t="s">
        <f t="shared" si="247"/>
      </c>
      <c r="R82" s="11">
        <f t="shared" si="241"/>
        <v>0</v>
      </c>
      <c r="S82" s="11">
        <f ref="S82:U82" t="shared" si="1498">E82</f>
        <v>0</v>
      </c>
      <c r="T82" s="11">
        <f t="shared" si="1498"/>
        <v>0</v>
      </c>
      <c r="U82" s="11">
        <f t="shared" si="1498"/>
        <v>0</v>
      </c>
      <c r="V82" s="11">
        <f t="shared" si="246"/>
      </c>
      <c r="W82" s="11" t="s">
        <f t="shared" si="245"/>
      </c>
      <c r="X82" s="11" t="s">
        <f t="shared" si="242"/>
      </c>
      <c r="Y82" s="11"/>
    </row>
    <row r="83" ht="12.50" customHeight="true">
      <c r="A83" s="10"/>
      <c r="B83" s="11"/>
      <c r="C83" s="11"/>
      <c r="D83" s="11"/>
      <c r="E83" s="11"/>
      <c r="F83" s="11"/>
      <c r="G83" s="11"/>
      <c r="H83" s="11"/>
      <c r="I83" s="11"/>
      <c r="J83" s="11"/>
      <c r="K83" s="11" t="s">
        <f>""</f>
      </c>
      <c r="L83" s="11" t="s">
        <f t="shared" si="239"/>
      </c>
      <c r="M83" s="8" t="s">
        <f t="shared" si="240"/>
      </c>
      <c r="N83" s="11"/>
      <c r="O83" s="10">
        <f ref="O83:P83" t="shared" si="93">A83</f>
        <v>0</v>
      </c>
      <c r="P83" s="11">
        <f t="shared" si="93"/>
        <v>0</v>
      </c>
      <c r="Q83" s="11" t="s">
        <f t="shared" si="247"/>
      </c>
      <c r="R83" s="11">
        <f t="shared" si="241"/>
        <v>0</v>
      </c>
      <c r="S83" s="11">
        <f ref="S83:U83" t="shared" si="92">E83</f>
        <v>0</v>
      </c>
      <c r="T83" s="11">
        <f t="shared" si="92"/>
        <v>0</v>
      </c>
      <c r="U83" s="11">
        <f t="shared" si="92"/>
        <v>0</v>
      </c>
      <c r="V83" s="11">
        <f t="shared" si="246"/>
      </c>
      <c r="W83" s="11" t="s">
        <f t="shared" si="245"/>
      </c>
      <c r="X83" s="11" t="s">
        <f t="shared" si="242"/>
      </c>
      <c r="Y83" s="11"/>
    </row>
    <row r="84" ht="12.50" customHeight="true">
      <c r="A84" s="10"/>
      <c r="B84" s="11"/>
      <c r="C84" s="11"/>
      <c r="D84" s="11"/>
      <c r="E84" s="11"/>
      <c r="F84" s="11"/>
      <c r="G84" s="11"/>
      <c r="H84" s="11"/>
      <c r="I84" s="11"/>
      <c r="J84" s="11"/>
      <c r="K84" s="11" t="s">
        <f>""</f>
      </c>
      <c r="L84" s="11" t="s">
        <f t="shared" si="239"/>
      </c>
      <c r="M84" s="8" t="s">
        <f t="shared" si="240"/>
      </c>
      <c r="N84" s="11"/>
      <c r="O84" s="10">
        <f ref="O84:P84" t="shared" si="1540">A84</f>
        <v>0</v>
      </c>
      <c r="P84" s="11">
        <f t="shared" si="1540"/>
        <v>0</v>
      </c>
      <c r="Q84" s="11" t="s">
        <f t="shared" si="247"/>
      </c>
      <c r="R84" s="11">
        <f t="shared" si="241"/>
        <v>0</v>
      </c>
      <c r="S84" s="11">
        <f ref="S84:U84" t="shared" si="1541">E84</f>
        <v>0</v>
      </c>
      <c r="T84" s="11">
        <f t="shared" si="1541"/>
        <v>0</v>
      </c>
      <c r="U84" s="11">
        <f t="shared" si="1541"/>
        <v>0</v>
      </c>
      <c r="V84" s="11">
        <f t="shared" si="246"/>
      </c>
      <c r="W84" s="11" t="s">
        <f t="shared" si="245"/>
      </c>
      <c r="X84" s="11" t="s">
        <f t="shared" si="242"/>
      </c>
      <c r="Y84" s="11"/>
    </row>
    <row r="85" ht="12.50" customHeight="true">
      <c r="A85" s="10"/>
      <c r="B85" s="11"/>
      <c r="C85" s="11"/>
      <c r="D85" s="11"/>
      <c r="E85" s="11"/>
      <c r="F85" s="11"/>
      <c r="G85" s="11"/>
      <c r="H85" s="11"/>
      <c r="I85" s="11"/>
      <c r="J85" s="11"/>
      <c r="K85" s="11" t="s">
        <f>""</f>
      </c>
      <c r="L85" s="11" t="s">
        <f t="shared" si="239"/>
      </c>
      <c r="M85" s="8" t="s">
        <f t="shared" si="240"/>
      </c>
      <c r="N85" s="11"/>
      <c r="O85" s="10">
        <f ref="O85:P85" t="shared" si="440">A85</f>
        <v>0</v>
      </c>
      <c r="P85" s="11">
        <f t="shared" si="440"/>
        <v>0</v>
      </c>
      <c r="Q85" s="11" t="s">
        <f t="shared" si="247"/>
      </c>
      <c r="R85" s="11">
        <f t="shared" si="241"/>
        <v>0</v>
      </c>
      <c r="S85" s="11">
        <f ref="S85:U85" t="shared" si="441">E85</f>
        <v>0</v>
      </c>
      <c r="T85" s="11">
        <f t="shared" si="441"/>
        <v>0</v>
      </c>
      <c r="U85" s="11">
        <f t="shared" si="441"/>
        <v>0</v>
      </c>
      <c r="V85" s="11">
        <f t="shared" si="246"/>
      </c>
      <c r="W85" s="11" t="s">
        <f t="shared" si="245"/>
      </c>
      <c r="X85" s="11" t="s">
        <f t="shared" si="242"/>
      </c>
      <c r="Y85" s="11"/>
    </row>
    <row r="86" ht="12.50" customHeight="true">
      <c r="A86" s="10"/>
      <c r="B86" s="11"/>
      <c r="C86" s="11"/>
      <c r="D86" s="11"/>
      <c r="E86" s="11"/>
      <c r="F86" s="11"/>
      <c r="G86" s="11"/>
      <c r="H86" s="11"/>
      <c r="I86" s="11"/>
      <c r="J86" s="11"/>
      <c r="K86" s="11" t="s">
        <f>""</f>
      </c>
      <c r="L86" s="11" t="s">
        <f t="shared" si="239"/>
      </c>
      <c r="M86" s="8" t="s">
        <f t="shared" si="240"/>
      </c>
      <c r="N86" s="11"/>
      <c r="O86" s="10">
        <f ref="O86:P86" t="shared" si="613">A86</f>
        <v>0</v>
      </c>
      <c r="P86" s="11">
        <f t="shared" si="613"/>
        <v>0</v>
      </c>
      <c r="Q86" s="11" t="s">
        <f t="shared" si="247"/>
      </c>
      <c r="R86" s="11">
        <f t="shared" si="241"/>
        <v>0</v>
      </c>
      <c r="S86" s="11">
        <f ref="S86:U86" t="shared" si="612">E86</f>
        <v>0</v>
      </c>
      <c r="T86" s="11">
        <f t="shared" si="612"/>
        <v>0</v>
      </c>
      <c r="U86" s="11">
        <f t="shared" si="612"/>
        <v>0</v>
      </c>
      <c r="V86" s="11">
        <f t="shared" si="246"/>
      </c>
      <c r="W86" s="11" t="s">
        <f t="shared" si="245"/>
      </c>
      <c r="X86" s="11" t="s">
        <f t="shared" si="242"/>
      </c>
      <c r="Y86" s="11"/>
    </row>
    <row r="87" ht="12.50" customHeight="true">
      <c r="A87" s="10"/>
      <c r="B87" s="11"/>
      <c r="C87" s="11"/>
      <c r="D87" s="11"/>
      <c r="E87" s="11"/>
      <c r="F87" s="11"/>
      <c r="G87" s="11"/>
      <c r="H87" s="11"/>
      <c r="I87" s="11"/>
      <c r="J87" s="11"/>
      <c r="K87" s="11" t="s">
        <f>""</f>
      </c>
      <c r="L87" s="11" t="s">
        <f t="shared" si="239"/>
      </c>
      <c r="M87" s="8" t="s">
        <f t="shared" si="240"/>
      </c>
      <c r="N87" s="11"/>
      <c r="O87" s="10">
        <f ref="O87:P87" t="shared" si="1628">A87</f>
        <v>0</v>
      </c>
      <c r="P87" s="11">
        <f t="shared" si="1628"/>
        <v>0</v>
      </c>
      <c r="Q87" s="11" t="s">
        <f t="shared" si="247"/>
      </c>
      <c r="R87" s="11">
        <f t="shared" si="241"/>
        <v>0</v>
      </c>
      <c r="S87" s="11">
        <f ref="S87:U87" t="shared" si="1629">E87</f>
        <v>0</v>
      </c>
      <c r="T87" s="11">
        <f t="shared" si="1629"/>
        <v>0</v>
      </c>
      <c r="U87" s="11">
        <f t="shared" si="1629"/>
        <v>0</v>
      </c>
      <c r="V87" s="11">
        <f t="shared" si="246"/>
      </c>
      <c r="W87" s="11" t="s">
        <f t="shared" si="245"/>
      </c>
      <c r="X87" s="11" t="s">
        <f t="shared" si="242"/>
      </c>
      <c r="Y87" s="11"/>
    </row>
    <row r="88" ht="12.50" customHeight="true">
      <c r="A88" s="10"/>
      <c r="B88" s="11"/>
      <c r="C88" s="11"/>
      <c r="D88" s="11"/>
      <c r="E88" s="11"/>
      <c r="F88" s="11"/>
      <c r="G88" s="11"/>
      <c r="H88" s="11"/>
      <c r="I88" s="11"/>
      <c r="J88" s="11"/>
      <c r="K88" s="11" t="s">
        <f>""</f>
      </c>
      <c r="L88" s="11" t="s">
        <f t="shared" si="239"/>
      </c>
      <c r="M88" s="8" t="s">
        <f t="shared" si="240"/>
      </c>
      <c r="N88" s="11"/>
      <c r="O88" s="10">
        <f ref="O88:P88" t="shared" si="521">A88</f>
        <v>0</v>
      </c>
      <c r="P88" s="11">
        <f t="shared" si="521"/>
        <v>0</v>
      </c>
      <c r="Q88" s="11" t="s">
        <f t="shared" si="247"/>
      </c>
      <c r="R88" s="11">
        <f t="shared" si="241"/>
        <v>0</v>
      </c>
      <c r="S88" s="11">
        <f ref="S88:U88" t="shared" si="520">E88</f>
        <v>0</v>
      </c>
      <c r="T88" s="11">
        <f t="shared" si="520"/>
        <v>0</v>
      </c>
      <c r="U88" s="11">
        <f t="shared" si="520"/>
        <v>0</v>
      </c>
      <c r="V88" s="11">
        <f t="shared" si="246"/>
      </c>
      <c r="W88" s="11" t="s">
        <f t="shared" si="245"/>
      </c>
      <c r="X88" s="11" t="s">
        <f t="shared" si="242"/>
      </c>
      <c r="Y88" s="11"/>
    </row>
    <row r="89" ht="12.50" customHeight="true">
      <c r="A89" s="10"/>
      <c r="B89" s="11"/>
      <c r="C89" s="11"/>
      <c r="D89" s="11"/>
      <c r="E89" s="11"/>
      <c r="F89" s="11"/>
      <c r="G89" s="11"/>
      <c r="H89" s="11"/>
      <c r="I89" s="11"/>
      <c r="J89" s="11"/>
      <c r="K89" s="11" t="s">
        <f>""</f>
      </c>
      <c r="L89" s="11" t="s">
        <f t="shared" si="239"/>
      </c>
      <c r="M89" s="8" t="s">
        <f t="shared" si="240"/>
      </c>
      <c r="N89" s="11"/>
      <c r="O89" s="10">
        <f ref="O89:P89" t="shared" si="1823">A89</f>
        <v>0</v>
      </c>
      <c r="P89" s="11">
        <f t="shared" si="1823"/>
        <v>0</v>
      </c>
      <c r="Q89" s="11" t="s">
        <f t="shared" si="247"/>
      </c>
      <c r="R89" s="11">
        <f t="shared" si="241"/>
        <v>0</v>
      </c>
      <c r="S89" s="11">
        <f ref="S89:U89" t="shared" si="1822">E89</f>
        <v>0</v>
      </c>
      <c r="T89" s="11">
        <f t="shared" si="1822"/>
        <v>0</v>
      </c>
      <c r="U89" s="11">
        <f t="shared" si="1822"/>
        <v>0</v>
      </c>
      <c r="V89" s="11">
        <f t="shared" si="246"/>
      </c>
      <c r="W89" s="11" t="s">
        <f t="shared" si="245"/>
      </c>
      <c r="X89" s="11" t="s">
        <f t="shared" si="242"/>
      </c>
      <c r="Y89" s="11"/>
    </row>
    <row r="90" ht="12.50" customHeight="true">
      <c r="A90" s="10"/>
      <c r="B90" s="11"/>
      <c r="C90" s="11"/>
      <c r="D90" s="11"/>
      <c r="E90" s="11"/>
      <c r="F90" s="11"/>
      <c r="G90" s="11"/>
      <c r="H90" s="11"/>
      <c r="I90" s="11"/>
      <c r="J90" s="11"/>
      <c r="K90" s="11" t="s">
        <f>""</f>
      </c>
      <c r="L90" s="11" t="s">
        <f t="shared" si="239"/>
      </c>
      <c r="M90" s="8" t="s">
        <f t="shared" si="240"/>
      </c>
      <c r="N90" s="11"/>
      <c r="O90" s="10">
        <f ref="O90:P90" t="shared" si="102">A90</f>
        <v>0</v>
      </c>
      <c r="P90" s="11">
        <f t="shared" si="102"/>
        <v>0</v>
      </c>
      <c r="Q90" s="11" t="s">
        <f t="shared" si="247"/>
      </c>
      <c r="R90" s="11">
        <f t="shared" si="241"/>
        <v>0</v>
      </c>
      <c r="S90" s="11">
        <f ref="S90:U90" t="shared" si="103">E90</f>
        <v>0</v>
      </c>
      <c r="T90" s="11">
        <f t="shared" si="103"/>
        <v>0</v>
      </c>
      <c r="U90" s="11">
        <f t="shared" si="103"/>
        <v>0</v>
      </c>
      <c r="V90" s="11">
        <f t="shared" si="246"/>
      </c>
      <c r="W90" s="11" t="s">
        <f t="shared" si="245"/>
      </c>
      <c r="X90" s="11" t="s">
        <f t="shared" si="242"/>
      </c>
      <c r="Y90" s="11"/>
    </row>
    <row r="91" ht="12.50" customHeight="true">
      <c r="A91" s="10"/>
      <c r="B91" s="11"/>
      <c r="C91" s="11"/>
      <c r="D91" s="11"/>
      <c r="E91" s="11"/>
      <c r="F91" s="11"/>
      <c r="G91" s="11"/>
      <c r="H91" s="11"/>
      <c r="I91" s="11"/>
      <c r="J91" s="11"/>
      <c r="K91" s="11" t="s">
        <f>""</f>
      </c>
      <c r="L91" s="11" t="s">
        <f t="shared" si="239"/>
      </c>
      <c r="M91" s="8" t="s">
        <f t="shared" si="240"/>
      </c>
      <c r="N91" s="11"/>
      <c r="O91" s="10">
        <f ref="O91:P91" t="shared" si="686">A91</f>
        <v>0</v>
      </c>
      <c r="P91" s="11">
        <f t="shared" si="686"/>
        <v>0</v>
      </c>
      <c r="Q91" s="11" t="s">
        <f t="shared" si="247"/>
      </c>
      <c r="R91" s="11">
        <f t="shared" si="241"/>
        <v>0</v>
      </c>
      <c r="S91" s="11">
        <f ref="S91:U91" t="shared" si="687">E91</f>
        <v>0</v>
      </c>
      <c r="T91" s="11">
        <f t="shared" si="687"/>
        <v>0</v>
      </c>
      <c r="U91" s="11">
        <f t="shared" si="687"/>
        <v>0</v>
      </c>
      <c r="V91" s="11">
        <f t="shared" si="246"/>
      </c>
      <c r="W91" s="11" t="s">
        <f t="shared" si="245"/>
      </c>
      <c r="X91" s="11" t="s">
        <f t="shared" si="242"/>
      </c>
      <c r="Y91" s="11"/>
    </row>
    <row r="92" ht="12.50" customHeight="true">
      <c r="A92" s="10"/>
      <c r="B92" s="11"/>
      <c r="C92" s="11"/>
      <c r="D92" s="11"/>
      <c r="E92" s="11"/>
      <c r="F92" s="11"/>
      <c r="G92" s="11"/>
      <c r="H92" s="11"/>
      <c r="I92" s="11"/>
      <c r="J92" s="11"/>
      <c r="K92" s="11" t="s">
        <f>""</f>
      </c>
      <c r="L92" s="11" t="s">
        <f t="shared" si="239"/>
      </c>
      <c r="M92" s="8" t="s">
        <f t="shared" si="240"/>
      </c>
      <c r="N92" s="11"/>
      <c r="O92" s="10">
        <f ref="O92:P92" t="shared" si="314">A92</f>
        <v>0</v>
      </c>
      <c r="P92" s="11">
        <f t="shared" si="314"/>
        <v>0</v>
      </c>
      <c r="Q92" s="11" t="s">
        <f t="shared" si="247"/>
      </c>
      <c r="R92" s="11">
        <f t="shared" si="241"/>
        <v>0</v>
      </c>
      <c r="S92" s="11">
        <f ref="S92:U92" t="shared" si="315">E92</f>
        <v>0</v>
      </c>
      <c r="T92" s="11">
        <f t="shared" si="315"/>
        <v>0</v>
      </c>
      <c r="U92" s="11">
        <f t="shared" si="315"/>
        <v>0</v>
      </c>
      <c r="V92" s="11">
        <f t="shared" si="246"/>
      </c>
      <c r="W92" s="11" t="s">
        <f t="shared" si="245"/>
      </c>
      <c r="X92" s="11" t="s">
        <f t="shared" si="242"/>
      </c>
    </row>
    <row r="93" ht="12.50" customHeight="true">
      <c r="A93" s="10"/>
      <c r="B93" s="11"/>
      <c r="C93" s="11"/>
      <c r="D93" s="11"/>
      <c r="E93" s="11"/>
      <c r="F93" s="11"/>
      <c r="G93" s="11"/>
      <c r="H93" s="11"/>
      <c r="I93" s="11"/>
      <c r="J93" s="11"/>
      <c r="K93" s="11" t="s">
        <f>""</f>
      </c>
      <c r="L93" s="11" t="s">
        <f t="shared" si="239"/>
      </c>
      <c r="M93" s="8" t="s">
        <f t="shared" si="240"/>
      </c>
      <c r="N93" s="11"/>
      <c r="O93" s="10">
        <f ref="O93:P93" t="shared" si="820">A93</f>
        <v>0</v>
      </c>
      <c r="P93" s="11">
        <f t="shared" si="820"/>
        <v>0</v>
      </c>
      <c r="Q93" s="11" t="s">
        <f t="shared" si="247"/>
      </c>
      <c r="R93" s="11">
        <f t="shared" si="241"/>
        <v>0</v>
      </c>
      <c r="S93" s="11">
        <f ref="S93:U93" t="shared" si="821">E93</f>
        <v>0</v>
      </c>
      <c r="T93" s="11">
        <f t="shared" si="821"/>
        <v>0</v>
      </c>
      <c r="U93" s="11">
        <f t="shared" si="821"/>
        <v>0</v>
      </c>
      <c r="V93" s="11">
        <f t="shared" si="246"/>
      </c>
      <c r="W93" s="11" t="s">
        <f t="shared" si="245"/>
      </c>
      <c r="X93" s="11" t="s">
        <f t="shared" si="242"/>
      </c>
    </row>
    <row r="94" ht="12.50" customHeight="true">
      <c r="A94" s="10"/>
      <c r="B94" s="11"/>
      <c r="C94" s="11"/>
      <c r="D94" s="11"/>
      <c r="E94" s="11"/>
      <c r="F94" s="11"/>
      <c r="G94" s="11"/>
      <c r="H94" s="11"/>
      <c r="I94" s="11"/>
      <c r="J94" s="11"/>
      <c r="K94" s="11" t="s">
        <f>""</f>
      </c>
      <c r="L94" s="11" t="s">
        <f t="shared" si="239"/>
      </c>
      <c r="M94" s="8" t="s">
        <f t="shared" si="240"/>
      </c>
      <c r="N94" s="11"/>
      <c r="O94" s="10">
        <f ref="O94:P94" t="shared" si="1740">A94</f>
        <v>0</v>
      </c>
      <c r="P94" s="11">
        <f t="shared" si="1740"/>
        <v>0</v>
      </c>
      <c r="Q94" s="11" t="s">
        <f t="shared" si="247"/>
      </c>
      <c r="R94" s="11">
        <f t="shared" si="241"/>
        <v>0</v>
      </c>
      <c r="S94" s="11">
        <f ref="S94:U94" t="shared" si="1741">E94</f>
        <v>0</v>
      </c>
      <c r="T94" s="11">
        <f t="shared" si="1741"/>
        <v>0</v>
      </c>
      <c r="U94" s="11">
        <f t="shared" si="1741"/>
        <v>0</v>
      </c>
      <c r="V94" s="11">
        <f t="shared" si="246"/>
      </c>
      <c r="W94" s="11" t="s">
        <f t="shared" si="245"/>
      </c>
      <c r="X94" s="11" t="s">
        <f t="shared" si="242"/>
      </c>
    </row>
    <row r="95" ht="12.50" customHeight="true">
      <c r="A95" s="10"/>
      <c r="B95" s="11"/>
      <c r="C95" s="11"/>
      <c r="D95" s="11"/>
      <c r="E95" s="11"/>
      <c r="F95" s="11"/>
      <c r="G95" s="11"/>
      <c r="H95" s="11"/>
      <c r="I95" s="11"/>
      <c r="J95" s="11"/>
      <c r="K95" s="11" t="s">
        <f>""</f>
      </c>
      <c r="L95" s="11" t="s">
        <f t="shared" si="239"/>
      </c>
      <c r="M95" s="8" t="s">
        <f t="shared" si="240"/>
      </c>
      <c r="N95" s="11"/>
      <c r="O95" s="10">
        <f ref="O95:P95" t="shared" si="851">A95</f>
        <v>0</v>
      </c>
      <c r="P95" s="11">
        <f t="shared" si="851"/>
        <v>0</v>
      </c>
      <c r="Q95" s="11" t="s">
        <f t="shared" si="247"/>
      </c>
      <c r="R95" s="11">
        <f t="shared" si="241"/>
        <v>0</v>
      </c>
      <c r="S95" s="11">
        <f ref="S95:U95" t="shared" si="850">E95</f>
        <v>0</v>
      </c>
      <c r="T95" s="11">
        <f t="shared" si="850"/>
        <v>0</v>
      </c>
      <c r="U95" s="11">
        <f t="shared" si="850"/>
        <v>0</v>
      </c>
      <c r="V95" s="11">
        <f t="shared" si="246"/>
      </c>
      <c r="W95" s="11" t="s">
        <f t="shared" si="245"/>
      </c>
      <c r="X95" s="11" t="s">
        <f t="shared" si="242"/>
      </c>
    </row>
    <row r="96" ht="12.50" customHeight="true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 t="s">
        <f>""</f>
      </c>
      <c r="L96" s="11" t="s">
        <f t="shared" si="239"/>
      </c>
      <c r="M96" s="8" t="s">
        <f t="shared" si="240"/>
      </c>
      <c r="N96" s="11"/>
      <c r="O96" s="10">
        <f ref="O96:P96" t="shared" si="374">A96</f>
        <v>0</v>
      </c>
      <c r="P96" s="11">
        <f t="shared" si="374"/>
        <v>0</v>
      </c>
      <c r="Q96" s="11" t="s">
        <f t="shared" si="247"/>
      </c>
      <c r="R96" s="11">
        <f t="shared" si="241"/>
        <v>0</v>
      </c>
      <c r="S96" s="11">
        <f ref="S96:U96" t="shared" si="375">E96</f>
        <v>0</v>
      </c>
      <c r="T96" s="11">
        <f t="shared" si="375"/>
        <v>0</v>
      </c>
      <c r="U96" s="11">
        <f t="shared" si="375"/>
        <v>0</v>
      </c>
      <c r="V96" s="11">
        <f t="shared" si="246"/>
      </c>
      <c r="W96" s="11" t="s">
        <f t="shared" si="245"/>
      </c>
      <c r="X96" s="11" t="s">
        <f t="shared" si="242"/>
      </c>
    </row>
    <row r="97" ht="12.50" customHeight="true">
      <c r="A97" s="10"/>
      <c r="B97" s="11"/>
      <c r="C97" s="11"/>
      <c r="D97" s="11"/>
      <c r="E97" s="11"/>
      <c r="F97" s="11"/>
      <c r="G97" s="11"/>
      <c r="H97" s="11"/>
      <c r="I97" s="11"/>
      <c r="J97" s="11"/>
      <c r="K97" s="11" t="s">
        <f>""</f>
      </c>
      <c r="L97" s="11" t="s">
        <f t="shared" si="239"/>
      </c>
      <c r="M97" s="8" t="s">
        <f t="shared" si="240"/>
      </c>
      <c r="N97" s="11"/>
      <c r="O97" s="10">
        <f ref="O97:P97" t="shared" si="137">A97</f>
        <v>0</v>
      </c>
      <c r="P97" s="11">
        <f t="shared" si="137"/>
        <v>0</v>
      </c>
      <c r="Q97" s="11" t="s">
        <f t="shared" si="247"/>
      </c>
      <c r="R97" s="11">
        <f t="shared" si="241"/>
        <v>0</v>
      </c>
      <c r="S97" s="11">
        <f ref="S97:U97" t="shared" si="136">E97</f>
        <v>0</v>
      </c>
      <c r="T97" s="11">
        <f t="shared" si="136"/>
        <v>0</v>
      </c>
      <c r="U97" s="11">
        <f t="shared" si="136"/>
        <v>0</v>
      </c>
      <c r="V97" s="11">
        <f t="shared" si="246"/>
      </c>
      <c r="W97" s="11" t="s">
        <f t="shared" si="245"/>
      </c>
      <c r="X97" s="11" t="s">
        <f t="shared" si="242"/>
      </c>
    </row>
    <row r="98" ht="12.50" customHeight="true">
      <c r="A98" s="10"/>
      <c r="B98" s="11"/>
      <c r="C98" s="11"/>
      <c r="D98" s="11"/>
      <c r="E98" s="11"/>
      <c r="F98" s="11"/>
      <c r="G98" s="11"/>
      <c r="H98" s="11"/>
      <c r="I98" s="11"/>
      <c r="J98" s="11"/>
      <c r="K98" s="11" t="s">
        <f>""</f>
      </c>
      <c r="L98" s="11" t="s">
        <f t="shared" si="239"/>
      </c>
      <c r="M98" s="8" t="s">
        <f t="shared" si="240"/>
      </c>
      <c r="N98" s="11"/>
      <c r="O98" s="10">
        <f ref="O98:P98" t="shared" si="535">A98</f>
        <v>0</v>
      </c>
      <c r="P98" s="11">
        <f t="shared" si="535"/>
        <v>0</v>
      </c>
      <c r="Q98" s="11" t="s">
        <f t="shared" si="247"/>
      </c>
      <c r="R98" s="11">
        <f t="shared" si="241"/>
        <v>0</v>
      </c>
      <c r="S98" s="11">
        <f ref="S98:U98" t="shared" si="534">E98</f>
        <v>0</v>
      </c>
      <c r="T98" s="11">
        <f t="shared" si="534"/>
        <v>0</v>
      </c>
      <c r="U98" s="11">
        <f t="shared" si="534"/>
        <v>0</v>
      </c>
      <c r="V98" s="11">
        <f t="shared" si="246"/>
      </c>
      <c r="W98" s="11" t="s">
        <f t="shared" si="245"/>
      </c>
      <c r="X98" s="11" t="s">
        <f t="shared" si="242"/>
      </c>
    </row>
    <row r="99" ht="12.50" customHeight="true">
      <c r="A99" s="10"/>
      <c r="B99" s="11"/>
      <c r="C99" s="11"/>
      <c r="D99" s="11"/>
      <c r="E99" s="11"/>
      <c r="F99" s="11"/>
      <c r="G99" s="11"/>
      <c r="H99" s="11"/>
      <c r="I99" s="11"/>
      <c r="J99" s="11"/>
      <c r="K99" s="11" t="s">
        <f>""</f>
      </c>
      <c r="L99" s="11" t="s">
        <f t="shared" si="239"/>
      </c>
      <c r="M99" s="8" t="s">
        <f t="shared" si="240"/>
      </c>
      <c r="N99" s="11"/>
      <c r="O99" s="10">
        <f ref="O99:P99" t="shared" si="511">A99</f>
        <v>0</v>
      </c>
      <c r="P99" s="11">
        <f t="shared" si="511"/>
        <v>0</v>
      </c>
      <c r="Q99" s="11" t="s">
        <f t="shared" si="247"/>
      </c>
      <c r="R99" s="11">
        <f t="shared" si="241"/>
        <v>0</v>
      </c>
      <c r="S99" s="11">
        <f ref="S99:U99" t="shared" si="510">E99</f>
        <v>0</v>
      </c>
      <c r="T99" s="11">
        <f t="shared" si="510"/>
        <v>0</v>
      </c>
      <c r="U99" s="11">
        <f t="shared" si="510"/>
        <v>0</v>
      </c>
      <c r="V99" s="11">
        <f t="shared" si="246"/>
      </c>
      <c r="W99" s="11" t="s">
        <f t="shared" si="245"/>
      </c>
      <c r="X99" s="11" t="s">
        <f t="shared" si="242"/>
      </c>
    </row>
    <row r="100" ht="12.50" customHeight="true">
      <c r="A100" s="10"/>
      <c r="B100" s="11"/>
      <c r="C100" s="11"/>
      <c r="D100" s="11"/>
      <c r="E100" s="11"/>
      <c r="F100" s="11"/>
      <c r="G100" s="11"/>
      <c r="H100" s="11"/>
      <c r="I100" s="11"/>
      <c r="J100" s="11"/>
      <c r="K100" s="11" t="s">
        <f>""</f>
      </c>
      <c r="L100" s="11" t="s">
        <f t="shared" si="239"/>
      </c>
      <c r="M100" s="8" t="s">
        <f t="shared" si="240"/>
      </c>
      <c r="N100" s="11"/>
      <c r="O100" s="10">
        <f ref="O100:P100" t="shared" si="935">A100</f>
        <v>0</v>
      </c>
      <c r="P100" s="11">
        <f t="shared" si="935"/>
        <v>0</v>
      </c>
      <c r="Q100" s="11" t="s">
        <f t="shared" si="247"/>
      </c>
      <c r="R100" s="11">
        <f t="shared" si="241"/>
        <v>0</v>
      </c>
      <c r="S100" s="11">
        <f ref="S100:U100" t="shared" si="934">E100</f>
        <v>0</v>
      </c>
      <c r="T100" s="11">
        <f t="shared" si="934"/>
        <v>0</v>
      </c>
      <c r="U100" s="11">
        <f t="shared" si="934"/>
        <v>0</v>
      </c>
      <c r="V100" s="11">
        <f t="shared" si="246"/>
      </c>
      <c r="W100" s="11" t="s">
        <f t="shared" si="245"/>
      </c>
      <c r="X100" s="11" t="s">
        <f t="shared" si="242"/>
      </c>
    </row>
    <row r="101" ht="12.50" customHeight="true">
      <c r="A101" s="10"/>
      <c r="B101" s="11"/>
      <c r="C101" s="11"/>
      <c r="D101" s="11"/>
      <c r="E101" s="11"/>
      <c r="F101" s="11"/>
      <c r="G101" s="11"/>
      <c r="H101" s="11"/>
      <c r="I101" s="11"/>
      <c r="J101" s="11"/>
      <c r="K101" s="11" t="s">
        <f>""</f>
      </c>
      <c r="L101" s="11" t="s">
        <f t="shared" si="239"/>
      </c>
      <c r="M101" s="8" t="s">
        <f t="shared" si="240"/>
      </c>
      <c r="N101" s="11"/>
      <c r="O101" s="10">
        <f ref="O101:P101" t="shared" si="1408">A101</f>
        <v>0</v>
      </c>
      <c r="P101" s="11">
        <f t="shared" si="1408"/>
        <v>0</v>
      </c>
      <c r="Q101" s="11" t="s">
        <f t="shared" si="247"/>
      </c>
      <c r="R101" s="11">
        <f t="shared" si="241"/>
        <v>0</v>
      </c>
      <c r="S101" s="11">
        <f ref="S101:U101" t="shared" si="1409">E101</f>
        <v>0</v>
      </c>
      <c r="T101" s="11">
        <f t="shared" si="1409"/>
        <v>0</v>
      </c>
      <c r="U101" s="11">
        <f t="shared" si="1409"/>
        <v>0</v>
      </c>
      <c r="V101" s="11">
        <f t="shared" si="246"/>
      </c>
      <c r="W101" s="11" t="s">
        <f t="shared" si="245"/>
      </c>
      <c r="X101" s="11" t="s">
        <f t="shared" si="242"/>
      </c>
    </row>
    <row r="102" ht="12.50" customHeight="true">
      <c r="A102" s="10"/>
      <c r="B102" s="11"/>
      <c r="C102" s="11"/>
      <c r="D102" s="11"/>
      <c r="E102" s="11"/>
      <c r="F102" s="11"/>
      <c r="G102" s="11"/>
      <c r="H102" s="11"/>
      <c r="I102" s="11"/>
      <c r="J102" s="11"/>
      <c r="K102" s="11" t="s">
        <f>""</f>
      </c>
      <c r="L102" s="11" t="s">
        <f t="shared" si="239"/>
      </c>
      <c r="M102" s="8" t="s">
        <f t="shared" si="240"/>
      </c>
      <c r="N102" s="11"/>
      <c r="O102" s="10">
        <f ref="O102:P102" t="shared" si="87">A102</f>
        <v>0</v>
      </c>
      <c r="P102" s="11">
        <f t="shared" si="87"/>
        <v>0</v>
      </c>
      <c r="Q102" s="11" t="s">
        <f t="shared" si="247"/>
      </c>
      <c r="R102" s="11">
        <f t="shared" si="241"/>
        <v>0</v>
      </c>
      <c r="S102" s="11">
        <f ref="S102:U102" t="shared" si="86">E102</f>
        <v>0</v>
      </c>
      <c r="T102" s="11">
        <f t="shared" si="86"/>
        <v>0</v>
      </c>
      <c r="U102" s="11">
        <f t="shared" si="86"/>
        <v>0</v>
      </c>
      <c r="V102" s="11">
        <f t="shared" si="246"/>
      </c>
      <c r="W102" s="11" t="s">
        <f t="shared" si="245"/>
      </c>
      <c r="X102" s="11" t="s">
        <f t="shared" si="242"/>
      </c>
    </row>
    <row r="103" ht="12.50" customHeight="true">
      <c r="A103" s="10"/>
      <c r="B103" s="11"/>
      <c r="C103" s="11"/>
      <c r="D103" s="11"/>
      <c r="E103" s="11"/>
      <c r="F103" s="11"/>
      <c r="G103" s="11"/>
      <c r="H103" s="11"/>
      <c r="I103" s="11"/>
      <c r="J103" s="11"/>
      <c r="K103" s="11" t="s">
        <f>""</f>
      </c>
      <c r="L103" s="11" t="s">
        <f t="shared" si="239"/>
      </c>
      <c r="M103" s="8" t="s">
        <f t="shared" si="240"/>
      </c>
      <c r="N103" s="11"/>
      <c r="O103" s="10">
        <f ref="O103:P103" t="shared" si="1884">A103</f>
        <v>0</v>
      </c>
      <c r="P103" s="11">
        <f t="shared" si="1884"/>
        <v>0</v>
      </c>
      <c r="Q103" s="11" t="s">
        <f t="shared" si="247"/>
      </c>
      <c r="R103" s="11">
        <f t="shared" si="241"/>
        <v>0</v>
      </c>
      <c r="S103" s="11">
        <f ref="S103:U103" t="shared" si="1885">E103</f>
        <v>0</v>
      </c>
      <c r="T103" s="11">
        <f t="shared" si="1885"/>
        <v>0</v>
      </c>
      <c r="U103" s="11">
        <f t="shared" si="1885"/>
        <v>0</v>
      </c>
      <c r="V103" s="11">
        <f t="shared" si="246"/>
      </c>
      <c r="W103" s="11" t="s">
        <f t="shared" si="245"/>
      </c>
      <c r="X103" s="11" t="s">
        <f t="shared" si="242"/>
      </c>
    </row>
    <row r="104" ht="12.50" customHeight="true">
      <c r="A104" s="10"/>
      <c r="B104" s="11"/>
      <c r="C104" s="11"/>
      <c r="D104" s="11"/>
      <c r="E104" s="11"/>
      <c r="F104" s="11"/>
      <c r="G104" s="11"/>
      <c r="H104" s="11"/>
      <c r="I104" s="11"/>
      <c r="J104" s="11"/>
      <c r="K104" s="11" t="s">
        <f>""</f>
      </c>
      <c r="L104" s="11" t="s">
        <f t="shared" si="239"/>
      </c>
      <c r="M104" s="8" t="s">
        <f t="shared" si="240"/>
      </c>
      <c r="N104" s="11"/>
      <c r="O104" s="10">
        <f ref="O104:P104" t="shared" si="1603">A104</f>
        <v>0</v>
      </c>
      <c r="P104" s="11">
        <f t="shared" si="1603"/>
        <v>0</v>
      </c>
      <c r="Q104" s="11" t="s">
        <f t="shared" si="247"/>
      </c>
      <c r="R104" s="11">
        <f t="shared" si="241"/>
        <v>0</v>
      </c>
      <c r="S104" s="11">
        <f ref="S104:U104" t="shared" si="1602">E104</f>
        <v>0</v>
      </c>
      <c r="T104" s="11">
        <f t="shared" si="1602"/>
        <v>0</v>
      </c>
      <c r="U104" s="11">
        <f t="shared" si="1602"/>
        <v>0</v>
      </c>
      <c r="V104" s="11">
        <f t="shared" si="246"/>
      </c>
      <c r="W104" s="11" t="s">
        <f t="shared" si="245"/>
      </c>
      <c r="X104" s="11" t="s">
        <f t="shared" si="242"/>
      </c>
    </row>
    <row r="105" ht="12.50" customHeight="true">
      <c r="A105" s="10"/>
      <c r="B105" s="11"/>
      <c r="C105" s="11"/>
      <c r="D105" s="11"/>
      <c r="E105" s="11"/>
      <c r="F105" s="11"/>
      <c r="G105" s="11"/>
      <c r="H105" s="11"/>
      <c r="I105" s="11"/>
      <c r="J105" s="11"/>
      <c r="K105" s="11" t="s">
        <f>""</f>
      </c>
      <c r="L105" s="11" t="s">
        <f t="shared" si="239"/>
      </c>
      <c r="M105" s="8" t="s">
        <f t="shared" si="240"/>
      </c>
      <c r="N105" s="11"/>
      <c r="O105" s="10">
        <f ref="O105:P105" t="shared" si="1920">A105</f>
        <v>0</v>
      </c>
      <c r="P105" s="11">
        <f t="shared" si="1920"/>
        <v>0</v>
      </c>
      <c r="Q105" s="11" t="s">
        <f t="shared" si="247"/>
      </c>
      <c r="R105" s="11">
        <f t="shared" si="241"/>
        <v>0</v>
      </c>
      <c r="S105" s="11">
        <f ref="S105:U105" t="shared" si="1921">E105</f>
        <v>0</v>
      </c>
      <c r="T105" s="11">
        <f t="shared" si="1921"/>
        <v>0</v>
      </c>
      <c r="U105" s="11">
        <f t="shared" si="1921"/>
        <v>0</v>
      </c>
      <c r="V105" s="11">
        <f t="shared" si="246"/>
      </c>
      <c r="W105" s="11" t="s">
        <f t="shared" si="245"/>
      </c>
      <c r="X105" s="11" t="s">
        <f t="shared" si="242"/>
      </c>
    </row>
    <row r="106" ht="12.50" customHeight="true">
      <c r="A106" s="10"/>
      <c r="B106" s="11"/>
      <c r="C106" s="11"/>
      <c r="D106" s="11"/>
      <c r="E106" s="11"/>
      <c r="F106" s="11"/>
      <c r="G106" s="11"/>
      <c r="H106" s="11"/>
      <c r="I106" s="11"/>
      <c r="J106" s="11"/>
      <c r="K106" s="11" t="s">
        <f>""</f>
      </c>
      <c r="L106" s="11" t="s">
        <f t="shared" si="239"/>
      </c>
      <c r="M106" s="8" t="s">
        <f t="shared" si="240"/>
      </c>
      <c r="N106" s="11"/>
      <c r="O106" s="10">
        <f ref="O106:P106" t="shared" si="1183">A106</f>
        <v>0</v>
      </c>
      <c r="P106" s="11">
        <f t="shared" si="1183"/>
        <v>0</v>
      </c>
      <c r="Q106" s="11" t="s">
        <f t="shared" si="247"/>
      </c>
      <c r="R106" s="11">
        <f t="shared" si="241"/>
        <v>0</v>
      </c>
      <c r="S106" s="11">
        <f ref="S106:U106" t="shared" si="1184">E106</f>
        <v>0</v>
      </c>
      <c r="T106" s="11">
        <f t="shared" si="1184"/>
        <v>0</v>
      </c>
      <c r="U106" s="11">
        <f t="shared" si="1184"/>
        <v>0</v>
      </c>
      <c r="V106" s="11">
        <f t="shared" si="246"/>
      </c>
      <c r="W106" s="11" t="s">
        <f t="shared" si="245"/>
      </c>
      <c r="X106" s="11" t="s">
        <f t="shared" si="242"/>
      </c>
    </row>
    <row r="107" ht="12.50" customHeight="true">
      <c r="A107" s="10"/>
      <c r="B107" s="11"/>
      <c r="C107" s="11"/>
      <c r="D107" s="11"/>
      <c r="E107" s="11"/>
      <c r="F107" s="11"/>
      <c r="G107" s="11"/>
      <c r="H107" s="11"/>
      <c r="I107" s="11"/>
      <c r="J107" s="11"/>
      <c r="K107" s="11" t="s">
        <f>""</f>
      </c>
      <c r="L107" s="11" t="s">
        <f t="shared" si="239"/>
      </c>
      <c r="M107" s="8" t="s">
        <f t="shared" si="240"/>
      </c>
      <c r="N107" s="11"/>
      <c r="O107" s="10">
        <f ref="O107:P107" t="shared" si="1545">A107</f>
        <v>0</v>
      </c>
      <c r="P107" s="11">
        <f t="shared" si="1545"/>
        <v>0</v>
      </c>
      <c r="Q107" s="11" t="s">
        <f t="shared" si="247"/>
      </c>
      <c r="R107" s="11">
        <f t="shared" si="241"/>
        <v>0</v>
      </c>
      <c r="S107" s="11">
        <f ref="S107:U107" t="shared" si="1544">E107</f>
        <v>0</v>
      </c>
      <c r="T107" s="11">
        <f t="shared" si="1544"/>
        <v>0</v>
      </c>
      <c r="U107" s="11">
        <f t="shared" si="1544"/>
        <v>0</v>
      </c>
      <c r="V107" s="11">
        <f t="shared" si="246"/>
      </c>
      <c r="W107" s="11" t="s">
        <f t="shared" si="245"/>
      </c>
      <c r="X107" s="11" t="s">
        <f t="shared" si="242"/>
      </c>
    </row>
    <row r="108" ht="12.50" customHeight="true">
      <c r="A108" s="10"/>
      <c r="B108" s="11"/>
      <c r="C108" s="11"/>
      <c r="D108" s="11"/>
      <c r="E108" s="11"/>
      <c r="F108" s="11"/>
      <c r="G108" s="11"/>
      <c r="H108" s="11"/>
      <c r="I108" s="11"/>
      <c r="J108" s="11"/>
      <c r="K108" s="11" t="s">
        <f>""</f>
      </c>
      <c r="L108" s="11" t="s">
        <f t="shared" si="239"/>
      </c>
      <c r="M108" s="8" t="s">
        <f t="shared" si="240"/>
      </c>
      <c r="N108" s="11"/>
      <c r="O108" s="10">
        <f ref="O108:P108" t="shared" si="1311">A108</f>
        <v>0</v>
      </c>
      <c r="P108" s="11">
        <f t="shared" si="1311"/>
        <v>0</v>
      </c>
      <c r="Q108" s="11" t="s">
        <f t="shared" si="247"/>
      </c>
      <c r="R108" s="11">
        <f t="shared" si="241"/>
        <v>0</v>
      </c>
      <c r="S108" s="11">
        <f ref="S108:U108" t="shared" si="1310">E108</f>
        <v>0</v>
      </c>
      <c r="T108" s="11">
        <f t="shared" si="1310"/>
        <v>0</v>
      </c>
      <c r="U108" s="11">
        <f t="shared" si="1310"/>
        <v>0</v>
      </c>
      <c r="V108" s="11">
        <f t="shared" si="246"/>
      </c>
      <c r="W108" s="11" t="s">
        <f t="shared" si="245"/>
      </c>
      <c r="X108" s="11" t="s">
        <f t="shared" si="242"/>
      </c>
    </row>
    <row r="109" ht="12.50" customHeight="true">
      <c r="A109" s="10"/>
      <c r="B109" s="11"/>
      <c r="C109" s="11"/>
      <c r="D109" s="11"/>
      <c r="E109" s="11"/>
      <c r="F109" s="11"/>
      <c r="G109" s="11"/>
      <c r="H109" s="11"/>
      <c r="I109" s="11"/>
      <c r="J109" s="11"/>
      <c r="K109" s="11" t="s">
        <f>""</f>
      </c>
      <c r="L109" s="11" t="s">
        <f t="shared" si="239"/>
      </c>
      <c r="M109" s="8" t="s">
        <f t="shared" si="240"/>
      </c>
      <c r="N109" s="11"/>
      <c r="O109" s="10">
        <f ref="O109:P109" t="shared" si="860">A109</f>
        <v>0</v>
      </c>
      <c r="P109" s="11">
        <f t="shared" si="860"/>
        <v>0</v>
      </c>
      <c r="Q109" s="11" t="s">
        <f t="shared" si="247"/>
      </c>
      <c r="R109" s="11">
        <f t="shared" si="241"/>
        <v>0</v>
      </c>
      <c r="S109" s="11">
        <f ref="S109:U109" t="shared" si="861">E109</f>
        <v>0</v>
      </c>
      <c r="T109" s="11">
        <f t="shared" si="861"/>
        <v>0</v>
      </c>
      <c r="U109" s="11">
        <f t="shared" si="861"/>
        <v>0</v>
      </c>
      <c r="V109" s="11">
        <f t="shared" si="246"/>
      </c>
      <c r="W109" s="11" t="s">
        <f t="shared" si="245"/>
      </c>
      <c r="X109" s="11" t="s">
        <f t="shared" si="242"/>
      </c>
    </row>
    <row r="110" ht="12.50" customHeight="true">
      <c r="A110" s="10"/>
      <c r="B110" s="11"/>
      <c r="C110" s="11"/>
      <c r="D110" s="11"/>
      <c r="E110" s="11"/>
      <c r="F110" s="11"/>
      <c r="G110" s="11"/>
      <c r="H110" s="11"/>
      <c r="I110" s="11"/>
      <c r="J110" s="11"/>
      <c r="K110" s="11" t="s">
        <f>""</f>
      </c>
      <c r="L110" s="11" t="s">
        <f t="shared" si="239"/>
      </c>
      <c r="M110" s="8" t="s">
        <f t="shared" si="240"/>
      </c>
      <c r="N110" s="11"/>
      <c r="O110" s="10">
        <f ref="O110:P110" t="shared" si="696">A110</f>
        <v>0</v>
      </c>
      <c r="P110" s="11">
        <f t="shared" si="696"/>
        <v>0</v>
      </c>
      <c r="Q110" s="11" t="s">
        <f t="shared" si="247"/>
      </c>
      <c r="R110" s="11">
        <f t="shared" si="241"/>
        <v>0</v>
      </c>
      <c r="S110" s="11">
        <f ref="S110:U110" t="shared" si="697">E110</f>
        <v>0</v>
      </c>
      <c r="T110" s="11">
        <f t="shared" si="697"/>
        <v>0</v>
      </c>
      <c r="U110" s="11">
        <f t="shared" si="697"/>
        <v>0</v>
      </c>
      <c r="V110" s="11">
        <f t="shared" si="246"/>
      </c>
      <c r="W110" s="11" t="s">
        <f t="shared" si="245"/>
      </c>
      <c r="X110" s="11" t="s">
        <f t="shared" si="242"/>
      </c>
    </row>
    <row r="111" ht="12.50" customHeight="true">
      <c r="A111" s="10"/>
      <c r="B111" s="11"/>
      <c r="C111" s="11"/>
      <c r="D111" s="11"/>
      <c r="E111" s="11"/>
      <c r="F111" s="11"/>
      <c r="G111" s="11"/>
      <c r="H111" s="11"/>
      <c r="I111" s="11"/>
      <c r="J111" s="11"/>
      <c r="K111" s="11" t="s">
        <f>""</f>
      </c>
      <c r="L111" s="11" t="s">
        <f t="shared" si="239"/>
      </c>
      <c r="M111" s="8" t="s">
        <f t="shared" si="240"/>
      </c>
      <c r="N111" s="11"/>
      <c r="O111" s="10">
        <f ref="O111:P111" t="shared" si="44">A111</f>
        <v>0</v>
      </c>
      <c r="P111" s="11">
        <f t="shared" si="44"/>
        <v>0</v>
      </c>
      <c r="Q111" s="11" t="s">
        <f t="shared" si="247"/>
      </c>
      <c r="R111" s="11">
        <f t="shared" si="241"/>
        <v>0</v>
      </c>
      <c r="S111" s="11">
        <f ref="S111:U111" t="shared" si="45">E111</f>
        <v>0</v>
      </c>
      <c r="T111" s="11">
        <f t="shared" si="45"/>
        <v>0</v>
      </c>
      <c r="U111" s="11">
        <f t="shared" si="45"/>
        <v>0</v>
      </c>
      <c r="V111" s="11">
        <f t="shared" si="246"/>
      </c>
      <c r="W111" s="11" t="s">
        <f t="shared" si="245"/>
      </c>
      <c r="X111" s="11" t="s">
        <f t="shared" si="242"/>
      </c>
    </row>
    <row r="112" ht="12.50" customHeight="true">
      <c r="A112" s="10"/>
      <c r="B112" s="11"/>
      <c r="C112" s="11"/>
      <c r="D112" s="11"/>
      <c r="E112" s="11"/>
      <c r="F112" s="11"/>
      <c r="G112" s="11"/>
      <c r="H112" s="11"/>
      <c r="I112" s="11"/>
      <c r="J112" s="11"/>
      <c r="K112" s="11" t="s">
        <f>""</f>
      </c>
      <c r="L112" s="11" t="s">
        <f t="shared" si="239"/>
      </c>
      <c r="M112" s="8" t="s">
        <f t="shared" si="240"/>
      </c>
      <c r="N112" s="11"/>
      <c r="O112" s="10">
        <f ref="O112:P112" t="shared" si="1718">A112</f>
        <v>0</v>
      </c>
      <c r="P112" s="11">
        <f t="shared" si="1718"/>
        <v>0</v>
      </c>
      <c r="Q112" s="11" t="s">
        <f t="shared" si="247"/>
      </c>
      <c r="R112" s="11">
        <f t="shared" si="241"/>
        <v>0</v>
      </c>
      <c r="S112" s="11">
        <f ref="S112:U112" t="shared" si="1719">E112</f>
        <v>0</v>
      </c>
      <c r="T112" s="11">
        <f t="shared" si="1719"/>
        <v>0</v>
      </c>
      <c r="U112" s="11">
        <f t="shared" si="1719"/>
        <v>0</v>
      </c>
      <c r="V112" s="11">
        <f t="shared" si="246"/>
      </c>
      <c r="W112" s="11" t="s">
        <f t="shared" si="245"/>
      </c>
      <c r="X112" s="11" t="s">
        <f t="shared" si="242"/>
      </c>
    </row>
    <row r="113" ht="12.50" customHeight="true">
      <c r="A113" s="10"/>
      <c r="B113" s="11"/>
      <c r="C113" s="11"/>
      <c r="D113" s="11"/>
      <c r="E113" s="11"/>
      <c r="F113" s="11"/>
      <c r="G113" s="11"/>
      <c r="H113" s="11"/>
      <c r="I113" s="11"/>
      <c r="J113" s="11"/>
      <c r="K113" s="11" t="s">
        <f>""</f>
      </c>
      <c r="L113" s="11" t="s">
        <f t="shared" si="239"/>
      </c>
      <c r="M113" s="8" t="s">
        <f t="shared" si="240"/>
      </c>
      <c r="N113" s="11"/>
      <c r="O113" s="10">
        <f ref="O113:P113" t="shared" si="791">A113</f>
        <v>0</v>
      </c>
      <c r="P113" s="11">
        <f t="shared" si="791"/>
        <v>0</v>
      </c>
      <c r="Q113" s="11" t="s">
        <f t="shared" si="247"/>
      </c>
      <c r="R113" s="11">
        <f t="shared" si="241"/>
        <v>0</v>
      </c>
      <c r="S113" s="11">
        <f ref="S113:U113" t="shared" si="790">E113</f>
        <v>0</v>
      </c>
      <c r="T113" s="11">
        <f t="shared" si="790"/>
        <v>0</v>
      </c>
      <c r="U113" s="11">
        <f t="shared" si="790"/>
        <v>0</v>
      </c>
      <c r="V113" s="11">
        <f t="shared" si="246"/>
      </c>
      <c r="W113" s="11" t="s">
        <f t="shared" si="245"/>
      </c>
      <c r="X113" s="11" t="s">
        <f t="shared" si="242"/>
      </c>
    </row>
    <row r="114" ht="12.50" customHeight="true">
      <c r="A114" s="10"/>
      <c r="B114" s="11"/>
      <c r="C114" s="11"/>
      <c r="D114" s="11"/>
      <c r="E114" s="11"/>
      <c r="F114" s="11"/>
      <c r="G114" s="11"/>
      <c r="H114" s="11"/>
      <c r="I114" s="11"/>
      <c r="J114" s="11"/>
      <c r="K114" s="11" t="s">
        <f>""</f>
      </c>
      <c r="L114" s="11" t="s">
        <f t="shared" si="239"/>
      </c>
      <c r="M114" s="8" t="s">
        <f t="shared" si="240"/>
      </c>
      <c r="N114" s="11"/>
      <c r="O114" s="10">
        <f ref="O114:P114" t="shared" si="651">A114</f>
        <v>0</v>
      </c>
      <c r="P114" s="11">
        <f t="shared" si="651"/>
        <v>0</v>
      </c>
      <c r="Q114" s="11" t="s">
        <f t="shared" si="247"/>
      </c>
      <c r="R114" s="11">
        <f t="shared" si="241"/>
        <v>0</v>
      </c>
      <c r="S114" s="11">
        <f ref="S114:U114" t="shared" si="650">E114</f>
        <v>0</v>
      </c>
      <c r="T114" s="11">
        <f t="shared" si="650"/>
        <v>0</v>
      </c>
      <c r="U114" s="11">
        <f t="shared" si="650"/>
        <v>0</v>
      </c>
      <c r="V114" s="11">
        <f t="shared" si="246"/>
      </c>
      <c r="W114" s="11" t="s">
        <f t="shared" si="245"/>
      </c>
      <c r="X114" s="11" t="s">
        <f t="shared" si="242"/>
      </c>
    </row>
    <row r="115" ht="12.50" customHeight="true">
      <c r="A115" s="10"/>
      <c r="B115" s="11"/>
      <c r="C115" s="11"/>
      <c r="D115" s="11"/>
      <c r="E115" s="11"/>
      <c r="F115" s="11"/>
      <c r="G115" s="11"/>
      <c r="H115" s="11"/>
      <c r="I115" s="11"/>
      <c r="J115" s="11"/>
      <c r="K115" s="11" t="s">
        <f>""</f>
      </c>
      <c r="L115" s="11" t="s">
        <f t="shared" si="239"/>
      </c>
      <c r="M115" s="8" t="s">
        <f t="shared" si="240"/>
      </c>
      <c r="N115" s="11"/>
      <c r="O115" s="10">
        <f ref="O115:P115" t="shared" si="543">A115</f>
        <v>0</v>
      </c>
      <c r="P115" s="11">
        <f t="shared" si="543"/>
        <v>0</v>
      </c>
      <c r="Q115" s="11" t="s">
        <f t="shared" si="247"/>
      </c>
      <c r="R115" s="11">
        <f t="shared" si="241"/>
        <v>0</v>
      </c>
      <c r="S115" s="11">
        <f ref="S115:U115" t="shared" si="542">E115</f>
        <v>0</v>
      </c>
      <c r="T115" s="11">
        <f t="shared" si="542"/>
        <v>0</v>
      </c>
      <c r="U115" s="11">
        <f t="shared" si="542"/>
        <v>0</v>
      </c>
      <c r="V115" s="11">
        <f t="shared" si="246"/>
      </c>
      <c r="W115" s="11" t="s">
        <f t="shared" si="245"/>
      </c>
      <c r="X115" s="11" t="s">
        <f t="shared" si="242"/>
      </c>
    </row>
    <row r="116" ht="12.50" customHeight="true">
      <c r="A116" s="10"/>
      <c r="B116" s="11"/>
      <c r="C116" s="11"/>
      <c r="D116" s="11"/>
      <c r="E116" s="11"/>
      <c r="F116" s="11"/>
      <c r="G116" s="11"/>
      <c r="H116" s="11"/>
      <c r="I116" s="11"/>
      <c r="J116" s="11"/>
      <c r="K116" s="11" t="s">
        <f>""</f>
      </c>
      <c r="L116" s="11" t="s">
        <f t="shared" si="239"/>
      </c>
      <c r="M116" s="8" t="s">
        <f t="shared" si="240"/>
      </c>
      <c r="N116" s="11"/>
      <c r="O116" s="10">
        <f ref="O116:P116" t="shared" si="1799">A116</f>
        <v>0</v>
      </c>
      <c r="P116" s="11">
        <f t="shared" si="1799"/>
        <v>0</v>
      </c>
      <c r="Q116" s="11" t="s">
        <f t="shared" si="247"/>
      </c>
      <c r="R116" s="11">
        <f t="shared" si="241"/>
        <v>0</v>
      </c>
      <c r="S116" s="11">
        <f ref="S116:U116" t="shared" si="1798">E116</f>
        <v>0</v>
      </c>
      <c r="T116" s="11">
        <f t="shared" si="1798"/>
        <v>0</v>
      </c>
      <c r="U116" s="11">
        <f t="shared" si="1798"/>
        <v>0</v>
      </c>
      <c r="V116" s="11">
        <f t="shared" si="246"/>
      </c>
      <c r="W116" s="11" t="s">
        <f t="shared" si="245"/>
      </c>
      <c r="X116" s="11" t="s">
        <f t="shared" si="242"/>
      </c>
    </row>
    <row r="117" ht="12.50" customHeight="true">
      <c r="A117" s="10"/>
      <c r="B117" s="11"/>
      <c r="C117" s="11"/>
      <c r="D117" s="11"/>
      <c r="E117" s="11"/>
      <c r="F117" s="11"/>
      <c r="G117" s="11"/>
      <c r="H117" s="11"/>
      <c r="I117" s="11"/>
      <c r="J117" s="11"/>
      <c r="K117" s="11" t="s">
        <f>""</f>
      </c>
      <c r="L117" s="11" t="s">
        <f t="shared" si="239"/>
      </c>
      <c r="M117" s="8" t="s">
        <f t="shared" si="240"/>
      </c>
      <c r="N117" s="11"/>
      <c r="O117" s="10">
        <f ref="O117:P117" t="shared" si="1585">A117</f>
        <v>0</v>
      </c>
      <c r="P117" s="11">
        <f t="shared" si="1585"/>
        <v>0</v>
      </c>
      <c r="Q117" s="11" t="s">
        <f t="shared" si="247"/>
      </c>
      <c r="R117" s="11">
        <f t="shared" si="241"/>
        <v>0</v>
      </c>
      <c r="S117" s="11">
        <f ref="S117:U117" t="shared" si="1584">E117</f>
        <v>0</v>
      </c>
      <c r="T117" s="11">
        <f t="shared" si="1584"/>
        <v>0</v>
      </c>
      <c r="U117" s="11">
        <f t="shared" si="1584"/>
        <v>0</v>
      </c>
      <c r="V117" s="11">
        <f t="shared" si="246"/>
      </c>
      <c r="W117" s="11" t="s">
        <f t="shared" si="245"/>
      </c>
      <c r="X117" s="11" t="s">
        <f t="shared" si="242"/>
      </c>
    </row>
    <row r="118" ht="12.50" customHeight="true">
      <c r="A118" s="10"/>
      <c r="B118" s="11"/>
      <c r="C118" s="11"/>
      <c r="D118" s="11"/>
      <c r="E118" s="11"/>
      <c r="F118" s="11"/>
      <c r="G118" s="11"/>
      <c r="H118" s="11"/>
      <c r="I118" s="11"/>
      <c r="J118" s="11"/>
      <c r="K118" s="11" t="s">
        <f>""</f>
      </c>
      <c r="L118" s="11" t="s">
        <f t="shared" si="239"/>
      </c>
      <c r="M118" s="8" t="s">
        <f t="shared" si="240"/>
      </c>
      <c r="N118" s="11"/>
      <c r="O118" s="10">
        <f ref="O118:P118" t="shared" si="1206">A118</f>
        <v>0</v>
      </c>
      <c r="P118" s="11">
        <f t="shared" si="1206"/>
        <v>0</v>
      </c>
      <c r="Q118" s="11" t="s">
        <f t="shared" si="247"/>
      </c>
      <c r="R118" s="11">
        <f t="shared" si="241"/>
        <v>0</v>
      </c>
      <c r="S118" s="11">
        <f ref="S118:U118" t="shared" si="1205">E118</f>
        <v>0</v>
      </c>
      <c r="T118" s="11">
        <f t="shared" si="1205"/>
        <v>0</v>
      </c>
      <c r="U118" s="11">
        <f t="shared" si="1205"/>
        <v>0</v>
      </c>
      <c r="V118" s="11">
        <f t="shared" si="246"/>
      </c>
      <c r="W118" s="11" t="s">
        <f t="shared" si="245"/>
      </c>
      <c r="X118" s="11" t="s">
        <f t="shared" si="242"/>
      </c>
    </row>
    <row r="119" ht="12.50" customHeight="true">
      <c r="A119" s="10"/>
      <c r="B119" s="11"/>
      <c r="C119" s="11"/>
      <c r="D119" s="11"/>
      <c r="E119" s="11"/>
      <c r="F119" s="11"/>
      <c r="G119" s="11"/>
      <c r="H119" s="11"/>
      <c r="I119" s="11"/>
      <c r="J119" s="11"/>
      <c r="K119" s="11" t="s">
        <f>""</f>
      </c>
      <c r="L119" s="11" t="s">
        <f t="shared" si="239"/>
      </c>
      <c r="M119" s="8" t="s">
        <f t="shared" si="240"/>
      </c>
      <c r="N119" s="11"/>
      <c r="O119" s="10">
        <f ref="O119:P119" t="shared" si="118">A119</f>
        <v>0</v>
      </c>
      <c r="P119" s="11">
        <f t="shared" si="118"/>
        <v>0</v>
      </c>
      <c r="Q119" s="11" t="s">
        <f t="shared" si="247"/>
      </c>
      <c r="R119" s="11">
        <f t="shared" si="241"/>
        <v>0</v>
      </c>
      <c r="S119" s="11">
        <f ref="S119:U119" t="shared" si="119">E119</f>
        <v>0</v>
      </c>
      <c r="T119" s="11">
        <f t="shared" si="119"/>
        <v>0</v>
      </c>
      <c r="U119" s="11">
        <f t="shared" si="119"/>
        <v>0</v>
      </c>
      <c r="V119" s="11">
        <f t="shared" si="246"/>
      </c>
      <c r="W119" s="11" t="s">
        <f t="shared" si="245"/>
      </c>
      <c r="X119" s="11" t="s">
        <f t="shared" si="242"/>
      </c>
    </row>
    <row r="120" ht="12.50" customHeight="true">
      <c r="A120" s="10"/>
      <c r="B120" s="11"/>
      <c r="C120" s="11"/>
      <c r="D120" s="11"/>
      <c r="E120" s="11"/>
      <c r="F120" s="11"/>
      <c r="G120" s="11"/>
      <c r="H120" s="11"/>
      <c r="I120" s="11"/>
      <c r="J120" s="11"/>
      <c r="K120" s="11" t="s">
        <f>""</f>
      </c>
      <c r="L120" s="11" t="s">
        <f t="shared" si="239"/>
      </c>
      <c r="M120" s="8" t="s">
        <f t="shared" si="240"/>
      </c>
      <c r="N120" s="11"/>
      <c r="O120" s="10">
        <f ref="O120:P120" t="shared" si="415">A120</f>
        <v>0</v>
      </c>
      <c r="P120" s="11">
        <f t="shared" si="415"/>
        <v>0</v>
      </c>
      <c r="Q120" s="11" t="s">
        <f t="shared" si="247"/>
      </c>
      <c r="R120" s="11">
        <f t="shared" si="241"/>
        <v>0</v>
      </c>
      <c r="S120" s="11">
        <f ref="S120:U120" t="shared" si="414">E120</f>
        <v>0</v>
      </c>
      <c r="T120" s="11">
        <f t="shared" si="414"/>
        <v>0</v>
      </c>
      <c r="U120" s="11">
        <f t="shared" si="414"/>
        <v>0</v>
      </c>
      <c r="V120" s="11">
        <f t="shared" si="246"/>
      </c>
      <c r="W120" s="11" t="s">
        <f t="shared" si="245"/>
      </c>
      <c r="X120" s="11" t="s">
        <f t="shared" si="242"/>
      </c>
    </row>
    <row r="121" ht="12.50" customHeight="true">
      <c r="A121" s="10"/>
      <c r="B121" s="11"/>
      <c r="C121" s="11"/>
      <c r="D121" s="11"/>
      <c r="E121" s="11"/>
      <c r="F121" s="11"/>
      <c r="G121" s="11"/>
      <c r="H121" s="11"/>
      <c r="I121" s="11"/>
      <c r="J121" s="11"/>
      <c r="K121" s="11" t="s">
        <f>""</f>
      </c>
      <c r="L121" s="11" t="s">
        <f t="shared" si="239"/>
      </c>
      <c r="M121" s="8" t="s">
        <f t="shared" si="240"/>
      </c>
      <c r="N121" s="11"/>
      <c r="O121" s="10">
        <f ref="O121:P121" t="shared" si="1290">A121</f>
        <v>0</v>
      </c>
      <c r="P121" s="11">
        <f t="shared" si="1290"/>
        <v>0</v>
      </c>
      <c r="Q121" s="11" t="s">
        <f t="shared" si="247"/>
      </c>
      <c r="R121" s="11">
        <f t="shared" si="241"/>
        <v>0</v>
      </c>
      <c r="S121" s="11">
        <f ref="S121:U121" t="shared" si="1291">E121</f>
        <v>0</v>
      </c>
      <c r="T121" s="11">
        <f t="shared" si="1291"/>
        <v>0</v>
      </c>
      <c r="U121" s="11">
        <f t="shared" si="1291"/>
        <v>0</v>
      </c>
      <c r="V121" s="11">
        <f t="shared" si="246"/>
      </c>
      <c r="W121" s="11" t="s">
        <f t="shared" si="245"/>
      </c>
      <c r="X121" s="11" t="s">
        <f t="shared" si="242"/>
      </c>
    </row>
    <row r="122" ht="12.50" customHeight="true">
      <c r="A122" s="10"/>
      <c r="B122" s="11"/>
      <c r="C122" s="11"/>
      <c r="D122" s="11"/>
      <c r="E122" s="11"/>
      <c r="F122" s="11"/>
      <c r="G122" s="11"/>
      <c r="H122" s="11"/>
      <c r="I122" s="11"/>
      <c r="J122" s="11"/>
      <c r="K122" s="11" t="s">
        <f>""</f>
      </c>
      <c r="L122" s="11" t="s">
        <f t="shared" si="239"/>
      </c>
      <c r="M122" s="8" t="s">
        <f t="shared" si="240"/>
      </c>
      <c r="N122" s="11"/>
      <c r="O122" s="10">
        <f ref="O122:P122" t="shared" si="2">A122</f>
        <v>0</v>
      </c>
      <c r="P122" s="11">
        <f t="shared" si="2"/>
        <v>0</v>
      </c>
      <c r="Q122" s="11" t="s">
        <f t="shared" si="247"/>
      </c>
      <c r="R122" s="11">
        <f t="shared" si="241"/>
        <v>0</v>
      </c>
      <c r="S122" s="11">
        <f ref="S122:U122" t="shared" si="3">E122</f>
        <v>0</v>
      </c>
      <c r="T122" s="11">
        <f t="shared" si="3"/>
        <v>0</v>
      </c>
      <c r="U122" s="11">
        <f t="shared" si="3"/>
        <v>0</v>
      </c>
      <c r="V122" s="11">
        <f t="shared" si="246"/>
      </c>
      <c r="W122" s="11" t="s">
        <f t="shared" si="245"/>
      </c>
      <c r="X122" s="11" t="s">
        <f t="shared" si="242"/>
      </c>
    </row>
    <row r="123" ht="12.50" customHeight="true">
      <c r="A123" s="10"/>
      <c r="B123" s="11"/>
      <c r="C123" s="11"/>
      <c r="D123" s="11"/>
      <c r="E123" s="11"/>
      <c r="F123" s="11"/>
      <c r="G123" s="11"/>
      <c r="H123" s="11"/>
      <c r="I123" s="11"/>
      <c r="J123" s="11"/>
      <c r="K123" s="11" t="s">
        <f>""</f>
      </c>
      <c r="L123" s="11" t="s">
        <f t="shared" si="239"/>
      </c>
      <c r="M123" s="8" t="s">
        <f t="shared" si="240"/>
      </c>
      <c r="N123" s="11"/>
      <c r="O123" s="10">
        <f ref="O123:P123" t="shared" si="133">A123</f>
        <v>0</v>
      </c>
      <c r="P123" s="11">
        <f t="shared" si="133"/>
        <v>0</v>
      </c>
      <c r="Q123" s="11" t="s">
        <f t="shared" si="247"/>
      </c>
      <c r="R123" s="11">
        <f t="shared" si="241"/>
        <v>0</v>
      </c>
      <c r="S123" s="11">
        <f ref="S123:U123" t="shared" si="132">E123</f>
        <v>0</v>
      </c>
      <c r="T123" s="11">
        <f t="shared" si="132"/>
        <v>0</v>
      </c>
      <c r="U123" s="11">
        <f t="shared" si="132"/>
        <v>0</v>
      </c>
      <c r="V123" s="11">
        <f t="shared" si="246"/>
      </c>
      <c r="W123" s="11" t="s">
        <f t="shared" si="245"/>
      </c>
      <c r="X123" s="11" t="s">
        <f t="shared" si="242"/>
      </c>
    </row>
    <row r="124" ht="12.50" customHeight="true">
      <c r="A124" s="10"/>
      <c r="B124" s="11"/>
      <c r="C124" s="11"/>
      <c r="D124" s="11"/>
      <c r="E124" s="11"/>
      <c r="F124" s="11"/>
      <c r="G124" s="11"/>
      <c r="H124" s="11"/>
      <c r="I124" s="11"/>
      <c r="J124" s="11"/>
      <c r="K124" s="11" t="s">
        <f>""</f>
      </c>
      <c r="L124" s="11" t="s">
        <f t="shared" si="239"/>
      </c>
      <c r="M124" s="8" t="s">
        <f t="shared" si="240"/>
      </c>
      <c r="N124" s="11"/>
      <c r="O124" s="10">
        <f ref="O124:P124" t="shared" si="996">A124</f>
        <v>0</v>
      </c>
      <c r="P124" s="11">
        <f t="shared" si="996"/>
        <v>0</v>
      </c>
      <c r="Q124" s="11" t="s">
        <f t="shared" si="247"/>
      </c>
      <c r="R124" s="11">
        <f t="shared" si="241"/>
        <v>0</v>
      </c>
      <c r="S124" s="11">
        <f ref="S124:U124" t="shared" si="995">E124</f>
        <v>0</v>
      </c>
      <c r="T124" s="11">
        <f t="shared" si="995"/>
        <v>0</v>
      </c>
      <c r="U124" s="11">
        <f t="shared" si="995"/>
        <v>0</v>
      </c>
      <c r="V124" s="11">
        <f t="shared" si="246"/>
      </c>
      <c r="W124" s="11" t="s">
        <f t="shared" si="245"/>
      </c>
      <c r="X124" s="11" t="s">
        <f t="shared" si="242"/>
      </c>
    </row>
    <row r="125" ht="12.50" customHeight="true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 t="s">
        <f>""</f>
      </c>
      <c r="L125" s="11" t="s">
        <f t="shared" si="239"/>
      </c>
      <c r="M125" s="8" t="s">
        <f t="shared" si="240"/>
      </c>
      <c r="N125" s="11"/>
      <c r="O125" s="10">
        <f ref="O125:P125" t="shared" si="344">A125</f>
        <v>0</v>
      </c>
      <c r="P125" s="11">
        <f t="shared" si="344"/>
        <v>0</v>
      </c>
      <c r="Q125" s="11" t="s">
        <f t="shared" si="247"/>
      </c>
      <c r="R125" s="11">
        <f t="shared" si="241"/>
        <v>0</v>
      </c>
      <c r="S125" s="11">
        <f ref="S125:U125" t="shared" si="345">E125</f>
        <v>0</v>
      </c>
      <c r="T125" s="11">
        <f t="shared" si="345"/>
        <v>0</v>
      </c>
      <c r="U125" s="11">
        <f t="shared" si="345"/>
        <v>0</v>
      </c>
      <c r="V125" s="11">
        <f t="shared" si="246"/>
      </c>
      <c r="W125" s="11" t="s">
        <f t="shared" si="245"/>
      </c>
      <c r="X125" s="11" t="s">
        <f t="shared" si="242"/>
      </c>
    </row>
    <row r="126" ht="12.50" customHeight="true">
      <c r="A126" s="10"/>
      <c r="B126" s="11"/>
      <c r="C126" s="11"/>
      <c r="D126" s="11"/>
      <c r="E126" s="11"/>
      <c r="F126" s="11"/>
      <c r="G126" s="11"/>
      <c r="H126" s="11"/>
      <c r="I126" s="11"/>
      <c r="J126" s="11"/>
      <c r="K126" s="11" t="s">
        <f>""</f>
      </c>
      <c r="L126" s="11" t="s">
        <f t="shared" si="239"/>
      </c>
      <c r="M126" s="8" t="s">
        <f t="shared" si="240"/>
      </c>
      <c r="N126" s="11"/>
      <c r="O126" s="10">
        <f ref="O126:P126" t="shared" si="581">A126</f>
        <v>0</v>
      </c>
      <c r="P126" s="11">
        <f t="shared" si="581"/>
        <v>0</v>
      </c>
      <c r="Q126" s="11" t="s">
        <f t="shared" si="247"/>
      </c>
      <c r="R126" s="11">
        <f t="shared" si="241"/>
        <v>0</v>
      </c>
      <c r="S126" s="11">
        <f ref="S126:U126" t="shared" si="580">E126</f>
        <v>0</v>
      </c>
      <c r="T126" s="11">
        <f t="shared" si="580"/>
        <v>0</v>
      </c>
      <c r="U126" s="11">
        <f t="shared" si="580"/>
        <v>0</v>
      </c>
      <c r="V126" s="11">
        <f t="shared" si="246"/>
      </c>
      <c r="W126" s="11" t="s">
        <f t="shared" si="245"/>
      </c>
      <c r="X126" s="11" t="s">
        <f t="shared" si="242"/>
      </c>
    </row>
    <row r="127" ht="12.50" customHeight="true">
      <c r="A127" s="10"/>
      <c r="B127" s="11"/>
      <c r="C127" s="11"/>
      <c r="D127" s="11"/>
      <c r="E127" s="11"/>
      <c r="F127" s="11"/>
      <c r="G127" s="11"/>
      <c r="H127" s="11"/>
      <c r="I127" s="11"/>
      <c r="J127" s="11"/>
      <c r="K127" s="11" t="s">
        <f>""</f>
      </c>
      <c r="L127" s="11" t="s">
        <f t="shared" si="239"/>
      </c>
      <c r="M127" s="8" t="s">
        <f t="shared" si="240"/>
      </c>
      <c r="N127" s="11"/>
      <c r="O127" s="10">
        <f ref="O127:P127" t="shared" si="1073">A127</f>
        <v>0</v>
      </c>
      <c r="P127" s="11">
        <f t="shared" si="1073"/>
        <v>0</v>
      </c>
      <c r="Q127" s="11" t="s">
        <f t="shared" si="247"/>
      </c>
      <c r="R127" s="11">
        <f t="shared" si="241"/>
        <v>0</v>
      </c>
      <c r="S127" s="11">
        <f ref="S127:U127" t="shared" si="1074">E127</f>
        <v>0</v>
      </c>
      <c r="T127" s="11">
        <f t="shared" si="1074"/>
        <v>0</v>
      </c>
      <c r="U127" s="11">
        <f t="shared" si="1074"/>
        <v>0</v>
      </c>
      <c r="V127" s="11">
        <f t="shared" si="246"/>
      </c>
      <c r="W127" s="11" t="s">
        <f t="shared" si="245"/>
      </c>
      <c r="X127" s="11" t="s">
        <f t="shared" si="242"/>
      </c>
    </row>
    <row r="128" ht="12.50" customHeight="true">
      <c r="A128" s="10"/>
      <c r="B128" s="11"/>
      <c r="C128" s="11"/>
      <c r="D128" s="11"/>
      <c r="E128" s="11"/>
      <c r="F128" s="11"/>
      <c r="G128" s="11"/>
      <c r="H128" s="11"/>
      <c r="I128" s="11"/>
      <c r="J128" s="11"/>
      <c r="K128" s="11" t="s">
        <f>""</f>
      </c>
      <c r="L128" s="11" t="s">
        <f t="shared" si="239"/>
      </c>
      <c r="M128" s="8" t="s">
        <f t="shared" si="240"/>
      </c>
      <c r="N128" s="11"/>
      <c r="O128" s="10">
        <f ref="O128:P128" t="shared" si="1939">A128</f>
        <v>0</v>
      </c>
      <c r="P128" s="11">
        <f t="shared" si="1939"/>
        <v>0</v>
      </c>
      <c r="Q128" s="11" t="s">
        <f t="shared" si="247"/>
      </c>
      <c r="R128" s="11">
        <f t="shared" si="241"/>
        <v>0</v>
      </c>
      <c r="S128" s="11">
        <f ref="S128:U128" t="shared" si="1938">E128</f>
        <v>0</v>
      </c>
      <c r="T128" s="11">
        <f t="shared" si="1938"/>
        <v>0</v>
      </c>
      <c r="U128" s="11">
        <f t="shared" si="1938"/>
        <v>0</v>
      </c>
      <c r="V128" s="11">
        <f t="shared" si="246"/>
      </c>
      <c r="W128" s="11" t="s">
        <f t="shared" si="245"/>
      </c>
      <c r="X128" s="11" t="s">
        <f t="shared" si="242"/>
      </c>
    </row>
    <row r="129" ht="12.50" customHeight="true">
      <c r="A129" s="10"/>
      <c r="B129" s="11"/>
      <c r="C129" s="11"/>
      <c r="D129" s="11"/>
      <c r="E129" s="11"/>
      <c r="F129" s="11"/>
      <c r="G129" s="11"/>
      <c r="H129" s="11"/>
      <c r="I129" s="11"/>
      <c r="J129" s="11"/>
      <c r="K129" s="11" t="s">
        <f>""</f>
      </c>
      <c r="L129" s="11" t="s">
        <f t="shared" si="239"/>
      </c>
      <c r="M129" s="8" t="s">
        <f t="shared" si="240"/>
      </c>
      <c r="N129" s="11"/>
      <c r="O129" s="10">
        <f ref="O129:P129" t="shared" si="1338">A129</f>
        <v>0</v>
      </c>
      <c r="P129" s="11">
        <f t="shared" si="1338"/>
        <v>0</v>
      </c>
      <c r="Q129" s="11" t="s">
        <f t="shared" si="247"/>
      </c>
      <c r="R129" s="11">
        <f t="shared" si="241"/>
        <v>0</v>
      </c>
      <c r="S129" s="11">
        <f ref="S129:U129" t="shared" si="1339">E129</f>
        <v>0</v>
      </c>
      <c r="T129" s="11">
        <f t="shared" si="1339"/>
        <v>0</v>
      </c>
      <c r="U129" s="11">
        <f t="shared" si="1339"/>
        <v>0</v>
      </c>
      <c r="V129" s="11">
        <f t="shared" si="246"/>
      </c>
      <c r="W129" s="11" t="s">
        <f t="shared" si="245"/>
      </c>
      <c r="X129" s="11" t="s">
        <f t="shared" si="242"/>
      </c>
    </row>
    <row r="130" ht="12.50" customHeight="true">
      <c r="A130" s="10"/>
      <c r="B130" s="11"/>
      <c r="C130" s="11"/>
      <c r="D130" s="11"/>
      <c r="E130" s="11"/>
      <c r="F130" s="11"/>
      <c r="G130" s="11"/>
      <c r="H130" s="11"/>
      <c r="I130" s="11"/>
      <c r="J130" s="11"/>
      <c r="K130" s="11" t="s">
        <f>""</f>
      </c>
      <c r="L130" s="11" t="s">
        <f t="shared" si="239"/>
      </c>
      <c r="M130" s="8" t="s">
        <f t="shared" si="240"/>
      </c>
      <c r="N130" s="11"/>
      <c r="O130" s="10">
        <f ref="O130:P130" t="shared" si="1667">A130</f>
        <v>0</v>
      </c>
      <c r="P130" s="11">
        <f t="shared" si="1667"/>
        <v>0</v>
      </c>
      <c r="Q130" s="11" t="s">
        <f t="shared" si="247"/>
      </c>
      <c r="R130" s="11">
        <f t="shared" si="241"/>
        <v>0</v>
      </c>
      <c r="S130" s="11">
        <f ref="S130:U130" t="shared" si="1666">E130</f>
        <v>0</v>
      </c>
      <c r="T130" s="11">
        <f t="shared" si="1666"/>
        <v>0</v>
      </c>
      <c r="U130" s="11">
        <f t="shared" si="1666"/>
        <v>0</v>
      </c>
      <c r="V130" s="11">
        <f t="shared" si="246"/>
      </c>
      <c r="W130" s="11" t="s">
        <f t="shared" si="245"/>
      </c>
      <c r="X130" s="11" t="s">
        <f t="shared" si="242"/>
      </c>
    </row>
    <row r="131" ht="12.50" customHeight="true">
      <c r="A131" s="10"/>
      <c r="B131" s="11"/>
      <c r="C131" s="11"/>
      <c r="D131" s="11"/>
      <c r="E131" s="11"/>
      <c r="F131" s="11"/>
      <c r="G131" s="11"/>
      <c r="H131" s="11"/>
      <c r="I131" s="11"/>
      <c r="J131" s="11"/>
      <c r="K131" s="11" t="s">
        <f>""</f>
      </c>
      <c r="L131" s="11" t="s">
        <f t="shared" si="239"/>
      </c>
      <c r="M131" s="8" t="s">
        <f t="shared" si="240"/>
      </c>
      <c r="N131" s="11"/>
      <c r="O131" s="10">
        <f ref="O131:P131" t="shared" si="1765">A131</f>
        <v>0</v>
      </c>
      <c r="P131" s="11">
        <f t="shared" si="1765"/>
        <v>0</v>
      </c>
      <c r="Q131" s="11" t="s">
        <f t="shared" si="247"/>
      </c>
      <c r="R131" s="11">
        <f t="shared" si="241"/>
        <v>0</v>
      </c>
      <c r="S131" s="11">
        <f ref="S131:U131" t="shared" si="1764">E131</f>
        <v>0</v>
      </c>
      <c r="T131" s="11">
        <f t="shared" si="1764"/>
        <v>0</v>
      </c>
      <c r="U131" s="11">
        <f t="shared" si="1764"/>
        <v>0</v>
      </c>
      <c r="V131" s="11">
        <f t="shared" si="246"/>
      </c>
      <c r="W131" s="11" t="s">
        <f t="shared" si="245"/>
      </c>
      <c r="X131" s="11" t="s">
        <f t="shared" si="242"/>
      </c>
    </row>
    <row r="132" ht="12.50" customHeight="true">
      <c r="A132" s="10"/>
      <c r="B132" s="11"/>
      <c r="C132" s="11"/>
      <c r="D132" s="11"/>
      <c r="E132" s="11"/>
      <c r="F132" s="11"/>
      <c r="G132" s="11"/>
      <c r="H132" s="11"/>
      <c r="I132" s="11"/>
      <c r="J132" s="11"/>
      <c r="K132" s="11" t="s">
        <f>""</f>
      </c>
      <c r="L132" s="11" t="s">
        <f t="shared" si="239"/>
      </c>
      <c r="M132" s="8" t="s">
        <f t="shared" si="240"/>
      </c>
      <c r="N132" s="11"/>
      <c r="O132" s="10">
        <f ref="O132:P132" t="shared" si="1357">A132</f>
        <v>0</v>
      </c>
      <c r="P132" s="11">
        <f t="shared" si="1357"/>
        <v>0</v>
      </c>
      <c r="Q132" s="11" t="s">
        <f t="shared" si="247"/>
      </c>
      <c r="R132" s="11">
        <f t="shared" si="241"/>
        <v>0</v>
      </c>
      <c r="S132" s="11">
        <f ref="S132:U132" t="shared" si="1356">E132</f>
        <v>0</v>
      </c>
      <c r="T132" s="11">
        <f t="shared" si="1356"/>
        <v>0</v>
      </c>
      <c r="U132" s="11">
        <f t="shared" si="1356"/>
        <v>0</v>
      </c>
      <c r="V132" s="11">
        <f t="shared" si="246"/>
      </c>
      <c r="W132" s="11" t="s">
        <f t="shared" si="245"/>
      </c>
      <c r="X132" s="11" t="s">
        <f t="shared" si="242"/>
      </c>
    </row>
    <row r="133" ht="12.50" customHeight="true">
      <c r="A133" s="10"/>
      <c r="B133" s="11"/>
      <c r="C133" s="11"/>
      <c r="D133" s="11"/>
      <c r="E133" s="11"/>
      <c r="F133" s="11"/>
      <c r="G133" s="11"/>
      <c r="H133" s="11"/>
      <c r="I133" s="11"/>
      <c r="J133" s="11"/>
      <c r="K133" s="11" t="s">
        <f>""</f>
      </c>
      <c r="L133" s="11" t="s">
        <f t="shared" si="239"/>
      </c>
      <c r="M133" s="8" t="s">
        <f t="shared" si="240"/>
      </c>
      <c r="N133" s="11"/>
      <c r="O133" s="10">
        <f ref="O133:P133" t="shared" si="905">A133</f>
        <v>0</v>
      </c>
      <c r="P133" s="11">
        <f t="shared" si="905"/>
        <v>0</v>
      </c>
      <c r="Q133" s="11" t="s">
        <f t="shared" si="247"/>
      </c>
      <c r="R133" s="11">
        <f t="shared" si="241"/>
        <v>0</v>
      </c>
      <c r="S133" s="11">
        <f ref="S133:U133" t="shared" si="904">E133</f>
        <v>0</v>
      </c>
      <c r="T133" s="11">
        <f t="shared" si="904"/>
        <v>0</v>
      </c>
      <c r="U133" s="11">
        <f t="shared" si="904"/>
        <v>0</v>
      </c>
      <c r="V133" s="11">
        <f t="shared" si="246"/>
      </c>
      <c r="W133" s="11" t="s">
        <f t="shared" si="245"/>
      </c>
      <c r="X133" s="11" t="s">
        <f t="shared" si="242"/>
      </c>
    </row>
    <row r="134" ht="12.50" customHeight="true">
      <c r="A134" s="10"/>
      <c r="B134" s="11"/>
      <c r="C134" s="11"/>
      <c r="D134" s="11"/>
      <c r="E134" s="11"/>
      <c r="F134" s="11"/>
      <c r="G134" s="11"/>
      <c r="H134" s="11"/>
      <c r="I134" s="11"/>
      <c r="J134" s="11"/>
      <c r="K134" s="11" t="s">
        <f>""</f>
      </c>
      <c r="L134" s="11" t="s">
        <f t="shared" si="239"/>
      </c>
      <c r="M134" s="8" t="s">
        <f t="shared" si="240"/>
      </c>
      <c r="N134" s="11"/>
      <c r="O134" s="10">
        <f ref="O134:P134" t="shared" si="252">A134</f>
        <v>0</v>
      </c>
      <c r="P134" s="11">
        <f t="shared" si="252"/>
        <v>0</v>
      </c>
      <c r="Q134" s="11" t="s">
        <f t="shared" si="247"/>
      </c>
      <c r="R134" s="11">
        <f t="shared" si="241"/>
        <v>0</v>
      </c>
      <c r="S134" s="11">
        <f ref="S134:U134" t="shared" si="253">E134</f>
        <v>0</v>
      </c>
      <c r="T134" s="11">
        <f t="shared" si="253"/>
        <v>0</v>
      </c>
      <c r="U134" s="11">
        <f t="shared" si="253"/>
        <v>0</v>
      </c>
      <c r="V134" s="11">
        <f t="shared" si="246"/>
      </c>
      <c r="W134" s="11" t="s">
        <f t="shared" si="245"/>
      </c>
      <c r="X134" s="11" t="s">
        <f t="shared" si="242"/>
      </c>
    </row>
    <row r="135" ht="12.50" customHeight="true">
      <c r="A135" s="10"/>
      <c r="B135" s="11"/>
      <c r="C135" s="11"/>
      <c r="D135" s="11"/>
      <c r="E135" s="11"/>
      <c r="F135" s="11"/>
      <c r="G135" s="11"/>
      <c r="H135" s="11"/>
      <c r="I135" s="11"/>
      <c r="J135" s="11"/>
      <c r="K135" s="11" t="s">
        <f>""</f>
      </c>
      <c r="L135" s="11" t="s">
        <f t="shared" si="239"/>
      </c>
      <c r="M135" s="8" t="s">
        <f t="shared" si="240"/>
      </c>
      <c r="N135" s="11"/>
      <c r="O135" s="10">
        <f ref="O135:P135" t="shared" si="1227">A135</f>
        <v>0</v>
      </c>
      <c r="P135" s="11">
        <f t="shared" si="1227"/>
        <v>0</v>
      </c>
      <c r="Q135" s="11" t="s">
        <f t="shared" si="247"/>
      </c>
      <c r="R135" s="11">
        <f t="shared" si="241"/>
        <v>0</v>
      </c>
      <c r="S135" s="11">
        <f ref="S135:U135" t="shared" si="1228">E135</f>
        <v>0</v>
      </c>
      <c r="T135" s="11">
        <f t="shared" si="1228"/>
        <v>0</v>
      </c>
      <c r="U135" s="11">
        <f t="shared" si="1228"/>
        <v>0</v>
      </c>
      <c r="V135" s="11">
        <f t="shared" si="246"/>
      </c>
      <c r="W135" s="11" t="s">
        <f t="shared" si="245"/>
      </c>
      <c r="X135" s="11" t="s">
        <f t="shared" si="242"/>
      </c>
    </row>
    <row r="136" ht="12.50" customHeight="true">
      <c r="A136" s="10"/>
      <c r="B136" s="11"/>
      <c r="C136" s="11"/>
      <c r="D136" s="11"/>
      <c r="E136" s="11"/>
      <c r="F136" s="11"/>
      <c r="G136" s="11"/>
      <c r="H136" s="11"/>
      <c r="I136" s="11"/>
      <c r="J136" s="11"/>
      <c r="K136" s="11" t="s">
        <f>""</f>
      </c>
      <c r="L136" s="11" t="s">
        <f t="shared" si="239"/>
      </c>
      <c r="M136" s="8" t="s">
        <f t="shared" si="240"/>
      </c>
      <c r="N136" s="11"/>
      <c r="O136" s="10">
        <f ref="O136:P136" t="shared" si="1194">A136</f>
        <v>0</v>
      </c>
      <c r="P136" s="11">
        <f t="shared" si="1194"/>
        <v>0</v>
      </c>
      <c r="Q136" s="11" t="s">
        <f t="shared" si="247"/>
      </c>
      <c r="R136" s="11">
        <f t="shared" si="241"/>
        <v>0</v>
      </c>
      <c r="S136" s="11">
        <f ref="S136:U136" t="shared" si="1193">E136</f>
        <v>0</v>
      </c>
      <c r="T136" s="11">
        <f t="shared" si="1193"/>
        <v>0</v>
      </c>
      <c r="U136" s="11">
        <f t="shared" si="1193"/>
        <v>0</v>
      </c>
      <c r="V136" s="11">
        <f t="shared" si="246"/>
      </c>
      <c r="W136" s="11" t="s">
        <f t="shared" si="245"/>
      </c>
      <c r="X136" s="11" t="s">
        <f t="shared" si="242"/>
      </c>
    </row>
    <row r="137" ht="12.50" customHeight="true">
      <c r="A137" s="10"/>
      <c r="B137" s="11"/>
      <c r="C137" s="11"/>
      <c r="D137" s="11"/>
      <c r="E137" s="11"/>
      <c r="F137" s="11"/>
      <c r="G137" s="11"/>
      <c r="H137" s="11"/>
      <c r="I137" s="11"/>
      <c r="J137" s="11"/>
      <c r="K137" s="11" t="s">
        <f>""</f>
      </c>
      <c r="L137" s="11" t="s">
        <f t="shared" si="239"/>
      </c>
      <c r="M137" s="8" t="s">
        <f t="shared" si="240"/>
      </c>
      <c r="N137" s="11"/>
      <c r="O137" s="10">
        <f ref="O137:P137" t="shared" si="266">A137</f>
        <v>0</v>
      </c>
      <c r="P137" s="11">
        <f t="shared" si="266"/>
        <v>0</v>
      </c>
      <c r="Q137" s="11" t="s">
        <f t="shared" si="247"/>
      </c>
      <c r="R137" s="11">
        <f t="shared" si="241"/>
        <v>0</v>
      </c>
      <c r="S137" s="11">
        <f ref="S137:U137" t="shared" si="267">E137</f>
        <v>0</v>
      </c>
      <c r="T137" s="11">
        <f t="shared" si="267"/>
        <v>0</v>
      </c>
      <c r="U137" s="11">
        <f t="shared" si="267"/>
        <v>0</v>
      </c>
      <c r="V137" s="11">
        <f t="shared" si="246"/>
      </c>
      <c r="W137" s="11" t="s">
        <f t="shared" si="245"/>
      </c>
      <c r="X137" s="11" t="s">
        <f t="shared" si="242"/>
      </c>
    </row>
    <row r="138" ht="12.50" customHeight="true">
      <c r="A138" s="10"/>
      <c r="B138" s="11"/>
      <c r="C138" s="11"/>
      <c r="D138" s="11"/>
      <c r="E138" s="11"/>
      <c r="F138" s="11"/>
      <c r="G138" s="11"/>
      <c r="H138" s="11"/>
      <c r="I138" s="11"/>
      <c r="J138" s="11"/>
      <c r="K138" s="11" t="s">
        <f>""</f>
      </c>
      <c r="L138" s="11" t="s">
        <f t="shared" si="239"/>
      </c>
      <c r="M138" s="8" t="s">
        <f t="shared" si="240"/>
      </c>
      <c r="N138" s="11"/>
      <c r="O138" s="10">
        <f ref="O138:P138" t="shared" si="606">A138</f>
        <v>0</v>
      </c>
      <c r="P138" s="11">
        <f t="shared" si="606"/>
        <v>0</v>
      </c>
      <c r="Q138" s="11" t="s">
        <f t="shared" si="247"/>
      </c>
      <c r="R138" s="11">
        <f t="shared" si="241"/>
        <v>0</v>
      </c>
      <c r="S138" s="11">
        <f ref="S138:U138" t="shared" si="607">E138</f>
        <v>0</v>
      </c>
      <c r="T138" s="11">
        <f t="shared" si="607"/>
        <v>0</v>
      </c>
      <c r="U138" s="11">
        <f t="shared" si="607"/>
        <v>0</v>
      </c>
      <c r="V138" s="11">
        <f t="shared" si="246"/>
      </c>
      <c r="W138" s="11" t="s">
        <f t="shared" si="245"/>
      </c>
      <c r="X138" s="11" t="s">
        <f t="shared" si="242"/>
      </c>
    </row>
    <row r="139" ht="12.50" customHeight="true">
      <c r="A139" s="10"/>
      <c r="B139" s="11"/>
      <c r="C139" s="11"/>
      <c r="D139" s="11"/>
      <c r="E139" s="11"/>
      <c r="F139" s="11"/>
      <c r="G139" s="11"/>
      <c r="H139" s="11"/>
      <c r="I139" s="11"/>
      <c r="J139" s="11"/>
      <c r="K139" s="11" t="s">
        <f>""</f>
      </c>
      <c r="L139" s="11" t="s">
        <f t="shared" si="239"/>
      </c>
      <c r="M139" s="8" t="s">
        <f t="shared" si="240"/>
      </c>
      <c r="N139" s="11"/>
      <c r="O139" s="10">
        <f ref="O139:P139" t="shared" si="1065">A139</f>
        <v>0</v>
      </c>
      <c r="P139" s="11">
        <f t="shared" si="1065"/>
        <v>0</v>
      </c>
      <c r="Q139" s="11" t="s">
        <f t="shared" si="247"/>
      </c>
      <c r="R139" s="11">
        <f t="shared" si="241"/>
        <v>0</v>
      </c>
      <c r="S139" s="11">
        <f ref="S139:U139" t="shared" si="1066">E139</f>
        <v>0</v>
      </c>
      <c r="T139" s="11">
        <f t="shared" si="1066"/>
        <v>0</v>
      </c>
      <c r="U139" s="11">
        <f t="shared" si="1066"/>
        <v>0</v>
      </c>
      <c r="V139" s="11">
        <f t="shared" si="246"/>
      </c>
      <c r="W139" s="11" t="s">
        <f t="shared" si="245"/>
      </c>
      <c r="X139" s="11" t="s">
        <f t="shared" si="242"/>
      </c>
    </row>
    <row r="140" ht="12.50" customHeight="true">
      <c r="A140" s="10"/>
      <c r="B140" s="11"/>
      <c r="C140" s="11"/>
      <c r="D140" s="11"/>
      <c r="E140" s="11"/>
      <c r="F140" s="11"/>
      <c r="G140" s="11"/>
      <c r="H140" s="11"/>
      <c r="I140" s="11"/>
      <c r="J140" s="11"/>
      <c r="K140" s="11" t="s">
        <f>""</f>
      </c>
      <c r="L140" s="11" t="s">
        <f t="shared" si="239"/>
      </c>
      <c r="M140" s="8" t="s">
        <f t="shared" si="240"/>
      </c>
      <c r="N140" s="11"/>
      <c r="O140" s="10">
        <f ref="O140:P140" t="shared" si="751">A140</f>
        <v>0</v>
      </c>
      <c r="P140" s="11">
        <f t="shared" si="751"/>
        <v>0</v>
      </c>
      <c r="Q140" s="11" t="s">
        <f t="shared" si="247"/>
      </c>
      <c r="R140" s="11">
        <f t="shared" si="241"/>
        <v>0</v>
      </c>
      <c r="S140" s="11">
        <f ref="S140:U140" t="shared" si="750">E140</f>
        <v>0</v>
      </c>
      <c r="T140" s="11">
        <f t="shared" si="750"/>
        <v>0</v>
      </c>
      <c r="U140" s="11">
        <f t="shared" si="750"/>
        <v>0</v>
      </c>
      <c r="V140" s="11">
        <f t="shared" si="246"/>
      </c>
      <c r="W140" s="11" t="s">
        <f t="shared" si="245"/>
      </c>
      <c r="X140" s="11" t="s">
        <f t="shared" si="242"/>
      </c>
    </row>
    <row r="141" ht="12.50" customHeight="true">
      <c r="A141" s="10"/>
      <c r="B141" s="11"/>
      <c r="C141" s="11"/>
      <c r="D141" s="11"/>
      <c r="E141" s="11"/>
      <c r="F141" s="11"/>
      <c r="G141" s="11"/>
      <c r="H141" s="11"/>
      <c r="I141" s="11"/>
      <c r="J141" s="11"/>
      <c r="K141" s="11" t="s">
        <f>""</f>
      </c>
      <c r="L141" s="11" t="s">
        <f t="shared" si="239"/>
      </c>
      <c r="M141" s="8" t="s">
        <f t="shared" si="240"/>
      </c>
      <c r="N141" s="11"/>
      <c r="O141" s="10">
        <f ref="O141:P141" t="shared" si="798">A141</f>
        <v>0</v>
      </c>
      <c r="P141" s="11">
        <f t="shared" si="798"/>
        <v>0</v>
      </c>
      <c r="Q141" s="11" t="s">
        <f t="shared" si="247"/>
      </c>
      <c r="R141" s="11">
        <f t="shared" si="241"/>
        <v>0</v>
      </c>
      <c r="S141" s="11">
        <f ref="S141:U141" t="shared" si="799">E141</f>
        <v>0</v>
      </c>
      <c r="T141" s="11">
        <f t="shared" si="799"/>
        <v>0</v>
      </c>
      <c r="U141" s="11">
        <f t="shared" si="799"/>
        <v>0</v>
      </c>
      <c r="V141" s="11">
        <f t="shared" si="246"/>
      </c>
      <c r="W141" s="11" t="s">
        <f t="shared" si="245"/>
      </c>
      <c r="X141" s="11" t="s">
        <f t="shared" si="242"/>
      </c>
    </row>
    <row r="142" ht="12.50" customHeight="true">
      <c r="A142" s="10"/>
      <c r="B142" s="11"/>
      <c r="C142" s="11"/>
      <c r="D142" s="11"/>
      <c r="E142" s="11"/>
      <c r="F142" s="11"/>
      <c r="G142" s="11"/>
      <c r="H142" s="11"/>
      <c r="I142" s="11"/>
      <c r="J142" s="11"/>
      <c r="K142" s="11" t="s">
        <f>""</f>
      </c>
      <c r="L142" s="11" t="s">
        <f t="shared" si="239"/>
      </c>
      <c r="M142" s="8" t="s">
        <f t="shared" si="240"/>
      </c>
      <c r="N142" s="11"/>
      <c r="O142" s="10">
        <f ref="O142:P142" t="shared" si="767">A142</f>
        <v>0</v>
      </c>
      <c r="P142" s="11">
        <f t="shared" si="767"/>
        <v>0</v>
      </c>
      <c r="Q142" s="11" t="s">
        <f t="shared" si="247"/>
      </c>
      <c r="R142" s="11">
        <f t="shared" si="241"/>
        <v>0</v>
      </c>
      <c r="S142" s="11">
        <f ref="S142:U142" t="shared" si="766">E142</f>
        <v>0</v>
      </c>
      <c r="T142" s="11">
        <f t="shared" si="766"/>
        <v>0</v>
      </c>
      <c r="U142" s="11">
        <f t="shared" si="766"/>
        <v>0</v>
      </c>
      <c r="V142" s="11">
        <f t="shared" si="246"/>
      </c>
      <c r="W142" s="11" t="s">
        <f t="shared" si="245"/>
      </c>
      <c r="X142" s="11" t="s">
        <f t="shared" si="242"/>
      </c>
    </row>
    <row r="143" ht="12.50" customHeight="true">
      <c r="A143" s="10"/>
      <c r="B143" s="11"/>
      <c r="C143" s="11"/>
      <c r="D143" s="11"/>
      <c r="E143" s="11"/>
      <c r="F143" s="11"/>
      <c r="G143" s="11"/>
      <c r="H143" s="11"/>
      <c r="I143" s="11"/>
      <c r="J143" s="11"/>
      <c r="K143" s="11" t="s">
        <f>""</f>
      </c>
      <c r="L143" s="11" t="s">
        <f t="shared" si="239"/>
      </c>
      <c r="M143" s="8" t="s">
        <f t="shared" si="240"/>
      </c>
      <c r="N143" s="11"/>
      <c r="O143" s="10">
        <f ref="O143:P143" t="shared" si="1268">A143</f>
        <v>0</v>
      </c>
      <c r="P143" s="11">
        <f t="shared" si="1268"/>
        <v>0</v>
      </c>
      <c r="Q143" s="11" t="s">
        <f t="shared" si="247"/>
      </c>
      <c r="R143" s="11">
        <f t="shared" si="241"/>
        <v>0</v>
      </c>
      <c r="S143" s="11">
        <f ref="S143:U143" t="shared" si="1269">E143</f>
        <v>0</v>
      </c>
      <c r="T143" s="11">
        <f t="shared" si="1269"/>
        <v>0</v>
      </c>
      <c r="U143" s="11">
        <f t="shared" si="1269"/>
        <v>0</v>
      </c>
      <c r="V143" s="11">
        <f t="shared" si="246"/>
      </c>
      <c r="W143" s="11" t="s">
        <f t="shared" si="245"/>
      </c>
      <c r="X143" s="11" t="s">
        <f t="shared" si="242"/>
      </c>
    </row>
    <row r="144" ht="12.50" customHeight="true">
      <c r="A144" s="10"/>
      <c r="B144" s="11"/>
      <c r="C144" s="11"/>
      <c r="D144" s="11"/>
      <c r="E144" s="11"/>
      <c r="F144" s="11"/>
      <c r="G144" s="11"/>
      <c r="H144" s="11"/>
      <c r="I144" s="11"/>
      <c r="J144" s="11"/>
      <c r="K144" s="11" t="s">
        <f>""</f>
      </c>
      <c r="L144" s="11" t="s">
        <f t="shared" si="239"/>
      </c>
      <c r="M144" s="8" t="s">
        <f t="shared" si="240"/>
      </c>
      <c r="N144" s="11"/>
      <c r="O144" s="10">
        <f ref="O144:P144" t="shared" si="1140">A144</f>
        <v>0</v>
      </c>
      <c r="P144" s="11">
        <f t="shared" si="1140"/>
        <v>0</v>
      </c>
      <c r="Q144" s="11" t="s">
        <f t="shared" si="247"/>
      </c>
      <c r="R144" s="11">
        <f t="shared" si="241"/>
        <v>0</v>
      </c>
      <c r="S144" s="11">
        <f ref="S144:U144" t="shared" si="1139">E144</f>
        <v>0</v>
      </c>
      <c r="T144" s="11">
        <f t="shared" si="1139"/>
        <v>0</v>
      </c>
      <c r="U144" s="11">
        <f t="shared" si="1139"/>
        <v>0</v>
      </c>
      <c r="V144" s="11">
        <f t="shared" si="246"/>
      </c>
      <c r="W144" s="11" t="s">
        <f t="shared" si="245"/>
      </c>
      <c r="X144" s="11" t="s">
        <f t="shared" si="242"/>
      </c>
    </row>
    <row r="145" ht="12.50" customHeight="true">
      <c r="A145" s="10"/>
      <c r="B145" s="11"/>
      <c r="C145" s="11"/>
      <c r="D145" s="11"/>
      <c r="E145" s="11"/>
      <c r="F145" s="11"/>
      <c r="G145" s="11"/>
      <c r="H145" s="11"/>
      <c r="I145" s="11"/>
      <c r="J145" s="11"/>
      <c r="K145" s="11" t="s">
        <f>""</f>
      </c>
      <c r="L145" s="11" t="s">
        <f t="shared" si="239"/>
      </c>
      <c r="M145" s="8" t="s">
        <f t="shared" si="240"/>
      </c>
      <c r="N145" s="11"/>
      <c r="O145" s="10">
        <f ref="O145:P145" t="shared" si="1437">A145</f>
        <v>0</v>
      </c>
      <c r="P145" s="11">
        <f t="shared" si="1437"/>
        <v>0</v>
      </c>
      <c r="Q145" s="11" t="s">
        <f t="shared" si="247"/>
      </c>
      <c r="R145" s="11">
        <f t="shared" si="241"/>
        <v>0</v>
      </c>
      <c r="S145" s="11">
        <f ref="S145:U145" t="shared" si="1436">E145</f>
        <v>0</v>
      </c>
      <c r="T145" s="11">
        <f t="shared" si="1436"/>
        <v>0</v>
      </c>
      <c r="U145" s="11">
        <f t="shared" si="1436"/>
        <v>0</v>
      </c>
      <c r="V145" s="11">
        <f t="shared" si="246"/>
      </c>
      <c r="W145" s="11" t="s">
        <f t="shared" si="245"/>
      </c>
      <c r="X145" s="11" t="s">
        <f t="shared" si="242"/>
      </c>
    </row>
    <row r="146" ht="12.50" customHeight="true">
      <c r="A146" s="10"/>
      <c r="B146" s="11"/>
      <c r="C146" s="11"/>
      <c r="D146" s="11"/>
      <c r="E146" s="11"/>
      <c r="F146" s="11"/>
      <c r="G146" s="11"/>
      <c r="H146" s="11"/>
      <c r="I146" s="11"/>
      <c r="J146" s="11"/>
      <c r="K146" s="11" t="s">
        <f>""</f>
      </c>
      <c r="L146" s="11" t="s">
        <f t="shared" si="239"/>
      </c>
      <c r="M146" s="8" t="s">
        <f t="shared" si="240"/>
      </c>
      <c r="N146" s="11"/>
      <c r="O146" s="10">
        <f ref="O146:P146" t="shared" si="1396">A146</f>
        <v>0</v>
      </c>
      <c r="P146" s="11">
        <f t="shared" si="1396"/>
        <v>0</v>
      </c>
      <c r="Q146" s="11" t="s">
        <f t="shared" si="247"/>
      </c>
      <c r="R146" s="11">
        <f t="shared" si="241"/>
        <v>0</v>
      </c>
      <c r="S146" s="11">
        <f ref="S146:U146" t="shared" si="1397">E146</f>
        <v>0</v>
      </c>
      <c r="T146" s="11">
        <f t="shared" si="1397"/>
        <v>0</v>
      </c>
      <c r="U146" s="11">
        <f t="shared" si="1397"/>
        <v>0</v>
      </c>
      <c r="V146" s="11">
        <f t="shared" si="246"/>
      </c>
      <c r="W146" s="11" t="s">
        <f t="shared" si="245"/>
      </c>
      <c r="X146" s="11" t="s">
        <f t="shared" si="242"/>
      </c>
    </row>
    <row r="147" ht="12.50" customHeight="true">
      <c r="A147" s="10"/>
      <c r="B147" s="11"/>
      <c r="C147" s="11"/>
      <c r="D147" s="11"/>
      <c r="E147" s="11"/>
      <c r="F147" s="11"/>
      <c r="G147" s="11"/>
      <c r="H147" s="11"/>
      <c r="I147" s="11"/>
      <c r="J147" s="11"/>
      <c r="K147" s="11" t="s">
        <f>""</f>
      </c>
      <c r="L147" s="11" t="s">
        <f t="shared" si="239"/>
      </c>
      <c r="M147" s="8" t="s">
        <f t="shared" si="240"/>
      </c>
      <c r="N147" s="11"/>
      <c r="O147" s="10">
        <f ref="O147:P147" t="shared" si="600">A147</f>
        <v>0</v>
      </c>
      <c r="P147" s="11">
        <f t="shared" si="600"/>
        <v>0</v>
      </c>
      <c r="Q147" s="11" t="s">
        <f t="shared" si="247"/>
      </c>
      <c r="R147" s="11">
        <f t="shared" si="241"/>
        <v>0</v>
      </c>
      <c r="S147" s="11">
        <f ref="S147:U147" t="shared" si="601">E147</f>
        <v>0</v>
      </c>
      <c r="T147" s="11">
        <f t="shared" si="601"/>
        <v>0</v>
      </c>
      <c r="U147" s="11">
        <f t="shared" si="601"/>
        <v>0</v>
      </c>
      <c r="V147" s="11">
        <f t="shared" si="246"/>
      </c>
      <c r="W147" s="11" t="s">
        <f t="shared" si="245"/>
      </c>
      <c r="X147" s="11" t="s">
        <f t="shared" si="242"/>
      </c>
    </row>
    <row r="148" ht="12.50" customHeight="true">
      <c r="A148" s="10"/>
      <c r="B148" s="11"/>
      <c r="C148" s="11"/>
      <c r="D148" s="11"/>
      <c r="E148" s="11"/>
      <c r="F148" s="11"/>
      <c r="G148" s="11"/>
      <c r="H148" s="11"/>
      <c r="I148" s="11"/>
      <c r="J148" s="11"/>
      <c r="K148" s="11" t="s">
        <f>""</f>
      </c>
      <c r="L148" s="11" t="s">
        <f t="shared" si="239"/>
      </c>
      <c r="M148" s="8" t="s">
        <f t="shared" si="240"/>
      </c>
      <c r="N148" s="11"/>
      <c r="O148" s="10">
        <f ref="O148:P148" t="shared" si="233">A148</f>
        <v>0</v>
      </c>
      <c r="P148" s="11">
        <f t="shared" si="233"/>
        <v>0</v>
      </c>
      <c r="Q148" s="11" t="s">
        <f t="shared" si="247"/>
      </c>
      <c r="R148" s="11">
        <f t="shared" si="241"/>
        <v>0</v>
      </c>
      <c r="S148" s="11">
        <f ref="S148:U148" t="shared" si="234">E148</f>
        <v>0</v>
      </c>
      <c r="T148" s="11">
        <f t="shared" si="234"/>
        <v>0</v>
      </c>
      <c r="U148" s="11">
        <f t="shared" si="234"/>
        <v>0</v>
      </c>
      <c r="V148" s="11">
        <f t="shared" si="246"/>
      </c>
      <c r="W148" s="11" t="s">
        <f t="shared" si="245"/>
      </c>
      <c r="X148" s="11" t="s">
        <f t="shared" si="242"/>
      </c>
    </row>
    <row r="149" ht="12.50" customHeight="true">
      <c r="A149" s="10"/>
      <c r="B149" s="11"/>
      <c r="C149" s="11"/>
      <c r="D149" s="11"/>
      <c r="E149" s="11"/>
      <c r="F149" s="11"/>
      <c r="G149" s="11"/>
      <c r="H149" s="11"/>
      <c r="I149" s="11"/>
      <c r="J149" s="11"/>
      <c r="K149" s="11" t="s">
        <f>""</f>
      </c>
      <c r="L149" s="11" t="s">
        <f t="shared" si="239"/>
      </c>
      <c r="M149" s="8" t="s">
        <f t="shared" si="240"/>
      </c>
      <c r="N149" s="11"/>
      <c r="O149" s="10">
        <f ref="O149:P149" t="shared" si="755">A149</f>
        <v>0</v>
      </c>
      <c r="P149" s="11">
        <f t="shared" si="755"/>
        <v>0</v>
      </c>
      <c r="Q149" s="11" t="s">
        <f t="shared" si="247"/>
      </c>
      <c r="R149" s="11">
        <f t="shared" si="241"/>
        <v>0</v>
      </c>
      <c r="S149" s="11">
        <f ref="S149:U149" t="shared" si="754">E149</f>
        <v>0</v>
      </c>
      <c r="T149" s="11">
        <f t="shared" si="754"/>
        <v>0</v>
      </c>
      <c r="U149" s="11">
        <f t="shared" si="754"/>
        <v>0</v>
      </c>
      <c r="V149" s="11">
        <f t="shared" si="246"/>
      </c>
      <c r="W149" s="11" t="s">
        <f t="shared" si="245"/>
      </c>
      <c r="X149" s="11" t="s">
        <f t="shared" si="242"/>
      </c>
    </row>
    <row r="150" ht="12.50" customHeight="true">
      <c r="A150" s="10"/>
      <c r="B150" s="11"/>
      <c r="C150" s="11"/>
      <c r="D150" s="11"/>
      <c r="E150" s="11"/>
      <c r="F150" s="11"/>
      <c r="G150" s="11"/>
      <c r="H150" s="11"/>
      <c r="I150" s="11"/>
      <c r="J150" s="11"/>
      <c r="K150" s="11" t="s">
        <f>""</f>
      </c>
      <c r="L150" s="11" t="s">
        <f t="shared" si="239"/>
      </c>
      <c r="M150" s="8" t="s">
        <f t="shared" si="240"/>
      </c>
      <c r="N150" s="11"/>
      <c r="O150" s="10">
        <f ref="O150:P150" t="shared" si="1659">A150</f>
        <v>0</v>
      </c>
      <c r="P150" s="11">
        <f t="shared" si="1659"/>
        <v>0</v>
      </c>
      <c r="Q150" s="11" t="s">
        <f t="shared" si="247"/>
      </c>
      <c r="R150" s="11">
        <f t="shared" si="241"/>
        <v>0</v>
      </c>
      <c r="S150" s="11">
        <f ref="S150:U150" t="shared" si="1658">E150</f>
        <v>0</v>
      </c>
      <c r="T150" s="11">
        <f t="shared" si="1658"/>
        <v>0</v>
      </c>
      <c r="U150" s="11">
        <f t="shared" si="1658"/>
        <v>0</v>
      </c>
      <c r="V150" s="11">
        <f t="shared" si="246"/>
      </c>
      <c r="W150" s="11" t="s">
        <f t="shared" si="245"/>
      </c>
      <c r="X150" s="11" t="s">
        <f t="shared" si="242"/>
      </c>
    </row>
    <row r="151" ht="12.50" customHeight="true">
      <c r="A151" s="10"/>
      <c r="B151" s="11"/>
      <c r="C151" s="11"/>
      <c r="D151" s="11"/>
      <c r="E151" s="11"/>
      <c r="F151" s="11"/>
      <c r="G151" s="11"/>
      <c r="H151" s="11"/>
      <c r="I151" s="11"/>
      <c r="J151" s="11"/>
      <c r="K151" s="11" t="s">
        <f>""</f>
      </c>
      <c r="L151" s="11" t="s">
        <f t="shared" si="239"/>
      </c>
      <c r="M151" s="8" t="s">
        <f t="shared" si="240"/>
      </c>
      <c r="N151" s="11"/>
      <c r="O151" s="10">
        <f ref="O151:P151" t="shared" si="1705">A151</f>
        <v>0</v>
      </c>
      <c r="P151" s="11">
        <f t="shared" si="1705"/>
        <v>0</v>
      </c>
      <c r="Q151" s="11" t="s">
        <f t="shared" si="247"/>
      </c>
      <c r="R151" s="11">
        <f t="shared" si="241"/>
        <v>0</v>
      </c>
      <c r="S151" s="11">
        <f ref="S151:U151" t="shared" si="1704">E151</f>
        <v>0</v>
      </c>
      <c r="T151" s="11">
        <f t="shared" si="1704"/>
        <v>0</v>
      </c>
      <c r="U151" s="11">
        <f t="shared" si="1704"/>
        <v>0</v>
      </c>
      <c r="V151" s="11">
        <f t="shared" si="246"/>
      </c>
      <c r="W151" s="11" t="s">
        <f t="shared" si="245"/>
      </c>
      <c r="X151" s="11" t="s">
        <f t="shared" si="242"/>
      </c>
    </row>
    <row r="152" ht="12.50" customHeight="true">
      <c r="A152" s="10"/>
      <c r="B152" s="11"/>
      <c r="C152" s="11"/>
      <c r="D152" s="11"/>
      <c r="E152" s="11"/>
      <c r="F152" s="11"/>
      <c r="G152" s="11"/>
      <c r="H152" s="11"/>
      <c r="I152" s="11"/>
      <c r="J152" s="11"/>
      <c r="K152" s="11" t="s">
        <f>""</f>
      </c>
      <c r="L152" s="11" t="s">
        <f t="shared" si="239"/>
      </c>
      <c r="M152" s="8" t="s">
        <f t="shared" si="240"/>
      </c>
      <c r="N152" s="11"/>
      <c r="O152" s="10">
        <f ref="O152:P152" t="shared" si="917">A152</f>
        <v>0</v>
      </c>
      <c r="P152" s="11">
        <f t="shared" si="917"/>
        <v>0</v>
      </c>
      <c r="Q152" s="11" t="s">
        <f t="shared" si="247"/>
      </c>
      <c r="R152" s="11">
        <f t="shared" si="241"/>
        <v>0</v>
      </c>
      <c r="S152" s="11">
        <f ref="S152:U152" t="shared" si="916">E152</f>
        <v>0</v>
      </c>
      <c r="T152" s="11">
        <f t="shared" si="916"/>
        <v>0</v>
      </c>
      <c r="U152" s="11">
        <f t="shared" si="916"/>
        <v>0</v>
      </c>
      <c r="V152" s="11">
        <f t="shared" si="246"/>
      </c>
      <c r="W152" s="11" t="s">
        <f t="shared" si="245"/>
      </c>
      <c r="X152" s="11" t="s">
        <f t="shared" si="242"/>
      </c>
    </row>
    <row r="153" ht="12.50" customHeight="true">
      <c r="A153" s="10"/>
      <c r="B153" s="11"/>
      <c r="C153" s="11"/>
      <c r="D153" s="11"/>
      <c r="E153" s="11"/>
      <c r="F153" s="11"/>
      <c r="G153" s="11"/>
      <c r="H153" s="11"/>
      <c r="I153" s="11"/>
      <c r="J153" s="11"/>
      <c r="K153" s="11" t="s">
        <f>""</f>
      </c>
      <c r="L153" s="11" t="s">
        <f t="shared" si="239"/>
      </c>
      <c r="M153" s="8" t="s">
        <f t="shared" si="240"/>
      </c>
      <c r="N153" s="11"/>
      <c r="O153" s="10">
        <f ref="O153:P153" t="shared" si="1943">A153</f>
        <v>0</v>
      </c>
      <c r="P153" s="11">
        <f t="shared" si="1943"/>
        <v>0</v>
      </c>
      <c r="Q153" s="11" t="s">
        <f t="shared" si="247"/>
      </c>
      <c r="R153" s="11">
        <f t="shared" si="241"/>
        <v>0</v>
      </c>
      <c r="S153" s="11">
        <f ref="S153:U153" t="shared" si="1942">E153</f>
        <v>0</v>
      </c>
      <c r="T153" s="11">
        <f t="shared" si="1942"/>
        <v>0</v>
      </c>
      <c r="U153" s="11">
        <f t="shared" si="1942"/>
        <v>0</v>
      </c>
      <c r="V153" s="11">
        <f t="shared" si="246"/>
      </c>
      <c r="W153" s="11" t="s">
        <f t="shared" si="245"/>
      </c>
      <c r="X153" s="11" t="s">
        <f t="shared" si="242"/>
      </c>
    </row>
    <row r="154" ht="12.50" customHeight="true">
      <c r="A154" s="10"/>
      <c r="B154" s="11"/>
      <c r="C154" s="11"/>
      <c r="D154" s="11"/>
      <c r="E154" s="11"/>
      <c r="F154" s="11"/>
      <c r="G154" s="11"/>
      <c r="H154" s="11"/>
      <c r="I154" s="11"/>
      <c r="J154" s="11"/>
      <c r="K154" s="11" t="s">
        <f>""</f>
      </c>
      <c r="L154" s="11" t="s">
        <f t="shared" si="239"/>
      </c>
      <c r="M154" s="8" t="s">
        <f t="shared" si="240"/>
      </c>
      <c r="N154" s="11"/>
      <c r="O154" s="10">
        <f ref="O154:P154" t="shared" si="1722">A154</f>
        <v>0</v>
      </c>
      <c r="P154" s="11">
        <f t="shared" si="1722"/>
        <v>0</v>
      </c>
      <c r="Q154" s="11" t="s">
        <f t="shared" si="247"/>
      </c>
      <c r="R154" s="11">
        <f t="shared" si="241"/>
        <v>0</v>
      </c>
      <c r="S154" s="11">
        <f ref="S154:U154" t="shared" si="1723">E154</f>
        <v>0</v>
      </c>
      <c r="T154" s="11">
        <f t="shared" si="1723"/>
        <v>0</v>
      </c>
      <c r="U154" s="11">
        <f t="shared" si="1723"/>
        <v>0</v>
      </c>
      <c r="V154" s="11">
        <f t="shared" si="246"/>
      </c>
      <c r="W154" s="11" t="s">
        <f t="shared" si="245"/>
      </c>
      <c r="X154" s="11" t="s">
        <f t="shared" si="242"/>
      </c>
    </row>
    <row r="155" ht="12.50" customHeight="true">
      <c r="A155" s="10"/>
      <c r="B155" s="11"/>
      <c r="C155" s="11"/>
      <c r="D155" s="11"/>
      <c r="E155" s="11"/>
      <c r="F155" s="11"/>
      <c r="G155" s="11"/>
      <c r="H155" s="11"/>
      <c r="I155" s="11"/>
      <c r="J155" s="11"/>
      <c r="K155" s="11" t="s">
        <f>""</f>
      </c>
      <c r="L155" s="11" t="s">
        <f t="shared" si="239"/>
      </c>
      <c r="M155" s="8" t="s">
        <f t="shared" si="240"/>
      </c>
      <c r="N155" s="11"/>
      <c r="O155" s="10">
        <f ref="O155:P155" t="shared" si="1092">A155</f>
        <v>0</v>
      </c>
      <c r="P155" s="11">
        <f t="shared" si="1092"/>
        <v>0</v>
      </c>
      <c r="Q155" s="11" t="s">
        <f t="shared" si="247"/>
      </c>
      <c r="R155" s="11">
        <f t="shared" si="241"/>
        <v>0</v>
      </c>
      <c r="S155" s="11">
        <f ref="S155:U155" t="shared" si="1091">E155</f>
        <v>0</v>
      </c>
      <c r="T155" s="11">
        <f t="shared" si="1091"/>
        <v>0</v>
      </c>
      <c r="U155" s="11">
        <f t="shared" si="1091"/>
        <v>0</v>
      </c>
      <c r="V155" s="11">
        <f t="shared" si="246"/>
      </c>
      <c r="W155" s="11" t="s">
        <f t="shared" si="245"/>
      </c>
      <c r="X155" s="11" t="s">
        <f t="shared" si="242"/>
      </c>
    </row>
    <row r="156" ht="12.50" customHeight="true">
      <c r="A156" s="10"/>
      <c r="B156" s="11"/>
      <c r="C156" s="11"/>
      <c r="D156" s="11"/>
      <c r="E156" s="11"/>
      <c r="F156" s="11"/>
      <c r="G156" s="11"/>
      <c r="H156" s="11"/>
      <c r="I156" s="11"/>
      <c r="J156" s="11"/>
      <c r="K156" s="11" t="s">
        <f>""</f>
      </c>
      <c r="L156" s="11" t="s">
        <f t="shared" si="239"/>
      </c>
      <c r="M156" s="8" t="s">
        <f t="shared" si="240"/>
      </c>
      <c r="N156" s="11"/>
      <c r="O156" s="10">
        <f ref="O156:P156" t="shared" si="1173">A156</f>
        <v>0</v>
      </c>
      <c r="P156" s="11">
        <f t="shared" si="1173"/>
        <v>0</v>
      </c>
      <c r="Q156" s="11" t="s">
        <f t="shared" si="247"/>
      </c>
      <c r="R156" s="11">
        <f t="shared" si="241"/>
        <v>0</v>
      </c>
      <c r="S156" s="11">
        <f ref="S156:U156" t="shared" si="1174">E156</f>
        <v>0</v>
      </c>
      <c r="T156" s="11">
        <f t="shared" si="1174"/>
        <v>0</v>
      </c>
      <c r="U156" s="11">
        <f t="shared" si="1174"/>
        <v>0</v>
      </c>
      <c r="V156" s="11">
        <f t="shared" si="246"/>
      </c>
      <c r="W156" s="11" t="s">
        <f t="shared" si="245"/>
      </c>
      <c r="X156" s="11" t="s">
        <f t="shared" si="242"/>
      </c>
    </row>
    <row r="157" ht="12.50" customHeight="true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 t="s">
        <f>""</f>
      </c>
      <c r="L157" s="11" t="s">
        <f t="shared" si="239"/>
      </c>
      <c r="M157" s="8" t="s">
        <f t="shared" si="240"/>
      </c>
      <c r="N157" s="11"/>
      <c r="O157" s="10">
        <f ref="O157:P157" t="shared" si="1983">A157</f>
        <v>0</v>
      </c>
      <c r="P157" s="11">
        <f t="shared" si="1983"/>
        <v>0</v>
      </c>
      <c r="Q157" s="11" t="s">
        <f t="shared" si="247"/>
      </c>
      <c r="R157" s="11">
        <f t="shared" si="241"/>
        <v>0</v>
      </c>
      <c r="S157" s="11">
        <f ref="S157:U157" t="shared" si="1982">E157</f>
        <v>0</v>
      </c>
      <c r="T157" s="11">
        <f t="shared" si="1982"/>
        <v>0</v>
      </c>
      <c r="U157" s="11">
        <f t="shared" si="1982"/>
        <v>0</v>
      </c>
      <c r="V157" s="11">
        <f t="shared" si="246"/>
      </c>
      <c r="W157" s="11" t="s">
        <f t="shared" si="245"/>
      </c>
      <c r="X157" s="11" t="s">
        <f t="shared" si="242"/>
      </c>
    </row>
    <row r="158" ht="12.50" customHeight="true">
      <c r="A158" s="10"/>
      <c r="B158" s="11"/>
      <c r="C158" s="11"/>
      <c r="D158" s="11"/>
      <c r="E158" s="11"/>
      <c r="F158" s="11"/>
      <c r="G158" s="11"/>
      <c r="H158" s="11"/>
      <c r="I158" s="11"/>
      <c r="J158" s="11"/>
      <c r="K158" s="11" t="s">
        <f>""</f>
      </c>
      <c r="L158" s="11" t="s">
        <f t="shared" si="239"/>
      </c>
      <c r="M158" s="8" t="s">
        <f t="shared" si="240"/>
      </c>
      <c r="N158" s="11"/>
      <c r="O158" s="10">
        <f ref="O158:P158" t="shared" si="1687">A158</f>
        <v>0</v>
      </c>
      <c r="P158" s="11">
        <f t="shared" si="1687"/>
        <v>0</v>
      </c>
      <c r="Q158" s="11" t="s">
        <f t="shared" si="247"/>
      </c>
      <c r="R158" s="11">
        <f t="shared" si="241"/>
        <v>0</v>
      </c>
      <c r="S158" s="11">
        <f ref="S158:U158" t="shared" si="1686">E158</f>
        <v>0</v>
      </c>
      <c r="T158" s="11">
        <f t="shared" si="1686"/>
        <v>0</v>
      </c>
      <c r="U158" s="11">
        <f t="shared" si="1686"/>
        <v>0</v>
      </c>
      <c r="V158" s="11">
        <f t="shared" si="246"/>
      </c>
      <c r="W158" s="11" t="s">
        <f t="shared" si="245"/>
      </c>
      <c r="X158" s="11" t="s">
        <f t="shared" si="242"/>
      </c>
    </row>
    <row r="159" ht="12.50" customHeight="true">
      <c r="A159" s="10"/>
      <c r="B159" s="11"/>
      <c r="C159" s="11"/>
      <c r="D159" s="11"/>
      <c r="E159" s="11"/>
      <c r="F159" s="11"/>
      <c r="G159" s="11"/>
      <c r="H159" s="11"/>
      <c r="I159" s="11"/>
      <c r="J159" s="11"/>
      <c r="K159" s="11" t="s">
        <f>""</f>
      </c>
      <c r="L159" s="11" t="s">
        <f t="shared" si="239"/>
      </c>
      <c r="M159" s="8" t="s">
        <f t="shared" si="240"/>
      </c>
      <c r="N159" s="11"/>
      <c r="O159" s="10">
        <f ref="O159:P159" t="shared" si="967">A159</f>
        <v>0</v>
      </c>
      <c r="P159" s="11">
        <f t="shared" si="967"/>
        <v>0</v>
      </c>
      <c r="Q159" s="11" t="s">
        <f t="shared" si="247"/>
      </c>
      <c r="R159" s="11">
        <f t="shared" si="241"/>
        <v>0</v>
      </c>
      <c r="S159" s="11">
        <f ref="S159:U159" t="shared" si="968">E159</f>
        <v>0</v>
      </c>
      <c r="T159" s="11">
        <f t="shared" si="968"/>
        <v>0</v>
      </c>
      <c r="U159" s="11">
        <f t="shared" si="968"/>
        <v>0</v>
      </c>
      <c r="V159" s="11">
        <f t="shared" si="246"/>
      </c>
      <c r="W159" s="11" t="s">
        <f t="shared" si="245"/>
      </c>
      <c r="X159" s="11" t="s">
        <f t="shared" si="242"/>
      </c>
    </row>
    <row r="160" ht="12.50" customHeight="true">
      <c r="A160" s="10"/>
      <c r="B160" s="11"/>
      <c r="C160" s="11"/>
      <c r="D160" s="11"/>
      <c r="E160" s="11"/>
      <c r="F160" s="11"/>
      <c r="G160" s="11"/>
      <c r="H160" s="11"/>
      <c r="I160" s="11"/>
      <c r="J160" s="11"/>
      <c r="K160" s="11" t="s">
        <f>""</f>
      </c>
      <c r="L160" s="11" t="s">
        <f t="shared" si="239"/>
      </c>
      <c r="M160" s="8" t="s">
        <f t="shared" si="240"/>
      </c>
      <c r="N160" s="11"/>
      <c r="O160" s="10">
        <f ref="O160:P160" t="shared" si="572">A160</f>
        <v>0</v>
      </c>
      <c r="P160" s="11">
        <f t="shared" si="572"/>
        <v>0</v>
      </c>
      <c r="Q160" s="11" t="s">
        <f t="shared" si="247"/>
      </c>
      <c r="R160" s="11">
        <f t="shared" si="241"/>
        <v>0</v>
      </c>
      <c r="S160" s="11">
        <f ref="S160:U160" t="shared" si="573">E160</f>
        <v>0</v>
      </c>
      <c r="T160" s="11">
        <f t="shared" si="573"/>
        <v>0</v>
      </c>
      <c r="U160" s="11">
        <f t="shared" si="573"/>
        <v>0</v>
      </c>
      <c r="V160" s="11">
        <f t="shared" si="246"/>
      </c>
      <c r="W160" s="11" t="s">
        <f t="shared" si="245"/>
      </c>
      <c r="X160" s="11" t="s">
        <f t="shared" si="242"/>
      </c>
    </row>
    <row r="161" ht="12.50" customHeight="true">
      <c r="A161" s="10"/>
      <c r="B161" s="11"/>
      <c r="C161" s="11"/>
      <c r="D161" s="11"/>
      <c r="E161" s="11"/>
      <c r="F161" s="11"/>
      <c r="G161" s="11"/>
      <c r="H161" s="11"/>
      <c r="I161" s="11"/>
      <c r="J161" s="11"/>
      <c r="K161" s="11" t="s">
        <f>""</f>
      </c>
      <c r="L161" s="11" t="s">
        <f t="shared" si="239"/>
      </c>
      <c r="M161" s="8" t="s">
        <f t="shared" si="240"/>
      </c>
      <c r="N161" s="11"/>
      <c r="O161" s="10">
        <f ref="O161:P161" t="shared" si="1156">A161</f>
        <v>0</v>
      </c>
      <c r="P161" s="11">
        <f t="shared" si="1156"/>
        <v>0</v>
      </c>
      <c r="Q161" s="11" t="s">
        <f t="shared" si="247"/>
      </c>
      <c r="R161" s="11">
        <f t="shared" si="241"/>
        <v>0</v>
      </c>
      <c r="S161" s="11">
        <f ref="S161:U161" t="shared" si="1155">E161</f>
        <v>0</v>
      </c>
      <c r="T161" s="11">
        <f t="shared" si="1155"/>
        <v>0</v>
      </c>
      <c r="U161" s="11">
        <f t="shared" si="1155"/>
        <v>0</v>
      </c>
      <c r="V161" s="11">
        <f t="shared" si="246"/>
      </c>
      <c r="W161" s="11" t="s">
        <f t="shared" si="245"/>
      </c>
      <c r="X161" s="11" t="s">
        <f t="shared" si="242"/>
      </c>
    </row>
    <row r="162" ht="12.50" customHeight="true">
      <c r="A162" s="10"/>
      <c r="B162" s="11"/>
      <c r="C162" s="11"/>
      <c r="D162" s="11"/>
      <c r="E162" s="11"/>
      <c r="F162" s="11"/>
      <c r="G162" s="11"/>
      <c r="H162" s="11"/>
      <c r="I162" s="11"/>
      <c r="J162" s="11"/>
      <c r="K162" s="11" t="s">
        <f>""</f>
      </c>
      <c r="L162" s="11" t="s">
        <f t="shared" si="239"/>
      </c>
      <c r="M162" s="8" t="s">
        <f t="shared" si="240"/>
      </c>
      <c r="N162" s="11"/>
      <c r="O162" s="10">
        <f ref="O162:P162" t="shared" si="1960">A162</f>
        <v>0</v>
      </c>
      <c r="P162" s="11">
        <f t="shared" si="1960"/>
        <v>0</v>
      </c>
      <c r="Q162" s="11" t="s">
        <f t="shared" si="247"/>
      </c>
      <c r="R162" s="11">
        <f t="shared" si="241"/>
        <v>0</v>
      </c>
      <c r="S162" s="11">
        <f ref="S162:U162" t="shared" si="1961">E162</f>
        <v>0</v>
      </c>
      <c r="T162" s="11">
        <f t="shared" si="1961"/>
        <v>0</v>
      </c>
      <c r="U162" s="11">
        <f t="shared" si="1961"/>
        <v>0</v>
      </c>
      <c r="V162" s="11">
        <f t="shared" si="246"/>
      </c>
      <c r="W162" s="11" t="s">
        <f t="shared" si="245"/>
      </c>
      <c r="X162" s="11" t="s">
        <f t="shared" si="242"/>
      </c>
    </row>
    <row r="163" ht="12.50" customHeight="true">
      <c r="A163" s="10"/>
      <c r="B163" s="11"/>
      <c r="C163" s="11"/>
      <c r="D163" s="11"/>
      <c r="E163" s="11"/>
      <c r="F163" s="11"/>
      <c r="G163" s="11"/>
      <c r="H163" s="11"/>
      <c r="I163" s="11"/>
      <c r="J163" s="11"/>
      <c r="K163" s="11" t="s">
        <f>""</f>
      </c>
      <c r="L163" s="11" t="s">
        <f t="shared" si="239"/>
      </c>
      <c r="M163" s="8" t="s">
        <f t="shared" si="240"/>
      </c>
      <c r="N163" s="11"/>
      <c r="O163" s="10">
        <f ref="O163:P163" t="shared" si="1394">A163</f>
        <v>0</v>
      </c>
      <c r="P163" s="11">
        <f t="shared" si="1394"/>
        <v>0</v>
      </c>
      <c r="Q163" s="11" t="s">
        <f t="shared" si="247"/>
      </c>
      <c r="R163" s="11">
        <f t="shared" si="241"/>
        <v>0</v>
      </c>
      <c r="S163" s="11">
        <f ref="S163:U163" t="shared" si="1395">E163</f>
        <v>0</v>
      </c>
      <c r="T163" s="11">
        <f t="shared" si="1395"/>
        <v>0</v>
      </c>
      <c r="U163" s="11">
        <f t="shared" si="1395"/>
        <v>0</v>
      </c>
      <c r="V163" s="11">
        <f t="shared" si="246"/>
      </c>
      <c r="W163" s="11" t="s">
        <f t="shared" si="245"/>
      </c>
      <c r="X163" s="11" t="s">
        <f t="shared" si="242"/>
      </c>
    </row>
    <row r="164" ht="12.50" customHeight="true">
      <c r="A164" s="10"/>
      <c r="B164" s="11"/>
      <c r="C164" s="11"/>
      <c r="D164" s="11"/>
      <c r="E164" s="11"/>
      <c r="F164" s="11"/>
      <c r="G164" s="11"/>
      <c r="H164" s="11"/>
      <c r="I164" s="11"/>
      <c r="J164" s="11"/>
      <c r="K164" s="11" t="s">
        <f>""</f>
      </c>
      <c r="L164" s="11" t="s">
        <f t="shared" si="239"/>
      </c>
      <c r="M164" s="8" t="s">
        <f t="shared" si="240"/>
      </c>
      <c r="N164" s="11"/>
      <c r="O164" s="10">
        <f ref="O164:P164" t="shared" si="308">A164</f>
        <v>0</v>
      </c>
      <c r="P164" s="11">
        <f t="shared" si="308"/>
        <v>0</v>
      </c>
      <c r="Q164" s="11" t="s">
        <f t="shared" si="247"/>
      </c>
      <c r="R164" s="11">
        <f t="shared" si="241"/>
        <v>0</v>
      </c>
      <c r="S164" s="11">
        <f ref="S164:U164" t="shared" si="309">E164</f>
        <v>0</v>
      </c>
      <c r="T164" s="11">
        <f t="shared" si="309"/>
        <v>0</v>
      </c>
      <c r="U164" s="11">
        <f t="shared" si="309"/>
        <v>0</v>
      </c>
      <c r="V164" s="11">
        <f t="shared" si="246"/>
      </c>
      <c r="W164" s="11" t="s">
        <f t="shared" si="245"/>
      </c>
      <c r="X164" s="11" t="s">
        <f t="shared" si="242"/>
      </c>
    </row>
    <row r="165" ht="12.50" customHeight="true">
      <c r="A165" s="10"/>
      <c r="B165" s="11"/>
      <c r="C165" s="11"/>
      <c r="D165" s="11"/>
      <c r="E165" s="11"/>
      <c r="F165" s="11"/>
      <c r="G165" s="11"/>
      <c r="H165" s="11"/>
      <c r="I165" s="11"/>
      <c r="J165" s="11"/>
      <c r="K165" s="11" t="s">
        <f>""</f>
      </c>
      <c r="L165" s="11" t="s">
        <f t="shared" si="239"/>
      </c>
      <c r="M165" s="8" t="s">
        <f t="shared" si="240"/>
      </c>
      <c r="N165" s="11"/>
      <c r="O165" s="10">
        <f ref="O165:P165" t="shared" si="1694">A165</f>
        <v>0</v>
      </c>
      <c r="P165" s="11">
        <f t="shared" si="1694"/>
        <v>0</v>
      </c>
      <c r="Q165" s="11" t="s">
        <f t="shared" si="247"/>
      </c>
      <c r="R165" s="11">
        <f t="shared" si="241"/>
        <v>0</v>
      </c>
      <c r="S165" s="11">
        <f ref="S165:U165" t="shared" si="1695">E165</f>
        <v>0</v>
      </c>
      <c r="T165" s="11">
        <f t="shared" si="1695"/>
        <v>0</v>
      </c>
      <c r="U165" s="11">
        <f t="shared" si="1695"/>
        <v>0</v>
      </c>
      <c r="V165" s="11">
        <f t="shared" si="246"/>
      </c>
      <c r="W165" s="11" t="s">
        <f t="shared" si="245"/>
      </c>
      <c r="X165" s="11" t="s">
        <f t="shared" si="242"/>
      </c>
    </row>
    <row r="166" ht="12.50" customHeight="true">
      <c r="A166" s="10"/>
      <c r="B166" s="11"/>
      <c r="C166" s="11"/>
      <c r="D166" s="11"/>
      <c r="E166" s="11"/>
      <c r="F166" s="11"/>
      <c r="G166" s="11"/>
      <c r="H166" s="11"/>
      <c r="I166" s="11"/>
      <c r="J166" s="11"/>
      <c r="K166" s="11" t="s">
        <f>""</f>
      </c>
      <c r="L166" s="11" t="s">
        <f t="shared" si="239"/>
      </c>
      <c r="M166" s="8" t="s">
        <f t="shared" si="240"/>
      </c>
      <c r="N166" s="11"/>
      <c r="O166" s="10">
        <f ref="O166:P166" t="shared" si="760">A166</f>
        <v>0</v>
      </c>
      <c r="P166" s="11">
        <f t="shared" si="760"/>
        <v>0</v>
      </c>
      <c r="Q166" s="11" t="s">
        <f t="shared" si="247"/>
      </c>
      <c r="R166" s="11">
        <f t="shared" si="241"/>
        <v>0</v>
      </c>
      <c r="S166" s="11">
        <f ref="S166:U166" t="shared" si="761">E166</f>
        <v>0</v>
      </c>
      <c r="T166" s="11">
        <f t="shared" si="761"/>
        <v>0</v>
      </c>
      <c r="U166" s="11">
        <f t="shared" si="761"/>
        <v>0</v>
      </c>
      <c r="V166" s="11">
        <f t="shared" si="246"/>
      </c>
      <c r="W166" s="11" t="s">
        <f t="shared" si="245"/>
      </c>
      <c r="X166" s="11" t="s">
        <f t="shared" si="242"/>
      </c>
    </row>
    <row r="167" ht="12.50" customHeight="true">
      <c r="A167" s="10"/>
      <c r="B167" s="11"/>
      <c r="C167" s="11"/>
      <c r="D167" s="11"/>
      <c r="E167" s="11"/>
      <c r="F167" s="11"/>
      <c r="G167" s="11"/>
      <c r="H167" s="11"/>
      <c r="I167" s="11"/>
      <c r="J167" s="11"/>
      <c r="K167" s="11" t="s">
        <f>""</f>
      </c>
      <c r="L167" s="11" t="s">
        <f t="shared" si="239"/>
      </c>
      <c r="M167" s="8" t="s">
        <f t="shared" si="240"/>
      </c>
      <c r="N167" s="11"/>
      <c r="O167" s="10">
        <f ref="O167:P167" t="shared" si="271">A167</f>
        <v>0</v>
      </c>
      <c r="P167" s="11">
        <f t="shared" si="271"/>
        <v>0</v>
      </c>
      <c r="Q167" s="11" t="s">
        <f t="shared" si="247"/>
      </c>
      <c r="R167" s="11">
        <f t="shared" si="241"/>
        <v>0</v>
      </c>
      <c r="S167" s="11">
        <f ref="S167:U167" t="shared" si="270">E167</f>
        <v>0</v>
      </c>
      <c r="T167" s="11">
        <f t="shared" si="270"/>
        <v>0</v>
      </c>
      <c r="U167" s="11">
        <f t="shared" si="270"/>
        <v>0</v>
      </c>
      <c r="V167" s="11">
        <f t="shared" si="246"/>
      </c>
      <c r="W167" s="11" t="s">
        <f t="shared" si="245"/>
      </c>
      <c r="X167" s="11" t="s">
        <f t="shared" si="242"/>
      </c>
    </row>
    <row r="168" ht="12.50" customHeight="true">
      <c r="A168" s="10"/>
      <c r="B168" s="11"/>
      <c r="C168" s="11"/>
      <c r="D168" s="11"/>
      <c r="E168" s="11"/>
      <c r="F168" s="11"/>
      <c r="G168" s="11"/>
      <c r="H168" s="11"/>
      <c r="I168" s="11"/>
      <c r="J168" s="11"/>
      <c r="K168" s="11" t="s">
        <f>""</f>
      </c>
      <c r="L168" s="11" t="s">
        <f t="shared" si="239"/>
      </c>
      <c r="M168" s="8" t="s">
        <f t="shared" si="240"/>
      </c>
      <c r="N168" s="11"/>
      <c r="O168" s="10">
        <f ref="O168:P168" t="shared" si="538">A168</f>
        <v>0</v>
      </c>
      <c r="P168" s="11">
        <f t="shared" si="538"/>
        <v>0</v>
      </c>
      <c r="Q168" s="11" t="s">
        <f t="shared" si="247"/>
      </c>
      <c r="R168" s="11">
        <f t="shared" si="241"/>
        <v>0</v>
      </c>
      <c r="S168" s="11">
        <f ref="S168:U168" t="shared" si="539">E168</f>
        <v>0</v>
      </c>
      <c r="T168" s="11">
        <f t="shared" si="539"/>
        <v>0</v>
      </c>
      <c r="U168" s="11">
        <f t="shared" si="539"/>
        <v>0</v>
      </c>
      <c r="V168" s="11">
        <f t="shared" si="246"/>
      </c>
      <c r="W168" s="11" t="s">
        <f t="shared" si="245"/>
      </c>
      <c r="X168" s="11" t="s">
        <f t="shared" si="242"/>
      </c>
    </row>
    <row r="169" ht="12.50" customHeight="true">
      <c r="A169" s="10"/>
      <c r="B169" s="11"/>
      <c r="C169" s="11"/>
      <c r="D169" s="11"/>
      <c r="E169" s="11"/>
      <c r="F169" s="11"/>
      <c r="G169" s="11"/>
      <c r="H169" s="11"/>
      <c r="I169" s="11"/>
      <c r="J169" s="11"/>
      <c r="K169" s="11" t="s">
        <f>""</f>
      </c>
      <c r="L169" s="11" t="s">
        <f t="shared" si="239"/>
      </c>
      <c r="M169" s="8" t="s">
        <f t="shared" si="240"/>
      </c>
      <c r="N169" s="11"/>
      <c r="O169" s="10">
        <f ref="O169:P169" t="shared" si="1773">A169</f>
        <v>0</v>
      </c>
      <c r="P169" s="11">
        <f t="shared" si="1773"/>
        <v>0</v>
      </c>
      <c r="Q169" s="11" t="s">
        <f t="shared" si="247"/>
      </c>
      <c r="R169" s="11">
        <f t="shared" si="241"/>
        <v>0</v>
      </c>
      <c r="S169" s="11">
        <f ref="S169:U169" t="shared" si="1772">E169</f>
        <v>0</v>
      </c>
      <c r="T169" s="11">
        <f t="shared" si="1772"/>
        <v>0</v>
      </c>
      <c r="U169" s="11">
        <f t="shared" si="1772"/>
        <v>0</v>
      </c>
      <c r="V169" s="11">
        <f t="shared" si="246"/>
      </c>
      <c r="W169" s="11" t="s">
        <f t="shared" si="245"/>
      </c>
      <c r="X169" s="11" t="s">
        <f t="shared" si="242"/>
      </c>
    </row>
    <row r="170" ht="12.50" customHeight="true">
      <c r="A170" s="10"/>
      <c r="B170" s="11"/>
      <c r="C170" s="11"/>
      <c r="D170" s="11"/>
      <c r="E170" s="11"/>
      <c r="F170" s="11"/>
      <c r="G170" s="11"/>
      <c r="H170" s="11"/>
      <c r="I170" s="11"/>
      <c r="J170" s="11"/>
      <c r="K170" s="11" t="s">
        <f>""</f>
      </c>
      <c r="L170" s="11" t="s">
        <f t="shared" si="239"/>
      </c>
      <c r="M170" s="8" t="s">
        <f t="shared" si="240"/>
      </c>
      <c r="N170" s="11"/>
      <c r="O170" s="10">
        <f ref="O170:P170" t="shared" si="15">A170</f>
        <v>0</v>
      </c>
      <c r="P170" s="11">
        <f t="shared" si="15"/>
        <v>0</v>
      </c>
      <c r="Q170" s="11" t="s">
        <f t="shared" si="247"/>
      </c>
      <c r="R170" s="11">
        <f t="shared" si="241"/>
        <v>0</v>
      </c>
      <c r="S170" s="11">
        <f ref="S170:U170" t="shared" si="14">E170</f>
        <v>0</v>
      </c>
      <c r="T170" s="11">
        <f t="shared" si="14"/>
        <v>0</v>
      </c>
      <c r="U170" s="11">
        <f t="shared" si="14"/>
        <v>0</v>
      </c>
      <c r="V170" s="11">
        <f t="shared" si="246"/>
      </c>
      <c r="W170" s="11" t="s">
        <f t="shared" si="245"/>
      </c>
      <c r="X170" s="11" t="s">
        <f t="shared" si="242"/>
      </c>
    </row>
    <row r="171" ht="12.50" customHeight="true">
      <c r="A171" s="10"/>
      <c r="B171" s="11"/>
      <c r="C171" s="11"/>
      <c r="D171" s="11"/>
      <c r="E171" s="11"/>
      <c r="F171" s="11"/>
      <c r="G171" s="11"/>
      <c r="H171" s="11"/>
      <c r="I171" s="11"/>
      <c r="J171" s="11"/>
      <c r="K171" s="11" t="s">
        <f>""</f>
      </c>
      <c r="L171" s="11" t="s">
        <f t="shared" si="239"/>
      </c>
      <c r="M171" s="8" t="s">
        <f t="shared" si="240"/>
      </c>
      <c r="N171" s="11"/>
      <c r="O171" s="10">
        <f ref="O171:P171" t="shared" si="1467">A171</f>
        <v>0</v>
      </c>
      <c r="P171" s="11">
        <f t="shared" si="1467"/>
        <v>0</v>
      </c>
      <c r="Q171" s="11" t="s">
        <f t="shared" si="247"/>
      </c>
      <c r="R171" s="11">
        <f t="shared" si="241"/>
        <v>0</v>
      </c>
      <c r="S171" s="11">
        <f ref="S171:U171" t="shared" si="1466">E171</f>
        <v>0</v>
      </c>
      <c r="T171" s="11">
        <f t="shared" si="1466"/>
        <v>0</v>
      </c>
      <c r="U171" s="11">
        <f t="shared" si="1466"/>
        <v>0</v>
      </c>
      <c r="V171" s="11">
        <f t="shared" si="246"/>
      </c>
      <c r="W171" s="11" t="s">
        <f t="shared" si="245"/>
      </c>
      <c r="X171" s="11" t="s">
        <f t="shared" si="242"/>
      </c>
    </row>
    <row r="172" ht="12.50" customHeight="true">
      <c r="A172" s="10"/>
      <c r="B172" s="11"/>
      <c r="C172" s="11"/>
      <c r="D172" s="11"/>
      <c r="E172" s="11"/>
      <c r="F172" s="11"/>
      <c r="G172" s="11"/>
      <c r="H172" s="11"/>
      <c r="I172" s="11"/>
      <c r="J172" s="11"/>
      <c r="K172" s="11" t="s">
        <f>""</f>
      </c>
      <c r="L172" s="11" t="s">
        <f t="shared" si="239"/>
      </c>
      <c r="M172" s="8" t="s">
        <f t="shared" si="240"/>
      </c>
      <c r="N172" s="11"/>
      <c r="O172" s="10">
        <f ref="O172:P172" t="shared" si="1448">A172</f>
        <v>0</v>
      </c>
      <c r="P172" s="11">
        <f t="shared" si="1448"/>
        <v>0</v>
      </c>
      <c r="Q172" s="11" t="s">
        <f t="shared" si="247"/>
      </c>
      <c r="R172" s="11">
        <f t="shared" si="241"/>
        <v>0</v>
      </c>
      <c r="S172" s="11">
        <f ref="S172:U172" t="shared" si="1449">E172</f>
        <v>0</v>
      </c>
      <c r="T172" s="11">
        <f t="shared" si="1449"/>
        <v>0</v>
      </c>
      <c r="U172" s="11">
        <f t="shared" si="1449"/>
        <v>0</v>
      </c>
      <c r="V172" s="11">
        <f t="shared" si="246"/>
      </c>
      <c r="W172" s="11" t="s">
        <f t="shared" si="245"/>
      </c>
      <c r="X172" s="11" t="s">
        <f t="shared" si="242"/>
      </c>
    </row>
    <row r="173" ht="12.50" customHeight="true">
      <c r="A173" s="10"/>
      <c r="B173" s="11"/>
      <c r="C173" s="11"/>
      <c r="D173" s="11"/>
      <c r="E173" s="11"/>
      <c r="F173" s="11"/>
      <c r="G173" s="11"/>
      <c r="H173" s="11"/>
      <c r="I173" s="11"/>
      <c r="J173" s="11"/>
      <c r="K173" s="11" t="s">
        <f>""</f>
      </c>
      <c r="L173" s="11" t="s">
        <f t="shared" si="239"/>
      </c>
      <c r="M173" s="8" t="s">
        <f t="shared" si="240"/>
      </c>
      <c r="N173" s="11"/>
      <c r="O173" s="10">
        <f ref="O173:P173" t="shared" si="1221">A173</f>
        <v>0</v>
      </c>
      <c r="P173" s="11">
        <f t="shared" si="1221"/>
        <v>0</v>
      </c>
      <c r="Q173" s="11" t="s">
        <f t="shared" si="247"/>
      </c>
      <c r="R173" s="11">
        <f t="shared" si="241"/>
        <v>0</v>
      </c>
      <c r="S173" s="11">
        <f ref="S173:U173" t="shared" si="1222">E173</f>
        <v>0</v>
      </c>
      <c r="T173" s="11">
        <f t="shared" si="1222"/>
        <v>0</v>
      </c>
      <c r="U173" s="11">
        <f t="shared" si="1222"/>
        <v>0</v>
      </c>
      <c r="V173" s="11">
        <f t="shared" si="246"/>
      </c>
      <c r="W173" s="11" t="s">
        <f t="shared" si="245"/>
      </c>
      <c r="X173" s="11" t="s">
        <f t="shared" si="242"/>
      </c>
    </row>
    <row r="174" ht="12.50" customHeight="true">
      <c r="A174" s="10"/>
      <c r="B174" s="11"/>
      <c r="C174" s="11"/>
      <c r="D174" s="11"/>
      <c r="E174" s="11"/>
      <c r="F174" s="11"/>
      <c r="G174" s="11"/>
      <c r="H174" s="11"/>
      <c r="I174" s="11"/>
      <c r="J174" s="11"/>
      <c r="K174" s="11" t="s">
        <f>""</f>
      </c>
      <c r="L174" s="11" t="s">
        <f t="shared" si="239"/>
      </c>
      <c r="M174" s="8" t="s">
        <f t="shared" si="240"/>
      </c>
      <c r="N174" s="11"/>
      <c r="O174" s="10">
        <f ref="O174:P174" t="shared" si="1863">A174</f>
        <v>0</v>
      </c>
      <c r="P174" s="11">
        <f t="shared" si="1863"/>
        <v>0</v>
      </c>
      <c r="Q174" s="11" t="s">
        <f t="shared" si="247"/>
      </c>
      <c r="R174" s="11">
        <f t="shared" si="241"/>
        <v>0</v>
      </c>
      <c r="S174" s="11">
        <f ref="S174:U174" t="shared" si="1862">E174</f>
        <v>0</v>
      </c>
      <c r="T174" s="11">
        <f t="shared" si="1862"/>
        <v>0</v>
      </c>
      <c r="U174" s="11">
        <f t="shared" si="1862"/>
        <v>0</v>
      </c>
      <c r="V174" s="11">
        <f t="shared" si="246"/>
      </c>
      <c r="W174" s="11" t="s">
        <f t="shared" si="245"/>
      </c>
      <c r="X174" s="11" t="s">
        <f t="shared" si="242"/>
      </c>
    </row>
    <row r="175" ht="12.50" customHeight="true">
      <c r="A175" s="10"/>
      <c r="B175" s="11"/>
      <c r="C175" s="11"/>
      <c r="D175" s="11"/>
      <c r="E175" s="11"/>
      <c r="F175" s="11"/>
      <c r="G175" s="11"/>
      <c r="H175" s="11"/>
      <c r="I175" s="11"/>
      <c r="J175" s="11"/>
      <c r="K175" s="11" t="s">
        <f>""</f>
      </c>
      <c r="L175" s="11" t="s">
        <f t="shared" si="239"/>
      </c>
      <c r="M175" s="8" t="s">
        <f t="shared" si="240"/>
      </c>
      <c r="N175" s="11"/>
      <c r="O175" s="10">
        <f ref="O175:P175" t="shared" si="1710">A175</f>
        <v>0</v>
      </c>
      <c r="P175" s="11">
        <f t="shared" si="1710"/>
        <v>0</v>
      </c>
      <c r="Q175" s="11" t="s">
        <f t="shared" si="247"/>
      </c>
      <c r="R175" s="11">
        <f t="shared" si="241"/>
        <v>0</v>
      </c>
      <c r="S175" s="11">
        <f ref="S175:U175" t="shared" si="1711">E175</f>
        <v>0</v>
      </c>
      <c r="T175" s="11">
        <f t="shared" si="1711"/>
        <v>0</v>
      </c>
      <c r="U175" s="11">
        <f t="shared" si="1711"/>
        <v>0</v>
      </c>
      <c r="V175" s="11">
        <f t="shared" si="246"/>
      </c>
      <c r="W175" s="11" t="s">
        <f t="shared" si="245"/>
      </c>
      <c r="X175" s="11" t="s">
        <f t="shared" si="242"/>
      </c>
    </row>
    <row r="176" ht="12.50" customHeight="true">
      <c r="A176" s="10"/>
      <c r="B176" s="11"/>
      <c r="C176" s="11"/>
      <c r="D176" s="11"/>
      <c r="E176" s="11"/>
      <c r="F176" s="11"/>
      <c r="G176" s="11"/>
      <c r="H176" s="11"/>
      <c r="I176" s="11"/>
      <c r="J176" s="11"/>
      <c r="K176" s="11" t="s">
        <f>""</f>
      </c>
      <c r="L176" s="11" t="s">
        <f t="shared" si="239"/>
      </c>
      <c r="M176" s="8" t="s">
        <f t="shared" si="240"/>
      </c>
      <c r="N176" s="11"/>
      <c r="O176" s="10">
        <f ref="O176:P176" t="shared" si="1836">A176</f>
        <v>0</v>
      </c>
      <c r="P176" s="11">
        <f t="shared" si="1836"/>
        <v>0</v>
      </c>
      <c r="Q176" s="11" t="s">
        <f t="shared" si="247"/>
      </c>
      <c r="R176" s="11">
        <f t="shared" si="241"/>
        <v>0</v>
      </c>
      <c r="S176" s="11">
        <f ref="S176:U176" t="shared" si="1837">E176</f>
        <v>0</v>
      </c>
      <c r="T176" s="11">
        <f t="shared" si="1837"/>
        <v>0</v>
      </c>
      <c r="U176" s="11">
        <f t="shared" si="1837"/>
        <v>0</v>
      </c>
      <c r="V176" s="11">
        <f t="shared" si="246"/>
      </c>
      <c r="W176" s="11" t="s">
        <f t="shared" si="245"/>
      </c>
      <c r="X176" s="11" t="s">
        <f t="shared" si="242"/>
      </c>
    </row>
    <row r="177" ht="12.50" customHeight="true">
      <c r="A177" s="10"/>
      <c r="B177" s="11"/>
      <c r="C177" s="11"/>
      <c r="D177" s="11"/>
      <c r="E177" s="11"/>
      <c r="F177" s="11"/>
      <c r="G177" s="11"/>
      <c r="H177" s="11"/>
      <c r="I177" s="11"/>
      <c r="J177" s="11"/>
      <c r="K177" s="11" t="s">
        <f>""</f>
      </c>
      <c r="L177" s="11" t="s">
        <f t="shared" si="239"/>
      </c>
      <c r="M177" s="8" t="s">
        <f t="shared" si="240"/>
      </c>
      <c r="N177" s="11"/>
      <c r="O177" s="10">
        <f ref="O177:P177" t="shared" si="983">A177</f>
        <v>0</v>
      </c>
      <c r="P177" s="11">
        <f t="shared" si="983"/>
        <v>0</v>
      </c>
      <c r="Q177" s="11" t="s">
        <f t="shared" si="247"/>
      </c>
      <c r="R177" s="11">
        <f t="shared" si="241"/>
        <v>0</v>
      </c>
      <c r="S177" s="11">
        <f ref="S177:U177" t="shared" si="984">E177</f>
        <v>0</v>
      </c>
      <c r="T177" s="11">
        <f t="shared" si="984"/>
        <v>0</v>
      </c>
      <c r="U177" s="11">
        <f t="shared" si="984"/>
        <v>0</v>
      </c>
      <c r="V177" s="11">
        <f t="shared" si="246"/>
      </c>
      <c r="W177" s="11" t="s">
        <f t="shared" si="245"/>
      </c>
      <c r="X177" s="11" t="s">
        <f t="shared" si="242"/>
      </c>
    </row>
    <row r="178" ht="12.50" customHeight="true">
      <c r="A178" s="10"/>
      <c r="B178" s="11"/>
      <c r="C178" s="11"/>
      <c r="D178" s="11"/>
      <c r="E178" s="11"/>
      <c r="F178" s="11"/>
      <c r="G178" s="11"/>
      <c r="H178" s="11"/>
      <c r="I178" s="11"/>
      <c r="J178" s="11"/>
      <c r="K178" s="11" t="s">
        <f>""</f>
      </c>
      <c r="L178" s="11" t="s">
        <f t="shared" si="239"/>
      </c>
      <c r="M178" s="8" t="s">
        <f t="shared" si="240"/>
      </c>
      <c r="N178" s="11"/>
      <c r="O178" s="10">
        <f ref="O178:P178" t="shared" si="888">A178</f>
        <v>0</v>
      </c>
      <c r="P178" s="11">
        <f t="shared" si="888"/>
        <v>0</v>
      </c>
      <c r="Q178" s="11" t="s">
        <f t="shared" si="247"/>
      </c>
      <c r="R178" s="11">
        <f t="shared" si="241"/>
        <v>0</v>
      </c>
      <c r="S178" s="11">
        <f ref="S178:U178" t="shared" si="889">E178</f>
        <v>0</v>
      </c>
      <c r="T178" s="11">
        <f t="shared" si="889"/>
        <v>0</v>
      </c>
      <c r="U178" s="11">
        <f t="shared" si="889"/>
        <v>0</v>
      </c>
      <c r="V178" s="11">
        <f t="shared" si="246"/>
      </c>
      <c r="W178" s="11" t="s">
        <f t="shared" si="245"/>
      </c>
      <c r="X178" s="11" t="s">
        <f t="shared" si="242"/>
      </c>
    </row>
    <row r="179" ht="12.50" customHeight="true">
      <c r="A179" s="10"/>
      <c r="B179" s="11"/>
      <c r="C179" s="11"/>
      <c r="D179" s="11"/>
      <c r="E179" s="11"/>
      <c r="F179" s="11"/>
      <c r="G179" s="11"/>
      <c r="H179" s="11"/>
      <c r="I179" s="11"/>
      <c r="J179" s="11"/>
      <c r="K179" s="11" t="s">
        <f>""</f>
      </c>
      <c r="L179" s="11" t="s">
        <f t="shared" si="239"/>
      </c>
      <c r="M179" s="8" t="s">
        <f t="shared" si="240"/>
      </c>
      <c r="N179" s="11"/>
      <c r="O179" s="10">
        <f ref="O179:P179" t="shared" si="558">A179</f>
        <v>0</v>
      </c>
      <c r="P179" s="11">
        <f t="shared" si="558"/>
        <v>0</v>
      </c>
      <c r="Q179" s="11" t="s">
        <f t="shared" si="247"/>
      </c>
      <c r="R179" s="11">
        <f t="shared" si="241"/>
        <v>0</v>
      </c>
      <c r="S179" s="11">
        <f ref="S179:U179" t="shared" si="559">E179</f>
        <v>0</v>
      </c>
      <c r="T179" s="11">
        <f t="shared" si="559"/>
        <v>0</v>
      </c>
      <c r="U179" s="11">
        <f t="shared" si="559"/>
        <v>0</v>
      </c>
      <c r="V179" s="11">
        <f t="shared" si="246"/>
      </c>
      <c r="W179" s="11" t="s">
        <f t="shared" si="245"/>
      </c>
      <c r="X179" s="11" t="s">
        <f t="shared" si="242"/>
      </c>
    </row>
    <row r="180" ht="12.50" customHeight="true">
      <c r="A180" s="10"/>
      <c r="B180" s="11"/>
      <c r="C180" s="11"/>
      <c r="D180" s="11"/>
      <c r="E180" s="11"/>
      <c r="F180" s="11"/>
      <c r="G180" s="11"/>
      <c r="H180" s="11"/>
      <c r="I180" s="11"/>
      <c r="J180" s="11"/>
      <c r="K180" s="11" t="s">
        <f>""</f>
      </c>
      <c r="L180" s="11" t="s">
        <f t="shared" si="239"/>
      </c>
      <c r="M180" s="8" t="s">
        <f t="shared" si="240"/>
      </c>
      <c r="N180" s="11"/>
      <c r="O180" s="10">
        <f ref="O180:P180" t="shared" si="471">A180</f>
        <v>0</v>
      </c>
      <c r="P180" s="11">
        <f t="shared" si="471"/>
        <v>0</v>
      </c>
      <c r="Q180" s="11" t="s">
        <f t="shared" si="247"/>
      </c>
      <c r="R180" s="11">
        <f t="shared" si="241"/>
        <v>0</v>
      </c>
      <c r="S180" s="11">
        <f ref="S180:U180" t="shared" si="470">E180</f>
        <v>0</v>
      </c>
      <c r="T180" s="11">
        <f t="shared" si="470"/>
        <v>0</v>
      </c>
      <c r="U180" s="11">
        <f t="shared" si="470"/>
        <v>0</v>
      </c>
      <c r="V180" s="11">
        <f t="shared" si="246"/>
      </c>
      <c r="W180" s="11" t="s">
        <f t="shared" si="245"/>
      </c>
      <c r="X180" s="11" t="s">
        <f t="shared" si="242"/>
      </c>
    </row>
    <row r="181" ht="12.50" customHeight="true">
      <c r="A181" s="10"/>
      <c r="B181" s="11"/>
      <c r="C181" s="11"/>
      <c r="D181" s="11"/>
      <c r="E181" s="11"/>
      <c r="F181" s="11"/>
      <c r="G181" s="11"/>
      <c r="H181" s="11"/>
      <c r="I181" s="11"/>
      <c r="J181" s="11"/>
      <c r="K181" s="11" t="s">
        <f>""</f>
      </c>
      <c r="L181" s="11" t="s">
        <f t="shared" si="239"/>
      </c>
      <c r="M181" s="8" t="s">
        <f t="shared" si="240"/>
      </c>
      <c r="N181" s="11"/>
      <c r="O181" s="10">
        <f ref="O181:P181" t="shared" si="472">A181</f>
        <v>0</v>
      </c>
      <c r="P181" s="11">
        <f t="shared" si="472"/>
        <v>0</v>
      </c>
      <c r="Q181" s="11" t="s">
        <f t="shared" si="247"/>
      </c>
      <c r="R181" s="11">
        <f t="shared" si="241"/>
        <v>0</v>
      </c>
      <c r="S181" s="11">
        <f ref="S181:U181" t="shared" si="473">E181</f>
        <v>0</v>
      </c>
      <c r="T181" s="11">
        <f t="shared" si="473"/>
        <v>0</v>
      </c>
      <c r="U181" s="11">
        <f t="shared" si="473"/>
        <v>0</v>
      </c>
      <c r="V181" s="11">
        <f t="shared" si="246"/>
      </c>
      <c r="W181" s="11" t="s">
        <f t="shared" si="245"/>
      </c>
      <c r="X181" s="11" t="s">
        <f t="shared" si="242"/>
      </c>
    </row>
    <row r="182" ht="12.50" customHeight="true">
      <c r="A182" s="10"/>
      <c r="B182" s="11"/>
      <c r="C182" s="11"/>
      <c r="D182" s="11"/>
      <c r="E182" s="11"/>
      <c r="F182" s="11"/>
      <c r="G182" s="11"/>
      <c r="H182" s="11"/>
      <c r="I182" s="11"/>
      <c r="J182" s="11"/>
      <c r="K182" s="11" t="s">
        <f>""</f>
      </c>
      <c r="L182" s="11" t="s">
        <f t="shared" si="239"/>
      </c>
      <c r="M182" s="8" t="s">
        <f t="shared" si="240"/>
      </c>
      <c r="N182" s="11"/>
      <c r="O182" s="10">
        <f ref="O182:P182" t="shared" si="620">A182</f>
        <v>0</v>
      </c>
      <c r="P182" s="11">
        <f t="shared" si="620"/>
        <v>0</v>
      </c>
      <c r="Q182" s="11" t="s">
        <f t="shared" si="247"/>
      </c>
      <c r="R182" s="11">
        <f t="shared" si="241"/>
        <v>0</v>
      </c>
      <c r="S182" s="11">
        <f ref="S182:U182" t="shared" si="621">E182</f>
        <v>0</v>
      </c>
      <c r="T182" s="11">
        <f t="shared" si="621"/>
        <v>0</v>
      </c>
      <c r="U182" s="11">
        <f t="shared" si="621"/>
        <v>0</v>
      </c>
      <c r="V182" s="11">
        <f t="shared" si="246"/>
      </c>
      <c r="W182" s="11" t="s">
        <f t="shared" si="245"/>
      </c>
      <c r="X182" s="11" t="s">
        <f t="shared" si="242"/>
      </c>
    </row>
    <row r="183" ht="12.50" customHeight="true">
      <c r="A183" s="10"/>
      <c r="B183" s="11"/>
      <c r="C183" s="11"/>
      <c r="D183" s="11"/>
      <c r="E183" s="11"/>
      <c r="F183" s="11"/>
      <c r="G183" s="11"/>
      <c r="H183" s="11"/>
      <c r="I183" s="11"/>
      <c r="J183" s="11"/>
      <c r="K183" s="11" t="s">
        <f>""</f>
      </c>
      <c r="L183" s="11" t="s">
        <f t="shared" si="239"/>
      </c>
      <c r="M183" s="8" t="s">
        <f t="shared" si="240"/>
      </c>
      <c r="N183" s="11"/>
      <c r="O183" s="10">
        <f ref="O183:P183" t="shared" si="677">A183</f>
        <v>0</v>
      </c>
      <c r="P183" s="11">
        <f t="shared" si="677"/>
        <v>0</v>
      </c>
      <c r="Q183" s="11" t="s">
        <f t="shared" si="247"/>
      </c>
      <c r="R183" s="11">
        <f t="shared" si="241"/>
        <v>0</v>
      </c>
      <c r="S183" s="11">
        <f ref="S183:U183" t="shared" si="676">E183</f>
        <v>0</v>
      </c>
      <c r="T183" s="11">
        <f t="shared" si="676"/>
        <v>0</v>
      </c>
      <c r="U183" s="11">
        <f t="shared" si="676"/>
        <v>0</v>
      </c>
      <c r="V183" s="11">
        <f t="shared" si="246"/>
      </c>
      <c r="W183" s="11" t="s">
        <f t="shared" si="245"/>
      </c>
      <c r="X183" s="11" t="s">
        <f t="shared" si="242"/>
      </c>
    </row>
    <row r="184" ht="12.50" customHeight="true">
      <c r="A184" s="10"/>
      <c r="B184" s="11"/>
      <c r="C184" s="11"/>
      <c r="D184" s="11"/>
      <c r="E184" s="11"/>
      <c r="F184" s="11"/>
      <c r="G184" s="11"/>
      <c r="H184" s="11"/>
      <c r="I184" s="11"/>
      <c r="J184" s="11"/>
      <c r="K184" s="11" t="s">
        <f>""</f>
      </c>
      <c r="L184" s="11" t="s">
        <f t="shared" si="239"/>
      </c>
      <c r="M184" s="8" t="s">
        <f t="shared" si="240"/>
      </c>
      <c r="N184" s="11"/>
      <c r="O184" s="10">
        <f ref="O184:P184" t="shared" si="391">A184</f>
        <v>0</v>
      </c>
      <c r="P184" s="11">
        <f t="shared" si="391"/>
        <v>0</v>
      </c>
      <c r="Q184" s="11" t="s">
        <f t="shared" si="247"/>
      </c>
      <c r="R184" s="11">
        <f t="shared" si="241"/>
        <v>0</v>
      </c>
      <c r="S184" s="11">
        <f ref="S184:U184" t="shared" si="390">E184</f>
        <v>0</v>
      </c>
      <c r="T184" s="11">
        <f t="shared" si="390"/>
        <v>0</v>
      </c>
      <c r="U184" s="11">
        <f t="shared" si="390"/>
        <v>0</v>
      </c>
      <c r="V184" s="11">
        <f t="shared" si="246"/>
      </c>
      <c r="W184" s="11" t="s">
        <f t="shared" si="245"/>
      </c>
      <c r="X184" s="11" t="s">
        <f t="shared" si="242"/>
      </c>
    </row>
    <row r="185" ht="12.50" customHeight="true">
      <c r="A185" s="10"/>
      <c r="B185" s="11"/>
      <c r="C185" s="11"/>
      <c r="D185" s="11"/>
      <c r="E185" s="11"/>
      <c r="F185" s="11"/>
      <c r="G185" s="11"/>
      <c r="H185" s="11"/>
      <c r="I185" s="11"/>
      <c r="J185" s="11"/>
      <c r="K185" s="11" t="s">
        <f>""</f>
      </c>
      <c r="L185" s="11" t="s">
        <f t="shared" si="239"/>
      </c>
      <c r="M185" s="8" t="s">
        <f t="shared" si="240"/>
      </c>
      <c r="N185" s="11"/>
      <c r="O185" s="10">
        <f ref="O185:P185" t="shared" si="1346">A185</f>
        <v>0</v>
      </c>
      <c r="P185" s="11">
        <f t="shared" si="1346"/>
        <v>0</v>
      </c>
      <c r="Q185" s="11" t="s">
        <f t="shared" si="247"/>
      </c>
      <c r="R185" s="11">
        <f t="shared" si="241"/>
        <v>0</v>
      </c>
      <c r="S185" s="11">
        <f ref="S185:U185" t="shared" si="1347">E185</f>
        <v>0</v>
      </c>
      <c r="T185" s="11">
        <f t="shared" si="1347"/>
        <v>0</v>
      </c>
      <c r="U185" s="11">
        <f t="shared" si="1347"/>
        <v>0</v>
      </c>
      <c r="V185" s="11">
        <f t="shared" si="246"/>
      </c>
      <c r="W185" s="11" t="s">
        <f t="shared" si="245"/>
      </c>
      <c r="X185" s="11" t="s">
        <f t="shared" si="242"/>
      </c>
    </row>
    <row r="186" ht="12.50" customHeight="true">
      <c r="A186" s="10"/>
      <c r="B186" s="11"/>
      <c r="C186" s="11"/>
      <c r="D186" s="11"/>
      <c r="E186" s="11"/>
      <c r="F186" s="11"/>
      <c r="G186" s="11"/>
      <c r="H186" s="11"/>
      <c r="I186" s="11"/>
      <c r="J186" s="11"/>
      <c r="K186" s="11" t="s">
        <f>""</f>
      </c>
      <c r="L186" s="11" t="s">
        <f t="shared" si="239"/>
      </c>
      <c r="M186" s="8" t="s">
        <f t="shared" si="240"/>
      </c>
      <c r="N186" s="11"/>
      <c r="O186" s="10">
        <f ref="O186:P186" t="shared" si="1251">A186</f>
        <v>0</v>
      </c>
      <c r="P186" s="11">
        <f t="shared" si="1251"/>
        <v>0</v>
      </c>
      <c r="Q186" s="11" t="s">
        <f t="shared" si="247"/>
      </c>
      <c r="R186" s="11">
        <f t="shared" si="241"/>
        <v>0</v>
      </c>
      <c r="S186" s="11">
        <f ref="S186:U186" t="shared" si="1250">E186</f>
        <v>0</v>
      </c>
      <c r="T186" s="11">
        <f t="shared" si="1250"/>
        <v>0</v>
      </c>
      <c r="U186" s="11">
        <f t="shared" si="1250"/>
        <v>0</v>
      </c>
      <c r="V186" s="11">
        <f t="shared" si="246"/>
      </c>
      <c r="W186" s="11" t="s">
        <f t="shared" si="245"/>
      </c>
      <c r="X186" s="11" t="s">
        <f t="shared" si="242"/>
      </c>
    </row>
    <row r="187" ht="12.50" customHeight="true">
      <c r="A187" s="10"/>
      <c r="B187" s="11"/>
      <c r="C187" s="11"/>
      <c r="D187" s="11"/>
      <c r="E187" s="11"/>
      <c r="F187" s="11"/>
      <c r="G187" s="11"/>
      <c r="H187" s="11"/>
      <c r="I187" s="11"/>
      <c r="J187" s="11"/>
      <c r="K187" s="11" t="s">
        <f>""</f>
      </c>
      <c r="L187" s="11" t="s">
        <f t="shared" si="239"/>
      </c>
      <c r="M187" s="8" t="s">
        <f t="shared" si="240"/>
      </c>
      <c r="N187" s="11"/>
      <c r="O187" s="10">
        <f ref="O187:P187" t="shared" si="453">A187</f>
        <v>0</v>
      </c>
      <c r="P187" s="11">
        <f t="shared" si="453"/>
        <v>0</v>
      </c>
      <c r="Q187" s="11" t="s">
        <f t="shared" si="247"/>
      </c>
      <c r="R187" s="11">
        <f t="shared" si="241"/>
        <v>0</v>
      </c>
      <c r="S187" s="11">
        <f ref="S187:U187" t="shared" si="452">E187</f>
        <v>0</v>
      </c>
      <c r="T187" s="11">
        <f t="shared" si="452"/>
        <v>0</v>
      </c>
      <c r="U187" s="11">
        <f t="shared" si="452"/>
        <v>0</v>
      </c>
      <c r="V187" s="11">
        <f t="shared" si="246"/>
      </c>
      <c r="W187" s="11" t="s">
        <f t="shared" si="245"/>
      </c>
      <c r="X187" s="11" t="s">
        <f t="shared" si="242"/>
      </c>
    </row>
    <row r="188" ht="12.50" customHeight="true">
      <c r="A188" s="10"/>
      <c r="B188" s="11"/>
      <c r="C188" s="11"/>
      <c r="D188" s="11"/>
      <c r="E188" s="11"/>
      <c r="F188" s="11"/>
      <c r="G188" s="11"/>
      <c r="H188" s="11"/>
      <c r="I188" s="11"/>
      <c r="J188" s="11"/>
      <c r="K188" s="11" t="s">
        <f>""</f>
      </c>
      <c r="L188" s="11" t="s">
        <f t="shared" si="239"/>
      </c>
      <c r="M188" s="8" t="s">
        <f t="shared" si="240"/>
      </c>
      <c r="N188" s="11"/>
      <c r="O188" s="10">
        <f ref="O188:P188" t="shared" si="365">A188</f>
        <v>0</v>
      </c>
      <c r="P188" s="11">
        <f t="shared" si="365"/>
        <v>0</v>
      </c>
      <c r="Q188" s="11" t="s">
        <f t="shared" si="247"/>
      </c>
      <c r="R188" s="11">
        <f t="shared" si="241"/>
        <v>0</v>
      </c>
      <c r="S188" s="11">
        <f ref="S188:U188" t="shared" si="364">E188</f>
        <v>0</v>
      </c>
      <c r="T188" s="11">
        <f t="shared" si="364"/>
        <v>0</v>
      </c>
      <c r="U188" s="11">
        <f t="shared" si="364"/>
        <v>0</v>
      </c>
      <c r="V188" s="11">
        <f t="shared" si="246"/>
      </c>
      <c r="W188" s="11" t="s">
        <f t="shared" si="245"/>
      </c>
      <c r="X188" s="11" t="s">
        <f t="shared" si="242"/>
      </c>
    </row>
    <row r="189" ht="12.50" customHeight="true">
      <c r="A189" s="10"/>
      <c r="B189" s="11"/>
      <c r="C189" s="11"/>
      <c r="D189" s="11"/>
      <c r="E189" s="11"/>
      <c r="F189" s="11"/>
      <c r="G189" s="11"/>
      <c r="H189" s="11"/>
      <c r="I189" s="11"/>
      <c r="J189" s="11"/>
      <c r="K189" s="11" t="s">
        <f>""</f>
      </c>
      <c r="L189" s="11" t="s">
        <f t="shared" si="239"/>
      </c>
      <c r="M189" s="8" t="s">
        <f t="shared" si="240"/>
      </c>
      <c r="N189" s="11"/>
      <c r="O189" s="10">
        <f ref="O189:P189" t="shared" si="1681">A189</f>
        <v>0</v>
      </c>
      <c r="P189" s="11">
        <f t="shared" si="1681"/>
        <v>0</v>
      </c>
      <c r="Q189" s="11" t="s">
        <f t="shared" si="247"/>
      </c>
      <c r="R189" s="11">
        <f t="shared" si="241"/>
        <v>0</v>
      </c>
      <c r="S189" s="11">
        <f ref="S189:U189" t="shared" si="1680">E189</f>
        <v>0</v>
      </c>
      <c r="T189" s="11">
        <f t="shared" si="1680"/>
        <v>0</v>
      </c>
      <c r="U189" s="11">
        <f t="shared" si="1680"/>
        <v>0</v>
      </c>
      <c r="V189" s="11">
        <f t="shared" si="246"/>
      </c>
      <c r="W189" s="11" t="s">
        <f t="shared" si="245"/>
      </c>
      <c r="X189" s="11" t="s">
        <f t="shared" si="242"/>
      </c>
    </row>
    <row r="190" ht="12.50" customHeight="true">
      <c r="A190" s="10"/>
      <c r="B190" s="11"/>
      <c r="C190" s="11"/>
      <c r="D190" s="11"/>
      <c r="E190" s="11"/>
      <c r="F190" s="11"/>
      <c r="G190" s="11"/>
      <c r="H190" s="11"/>
      <c r="I190" s="11"/>
      <c r="J190" s="11"/>
      <c r="K190" s="11" t="s">
        <f>""</f>
      </c>
      <c r="L190" s="11" t="s">
        <f t="shared" si="239"/>
      </c>
      <c r="M190" s="8" t="s">
        <f t="shared" si="240"/>
      </c>
      <c r="N190" s="11"/>
      <c r="O190" s="10">
        <f ref="O190:P190" t="shared" si="1481">A190</f>
        <v>0</v>
      </c>
      <c r="P190" s="11">
        <f t="shared" si="1481"/>
        <v>0</v>
      </c>
      <c r="Q190" s="11" t="s">
        <f t="shared" si="247"/>
      </c>
      <c r="R190" s="11">
        <f t="shared" si="241"/>
        <v>0</v>
      </c>
      <c r="S190" s="11">
        <f ref="S190:U190" t="shared" si="1480">E190</f>
        <v>0</v>
      </c>
      <c r="T190" s="11">
        <f t="shared" si="1480"/>
        <v>0</v>
      </c>
      <c r="U190" s="11">
        <f t="shared" si="1480"/>
        <v>0</v>
      </c>
      <c r="V190" s="11">
        <f t="shared" si="246"/>
      </c>
      <c r="W190" s="11" t="s">
        <f t="shared" si="245"/>
      </c>
      <c r="X190" s="11" t="s">
        <f t="shared" si="242"/>
      </c>
    </row>
    <row r="191" ht="12.50" customHeight="true">
      <c r="A191" s="10"/>
      <c r="B191" s="11"/>
      <c r="C191" s="11"/>
      <c r="D191" s="11"/>
      <c r="E191" s="11"/>
      <c r="F191" s="11"/>
      <c r="G191" s="11"/>
      <c r="H191" s="11"/>
      <c r="I191" s="11"/>
      <c r="J191" s="11"/>
      <c r="K191" s="11" t="s">
        <f>""</f>
      </c>
      <c r="L191" s="11" t="s">
        <f t="shared" si="239"/>
      </c>
      <c r="M191" s="8" t="s">
        <f t="shared" si="240"/>
      </c>
      <c r="N191" s="11"/>
      <c r="O191" s="10">
        <f ref="O191:P191" t="shared" si="461">A191</f>
        <v>0</v>
      </c>
      <c r="P191" s="11">
        <f t="shared" si="461"/>
        <v>0</v>
      </c>
      <c r="Q191" s="11" t="s">
        <f t="shared" si="247"/>
      </c>
      <c r="R191" s="11">
        <f t="shared" si="241"/>
        <v>0</v>
      </c>
      <c r="S191" s="11">
        <f ref="S191:U191" t="shared" si="460">E191</f>
        <v>0</v>
      </c>
      <c r="T191" s="11">
        <f t="shared" si="460"/>
        <v>0</v>
      </c>
      <c r="U191" s="11">
        <f t="shared" si="460"/>
        <v>0</v>
      </c>
      <c r="V191" s="11">
        <f t="shared" si="246"/>
      </c>
      <c r="W191" s="11" t="s">
        <f t="shared" si="245"/>
      </c>
      <c r="X191" s="11" t="s">
        <f t="shared" si="242"/>
      </c>
    </row>
    <row r="192" ht="12.50" customHeight="true">
      <c r="A192" s="10"/>
      <c r="B192" s="11"/>
      <c r="C192" s="11"/>
      <c r="D192" s="11"/>
      <c r="E192" s="11"/>
      <c r="F192" s="11"/>
      <c r="G192" s="11"/>
      <c r="H192" s="11"/>
      <c r="I192" s="11"/>
      <c r="J192" s="11"/>
      <c r="K192" s="11" t="s">
        <f>""</f>
      </c>
      <c r="L192" s="11" t="s">
        <f t="shared" si="239"/>
      </c>
      <c r="M192" s="8" t="s">
        <f t="shared" si="240"/>
      </c>
      <c r="N192" s="11"/>
      <c r="O192" s="10">
        <f ref="O192:P192" t="shared" si="816">A192</f>
        <v>0</v>
      </c>
      <c r="P192" s="11">
        <f t="shared" si="816"/>
        <v>0</v>
      </c>
      <c r="Q192" s="11" t="s">
        <f t="shared" si="247"/>
      </c>
      <c r="R192" s="11">
        <f t="shared" si="241"/>
        <v>0</v>
      </c>
      <c r="S192" s="11">
        <f ref="S192:U192" t="shared" si="817">E192</f>
        <v>0</v>
      </c>
      <c r="T192" s="11">
        <f t="shared" si="817"/>
        <v>0</v>
      </c>
      <c r="U192" s="11">
        <f t="shared" si="817"/>
        <v>0</v>
      </c>
      <c r="V192" s="11">
        <f t="shared" si="246"/>
      </c>
      <c r="W192" s="11" t="s">
        <f t="shared" si="245"/>
      </c>
      <c r="X192" s="11" t="s">
        <f t="shared" si="242"/>
      </c>
    </row>
    <row r="193" ht="12.50" customHeight="true">
      <c r="A193" s="10"/>
      <c r="B193" s="11"/>
      <c r="C193" s="11"/>
      <c r="D193" s="11"/>
      <c r="E193" s="11"/>
      <c r="F193" s="11"/>
      <c r="G193" s="11"/>
      <c r="H193" s="11"/>
      <c r="I193" s="11"/>
      <c r="J193" s="11"/>
      <c r="K193" s="11" t="s">
        <f>""</f>
      </c>
      <c r="L193" s="11" t="s">
        <f t="shared" si="239"/>
      </c>
      <c r="M193" s="8" t="s">
        <f t="shared" si="240"/>
      </c>
      <c r="N193" s="11"/>
      <c r="O193" s="10">
        <f ref="O193:P193" t="shared" si="828">A193</f>
        <v>0</v>
      </c>
      <c r="P193" s="11">
        <f t="shared" si="828"/>
        <v>0</v>
      </c>
      <c r="Q193" s="11" t="s">
        <f t="shared" si="247"/>
      </c>
      <c r="R193" s="11">
        <f t="shared" si="241"/>
        <v>0</v>
      </c>
      <c r="S193" s="11">
        <f ref="S193:U193" t="shared" si="829">E193</f>
        <v>0</v>
      </c>
      <c r="T193" s="11">
        <f t="shared" si="829"/>
        <v>0</v>
      </c>
      <c r="U193" s="11">
        <f t="shared" si="829"/>
        <v>0</v>
      </c>
      <c r="V193" s="11">
        <f t="shared" si="246"/>
      </c>
      <c r="W193" s="11" t="s">
        <f t="shared" si="245"/>
      </c>
      <c r="X193" s="11" t="s">
        <f t="shared" si="242"/>
      </c>
    </row>
    <row r="194" ht="12.50" customHeight="true">
      <c r="A194" s="10"/>
      <c r="B194" s="11"/>
      <c r="C194" s="11"/>
      <c r="D194" s="11"/>
      <c r="E194" s="11"/>
      <c r="F194" s="11"/>
      <c r="G194" s="11"/>
      <c r="H194" s="11"/>
      <c r="I194" s="11"/>
      <c r="J194" s="11"/>
      <c r="K194" s="11" t="s">
        <f>""</f>
      </c>
      <c r="L194" s="11" t="s">
        <f t="shared" si="239"/>
      </c>
      <c r="M194" s="8" t="s">
        <f t="shared" si="240"/>
      </c>
      <c r="N194" s="11"/>
      <c r="O194" s="10">
        <f ref="O194:P194" t="shared" si="2012">A194</f>
        <v>0</v>
      </c>
      <c r="P194" s="11">
        <f t="shared" si="2012"/>
        <v>0</v>
      </c>
      <c r="Q194" s="11" t="s">
        <f t="shared" si="247"/>
      </c>
      <c r="R194" s="11">
        <f t="shared" si="241"/>
        <v>0</v>
      </c>
      <c r="S194" s="11">
        <f ref="S194:U194" t="shared" si="2013">E194</f>
        <v>0</v>
      </c>
      <c r="T194" s="11">
        <f t="shared" si="2013"/>
        <v>0</v>
      </c>
      <c r="U194" s="11">
        <f t="shared" si="2013"/>
        <v>0</v>
      </c>
      <c r="V194" s="11">
        <f t="shared" si="246"/>
      </c>
      <c r="W194" s="11" t="s">
        <f t="shared" si="245"/>
      </c>
      <c r="X194" s="11" t="s">
        <f t="shared" si="242"/>
      </c>
    </row>
    <row r="195" ht="12.50" customHeight="true">
      <c r="A195" s="10"/>
      <c r="B195" s="11"/>
      <c r="C195" s="11"/>
      <c r="D195" s="11"/>
      <c r="E195" s="11"/>
      <c r="F195" s="11"/>
      <c r="G195" s="11"/>
      <c r="H195" s="11"/>
      <c r="I195" s="11"/>
      <c r="J195" s="11"/>
      <c r="K195" s="11" t="s">
        <f>""</f>
      </c>
      <c r="L195" s="11" t="s">
        <f t="shared" si="239"/>
      </c>
      <c r="M195" s="8" t="s">
        <f t="shared" si="240"/>
      </c>
      <c r="N195" s="11"/>
      <c r="O195" s="10">
        <f ref="O195:P195" t="shared" si="515">A195</f>
        <v>0</v>
      </c>
      <c r="P195" s="11">
        <f t="shared" si="515"/>
        <v>0</v>
      </c>
      <c r="Q195" s="11" t="s">
        <f t="shared" si="247"/>
      </c>
      <c r="R195" s="11">
        <f t="shared" si="241"/>
        <v>0</v>
      </c>
      <c r="S195" s="11">
        <f ref="S195:U195" t="shared" si="514">E195</f>
        <v>0</v>
      </c>
      <c r="T195" s="11">
        <f t="shared" si="514"/>
        <v>0</v>
      </c>
      <c r="U195" s="11">
        <f t="shared" si="514"/>
        <v>0</v>
      </c>
      <c r="V195" s="11">
        <f t="shared" si="246"/>
      </c>
      <c r="W195" s="11" t="s">
        <f t="shared" si="245"/>
      </c>
      <c r="X195" s="11" t="s">
        <f t="shared" si="242"/>
      </c>
    </row>
    <row r="196" ht="12.50" customHeight="true">
      <c r="A196" s="10"/>
      <c r="B196" s="11"/>
      <c r="C196" s="11"/>
      <c r="D196" s="11"/>
      <c r="E196" s="11"/>
      <c r="F196" s="11"/>
      <c r="G196" s="11"/>
      <c r="H196" s="11"/>
      <c r="I196" s="11"/>
      <c r="J196" s="11"/>
      <c r="K196" s="11" t="s">
        <f>""</f>
      </c>
      <c r="L196" s="11" t="s">
        <f t="shared" si="239"/>
      </c>
      <c r="M196" s="8" t="s">
        <f t="shared" si="240"/>
      </c>
      <c r="N196" s="11"/>
      <c r="O196" s="10">
        <f ref="O196:P196" t="shared" si="421">A196</f>
        <v>0</v>
      </c>
      <c r="P196" s="11">
        <f t="shared" si="421"/>
        <v>0</v>
      </c>
      <c r="Q196" s="11" t="s">
        <f t="shared" si="247"/>
      </c>
      <c r="R196" s="11">
        <f t="shared" si="241"/>
        <v>0</v>
      </c>
      <c r="S196" s="11">
        <f ref="S196:U196" t="shared" si="420">E196</f>
        <v>0</v>
      </c>
      <c r="T196" s="11">
        <f t="shared" si="420"/>
        <v>0</v>
      </c>
      <c r="U196" s="11">
        <f t="shared" si="420"/>
        <v>0</v>
      </c>
      <c r="V196" s="11">
        <f t="shared" si="246"/>
      </c>
      <c r="W196" s="11" t="s">
        <f t="shared" si="245"/>
      </c>
      <c r="X196" s="11" t="s">
        <f t="shared" si="242"/>
      </c>
    </row>
    <row r="197" ht="12.50" customHeight="true">
      <c r="A197" s="10"/>
      <c r="B197" s="11"/>
      <c r="C197" s="11"/>
      <c r="D197" s="11"/>
      <c r="E197" s="11"/>
      <c r="F197" s="11"/>
      <c r="G197" s="11"/>
      <c r="H197" s="11"/>
      <c r="I197" s="11"/>
      <c r="J197" s="11"/>
      <c r="K197" s="11" t="s">
        <f>""</f>
      </c>
      <c r="L197" s="11" t="s">
        <f t="shared" si="239"/>
      </c>
      <c r="M197" s="8" t="s">
        <f t="shared" si="240"/>
      </c>
      <c r="N197" s="11"/>
      <c r="O197" s="10">
        <f ref="O197:P197" t="shared" si="1428">A197</f>
        <v>0</v>
      </c>
      <c r="P197" s="11">
        <f t="shared" si="1428"/>
        <v>0</v>
      </c>
      <c r="Q197" s="11" t="s">
        <f t="shared" si="247"/>
      </c>
      <c r="R197" s="11">
        <f t="shared" si="241"/>
        <v>0</v>
      </c>
      <c r="S197" s="11">
        <f ref="S197:U197" t="shared" si="1429">E197</f>
        <v>0</v>
      </c>
      <c r="T197" s="11">
        <f t="shared" si="1429"/>
        <v>0</v>
      </c>
      <c r="U197" s="11">
        <f t="shared" si="1429"/>
        <v>0</v>
      </c>
      <c r="V197" s="11">
        <f t="shared" si="246"/>
      </c>
      <c r="W197" s="11" t="s">
        <f t="shared" si="245"/>
      </c>
      <c r="X197" s="11" t="s">
        <f t="shared" si="242"/>
      </c>
    </row>
    <row r="198" ht="12.50" customHeight="true">
      <c r="A198" s="10"/>
      <c r="B198" s="11"/>
      <c r="C198" s="11"/>
      <c r="D198" s="11"/>
      <c r="E198" s="11"/>
      <c r="F198" s="11"/>
      <c r="G198" s="11"/>
      <c r="H198" s="11"/>
      <c r="I198" s="11"/>
      <c r="J198" s="11"/>
      <c r="K198" s="11" t="s">
        <f>""</f>
      </c>
      <c r="L198" s="11" t="s">
        <f t="shared" si="239"/>
      </c>
      <c r="M198" s="8" t="s">
        <f t="shared" si="240"/>
      </c>
      <c r="N198" s="11"/>
      <c r="O198" s="10">
        <f ref="O198:P198" t="shared" si="1650">A198</f>
        <v>0</v>
      </c>
      <c r="P198" s="11">
        <f t="shared" si="1650"/>
        <v>0</v>
      </c>
      <c r="Q198" s="11" t="s">
        <f t="shared" si="247"/>
      </c>
      <c r="R198" s="11">
        <f t="shared" si="241"/>
        <v>0</v>
      </c>
      <c r="S198" s="11">
        <f ref="S198:U198" t="shared" si="1651">E198</f>
        <v>0</v>
      </c>
      <c r="T198" s="11">
        <f t="shared" si="1651"/>
        <v>0</v>
      </c>
      <c r="U198" s="11">
        <f t="shared" si="1651"/>
        <v>0</v>
      </c>
      <c r="V198" s="11">
        <f t="shared" si="246"/>
      </c>
      <c r="W198" s="11" t="s">
        <f t="shared" si="245"/>
      </c>
      <c r="X198" s="11" t="s">
        <f t="shared" si="242"/>
      </c>
    </row>
    <row r="199" ht="12.50" customHeight="true">
      <c r="A199" s="10"/>
      <c r="B199" s="11"/>
      <c r="C199" s="11"/>
      <c r="D199" s="11"/>
      <c r="E199" s="11"/>
      <c r="F199" s="11"/>
      <c r="G199" s="11"/>
      <c r="H199" s="11"/>
      <c r="I199" s="11"/>
      <c r="J199" s="11"/>
      <c r="K199" s="11" t="s">
        <f>""</f>
      </c>
      <c r="L199" s="11" t="s">
        <f t="shared" si="239"/>
      </c>
      <c r="M199" s="8" t="s">
        <f t="shared" si="240"/>
      </c>
      <c r="N199" s="11"/>
      <c r="O199" s="10">
        <f ref="O199:P199" t="shared" si="1747">A199</f>
        <v>0</v>
      </c>
      <c r="P199" s="11">
        <f t="shared" si="1747"/>
        <v>0</v>
      </c>
      <c r="Q199" s="11" t="s">
        <f t="shared" si="247"/>
      </c>
      <c r="R199" s="11">
        <f t="shared" si="241"/>
        <v>0</v>
      </c>
      <c r="S199" s="11">
        <f ref="S199:U199" t="shared" si="1746">E199</f>
        <v>0</v>
      </c>
      <c r="T199" s="11">
        <f t="shared" si="1746"/>
        <v>0</v>
      </c>
      <c r="U199" s="11">
        <f t="shared" si="1746"/>
        <v>0</v>
      </c>
      <c r="V199" s="11">
        <f t="shared" si="246"/>
      </c>
      <c r="W199" s="11" t="s">
        <f t="shared" si="245"/>
      </c>
      <c r="X199" s="11" t="s">
        <f t="shared" si="242"/>
      </c>
    </row>
    <row r="200" ht="12.50" customHeight="true">
      <c r="A200" s="10"/>
      <c r="B200" s="11"/>
      <c r="C200" s="11"/>
      <c r="D200" s="11"/>
      <c r="E200" s="11"/>
      <c r="F200" s="11"/>
      <c r="G200" s="11"/>
      <c r="H200" s="11"/>
      <c r="I200" s="11"/>
      <c r="J200" s="11"/>
      <c r="K200" s="11" t="s">
        <f>""</f>
      </c>
      <c r="L200" s="11" t="s">
        <f t="shared" si="239"/>
      </c>
      <c r="M200" s="8" t="s">
        <f t="shared" si="240"/>
      </c>
      <c r="N200" s="11"/>
      <c r="O200" s="10">
        <f ref="O200:P200" t="shared" si="730">A200</f>
        <v>0</v>
      </c>
      <c r="P200" s="11">
        <f t="shared" si="730"/>
        <v>0</v>
      </c>
      <c r="Q200" s="11" t="s">
        <f t="shared" si="247"/>
      </c>
      <c r="R200" s="11">
        <f t="shared" si="241"/>
        <v>0</v>
      </c>
      <c r="S200" s="11">
        <f ref="S200:U200" t="shared" si="731">E200</f>
        <v>0</v>
      </c>
      <c r="T200" s="11">
        <f t="shared" si="731"/>
        <v>0</v>
      </c>
      <c r="U200" s="11">
        <f t="shared" si="731"/>
        <v>0</v>
      </c>
      <c r="V200" s="11">
        <f t="shared" si="246"/>
      </c>
      <c r="W200" s="11" t="s">
        <f t="shared" si="245"/>
      </c>
      <c r="X200" s="11" t="s">
        <f t="shared" si="242"/>
      </c>
    </row>
    <row r="201" ht="12.50" customHeight="true">
      <c r="A201" s="10"/>
      <c r="B201" s="11"/>
      <c r="C201" s="11"/>
      <c r="D201" s="11"/>
      <c r="E201" s="11"/>
      <c r="F201" s="11"/>
      <c r="G201" s="11"/>
      <c r="H201" s="11"/>
      <c r="I201" s="11"/>
      <c r="J201" s="11"/>
      <c r="K201" s="11" t="s">
        <f>""</f>
      </c>
      <c r="L201" s="11" t="s">
        <f t="shared" si="239"/>
      </c>
      <c r="M201" s="8" t="s">
        <f t="shared" si="240"/>
      </c>
      <c r="N201" s="11"/>
      <c r="O201" s="10">
        <f ref="O201:P201" t="shared" si="1969">A201</f>
        <v>0</v>
      </c>
      <c r="P201" s="11">
        <f t="shared" si="1969"/>
        <v>0</v>
      </c>
      <c r="Q201" s="11" t="s">
        <f t="shared" si="247"/>
      </c>
      <c r="R201" s="11">
        <f t="shared" si="241"/>
        <v>0</v>
      </c>
      <c r="S201" s="11">
        <f ref="S201:U201" t="shared" si="1968">E201</f>
        <v>0</v>
      </c>
      <c r="T201" s="11">
        <f t="shared" si="1968"/>
        <v>0</v>
      </c>
      <c r="U201" s="11">
        <f t="shared" si="1968"/>
        <v>0</v>
      </c>
      <c r="V201" s="11">
        <f t="shared" si="246"/>
      </c>
      <c r="W201" s="11" t="s">
        <f t="shared" si="245"/>
      </c>
      <c r="X201" s="11" t="s">
        <f t="shared" si="242"/>
      </c>
    </row>
    <row r="202" ht="12.50" customHeight="true">
      <c r="A202" s="10"/>
      <c r="B202" s="11"/>
      <c r="C202" s="11"/>
      <c r="D202" s="11"/>
      <c r="E202" s="11"/>
      <c r="F202" s="11"/>
      <c r="G202" s="11"/>
      <c r="H202" s="11"/>
      <c r="I202" s="11"/>
      <c r="J202" s="11"/>
      <c r="K202" s="11" t="s">
        <f>""</f>
      </c>
      <c r="L202" s="11" t="s">
        <f t="shared" si="239"/>
      </c>
      <c r="M202" s="8" t="s">
        <f t="shared" si="240"/>
      </c>
      <c r="N202" s="11"/>
      <c r="O202" s="10">
        <f ref="O202:P202" t="shared" si="201">A202</f>
        <v>0</v>
      </c>
      <c r="P202" s="11">
        <f t="shared" si="201"/>
        <v>0</v>
      </c>
      <c r="Q202" s="11" t="s">
        <f t="shared" si="247"/>
      </c>
      <c r="R202" s="11">
        <f t="shared" si="241"/>
        <v>0</v>
      </c>
      <c r="S202" s="11">
        <f ref="S202:U202" t="shared" si="202">E202</f>
        <v>0</v>
      </c>
      <c r="T202" s="11">
        <f t="shared" si="202"/>
        <v>0</v>
      </c>
      <c r="U202" s="11">
        <f t="shared" si="202"/>
        <v>0</v>
      </c>
      <c r="V202" s="11">
        <f t="shared" si="246"/>
      </c>
      <c r="W202" s="11" t="s">
        <f t="shared" si="245"/>
      </c>
      <c r="X202" s="11" t="s">
        <f t="shared" si="242"/>
      </c>
    </row>
    <row r="203" ht="12.50" customHeight="true">
      <c r="A203" s="10"/>
      <c r="B203" s="11"/>
      <c r="C203" s="11"/>
      <c r="D203" s="11"/>
      <c r="E203" s="11"/>
      <c r="F203" s="11"/>
      <c r="G203" s="11"/>
      <c r="H203" s="11"/>
      <c r="I203" s="11"/>
      <c r="J203" s="11"/>
      <c r="K203" s="11" t="s">
        <f>""</f>
      </c>
      <c r="L203" s="11" t="s">
        <f t="shared" si="239"/>
      </c>
      <c r="M203" s="8" t="s">
        <f t="shared" si="240"/>
      </c>
      <c r="N203" s="11"/>
      <c r="O203" s="10">
        <f ref="O203:P203" t="shared" si="1417">A203</f>
        <v>0</v>
      </c>
      <c r="P203" s="11">
        <f t="shared" si="1417"/>
        <v>0</v>
      </c>
      <c r="Q203" s="11" t="s">
        <f t="shared" si="247"/>
      </c>
      <c r="R203" s="11">
        <f t="shared" si="241"/>
        <v>0</v>
      </c>
      <c r="S203" s="11">
        <f ref="S203:U203" t="shared" si="1416">E203</f>
        <v>0</v>
      </c>
      <c r="T203" s="11">
        <f t="shared" si="1416"/>
        <v>0</v>
      </c>
      <c r="U203" s="11">
        <f t="shared" si="1416"/>
        <v>0</v>
      </c>
      <c r="V203" s="11">
        <f t="shared" si="246"/>
      </c>
      <c r="W203" s="11" t="s">
        <f t="shared" si="245"/>
      </c>
      <c r="X203" s="11" t="s">
        <f t="shared" si="242"/>
      </c>
    </row>
    <row r="204" ht="12.50" customHeight="true">
      <c r="A204" s="10"/>
      <c r="B204" s="11"/>
      <c r="C204" s="11"/>
      <c r="D204" s="11"/>
      <c r="E204" s="11"/>
      <c r="F204" s="11"/>
      <c r="G204" s="11"/>
      <c r="H204" s="11"/>
      <c r="I204" s="11"/>
      <c r="J204" s="11"/>
      <c r="K204" s="11" t="s">
        <f>""</f>
      </c>
      <c r="L204" s="11" t="s">
        <f t="shared" si="239"/>
      </c>
      <c r="M204" s="8" t="s">
        <f t="shared" si="240"/>
      </c>
      <c r="N204" s="11"/>
      <c r="O204" s="10">
        <f ref="O204:P204" t="shared" si="1871">A204</f>
        <v>0</v>
      </c>
      <c r="P204" s="11">
        <f t="shared" si="1871"/>
        <v>0</v>
      </c>
      <c r="Q204" s="11" t="s">
        <f t="shared" si="247"/>
      </c>
      <c r="R204" s="11">
        <f t="shared" si="241"/>
        <v>0</v>
      </c>
      <c r="S204" s="11">
        <f ref="S204:U204" t="shared" si="1870">E204</f>
        <v>0</v>
      </c>
      <c r="T204" s="11">
        <f t="shared" si="1870"/>
        <v>0</v>
      </c>
      <c r="U204" s="11">
        <f t="shared" si="1870"/>
        <v>0</v>
      </c>
      <c r="V204" s="11">
        <f t="shared" si="246"/>
      </c>
      <c r="W204" s="11" t="s">
        <f t="shared" si="245"/>
      </c>
      <c r="X204" s="11" t="s">
        <f t="shared" si="242"/>
      </c>
    </row>
    <row r="205" ht="12.50" customHeight="true">
      <c r="A205" s="10"/>
      <c r="B205" s="11"/>
      <c r="C205" s="11"/>
      <c r="D205" s="11"/>
      <c r="E205" s="11"/>
      <c r="F205" s="11"/>
      <c r="G205" s="11"/>
      <c r="H205" s="11"/>
      <c r="I205" s="11"/>
      <c r="J205" s="11"/>
      <c r="K205" s="11" t="s">
        <f>""</f>
      </c>
      <c r="L205" s="11" t="s">
        <f t="shared" si="239"/>
      </c>
      <c r="M205" s="8" t="s">
        <f t="shared" si="240"/>
      </c>
      <c r="N205" s="11"/>
      <c r="O205" s="10">
        <f ref="O205:P205" t="shared" si="26">A205</f>
        <v>0</v>
      </c>
      <c r="P205" s="11">
        <f t="shared" si="26"/>
        <v>0</v>
      </c>
      <c r="Q205" s="11" t="s">
        <f t="shared" si="247"/>
      </c>
      <c r="R205" s="11">
        <f t="shared" si="241"/>
        <v>0</v>
      </c>
      <c r="S205" s="11">
        <f ref="S205:U205" t="shared" si="27">E205</f>
        <v>0</v>
      </c>
      <c r="T205" s="11">
        <f t="shared" si="27"/>
        <v>0</v>
      </c>
      <c r="U205" s="11">
        <f t="shared" si="27"/>
        <v>0</v>
      </c>
      <c r="V205" s="11">
        <f t="shared" si="246"/>
      </c>
      <c r="W205" s="11" t="s">
        <f t="shared" si="245"/>
      </c>
      <c r="X205" s="11" t="s">
        <f t="shared" si="242"/>
      </c>
    </row>
    <row r="206" ht="12.50" customHeight="true">
      <c r="A206" s="10"/>
      <c r="B206" s="11"/>
      <c r="C206" s="11"/>
      <c r="D206" s="11"/>
      <c r="E206" s="11"/>
      <c r="F206" s="11"/>
      <c r="G206" s="11"/>
      <c r="H206" s="11"/>
      <c r="I206" s="11"/>
      <c r="J206" s="11"/>
      <c r="K206" s="11" t="s">
        <f>""</f>
      </c>
      <c r="L206" s="11" t="s">
        <f t="shared" si="239"/>
      </c>
      <c r="M206" s="8" t="s">
        <f t="shared" si="240"/>
      </c>
      <c r="N206" s="11"/>
      <c r="O206" s="10">
        <f ref="O206:P206" t="shared" si="722">A206</f>
        <v>0</v>
      </c>
      <c r="P206" s="11">
        <f t="shared" si="722"/>
        <v>0</v>
      </c>
      <c r="Q206" s="11" t="s">
        <f t="shared" si="247"/>
      </c>
      <c r="R206" s="11">
        <f t="shared" si="241"/>
        <v>0</v>
      </c>
      <c r="S206" s="11">
        <f ref="S206:U206" t="shared" si="723">E206</f>
        <v>0</v>
      </c>
      <c r="T206" s="11">
        <f t="shared" si="723"/>
        <v>0</v>
      </c>
      <c r="U206" s="11">
        <f t="shared" si="723"/>
        <v>0</v>
      </c>
      <c r="V206" s="11">
        <f t="shared" si="246"/>
      </c>
      <c r="W206" s="11" t="s">
        <f t="shared" si="245"/>
      </c>
      <c r="X206" s="11" t="s">
        <f t="shared" si="242"/>
      </c>
    </row>
    <row r="207" ht="12.50" customHeight="true">
      <c r="A207" s="10"/>
      <c r="B207" s="11"/>
      <c r="C207" s="11"/>
      <c r="D207" s="11"/>
      <c r="E207" s="11"/>
      <c r="F207" s="11"/>
      <c r="G207" s="11"/>
      <c r="H207" s="11"/>
      <c r="I207" s="11"/>
      <c r="J207" s="11"/>
      <c r="K207" s="11" t="s">
        <f>""</f>
      </c>
      <c r="L207" s="11" t="s">
        <f t="shared" si="239"/>
      </c>
      <c r="M207" s="8" t="s">
        <f t="shared" si="240"/>
      </c>
      <c r="N207" s="11"/>
      <c r="O207" s="10">
        <f ref="O207:P207" t="shared" si="906">A207</f>
        <v>0</v>
      </c>
      <c r="P207" s="11">
        <f t="shared" si="906"/>
        <v>0</v>
      </c>
      <c r="Q207" s="11" t="s">
        <f t="shared" si="247"/>
      </c>
      <c r="R207" s="11">
        <f t="shared" si="241"/>
        <v>0</v>
      </c>
      <c r="S207" s="11">
        <f ref="S207:U207" t="shared" si="907">E207</f>
        <v>0</v>
      </c>
      <c r="T207" s="11">
        <f t="shared" si="907"/>
        <v>0</v>
      </c>
      <c r="U207" s="11">
        <f t="shared" si="907"/>
        <v>0</v>
      </c>
      <c r="V207" s="11">
        <f t="shared" si="246"/>
      </c>
      <c r="W207" s="11" t="s">
        <f t="shared" si="245"/>
      </c>
      <c r="X207" s="11" t="s">
        <f t="shared" si="242"/>
      </c>
    </row>
    <row r="208" ht="12.50" customHeight="true">
      <c r="A208" s="10"/>
      <c r="B208" s="11"/>
      <c r="C208" s="11"/>
      <c r="D208" s="11"/>
      <c r="E208" s="11"/>
      <c r="F208" s="11"/>
      <c r="G208" s="11"/>
      <c r="H208" s="11"/>
      <c r="I208" s="11"/>
      <c r="J208" s="11"/>
      <c r="K208" s="11" t="s">
        <f>""</f>
      </c>
      <c r="L208" s="11" t="s">
        <f t="shared" si="239"/>
      </c>
      <c r="M208" s="8" t="s">
        <f t="shared" si="240"/>
      </c>
      <c r="N208" s="11"/>
      <c r="O208" s="10">
        <f ref="O208:P208" t="shared" si="1814">A208</f>
        <v>0</v>
      </c>
      <c r="P208" s="11">
        <f t="shared" si="1814"/>
        <v>0</v>
      </c>
      <c r="Q208" s="11" t="s">
        <f t="shared" si="247"/>
      </c>
      <c r="R208" s="11">
        <f t="shared" si="241"/>
        <v>0</v>
      </c>
      <c r="S208" s="11">
        <f ref="S208:U208" t="shared" si="1815">E208</f>
        <v>0</v>
      </c>
      <c r="T208" s="11">
        <f t="shared" si="1815"/>
        <v>0</v>
      </c>
      <c r="U208" s="11">
        <f t="shared" si="1815"/>
        <v>0</v>
      </c>
      <c r="V208" s="11">
        <f t="shared" si="246"/>
      </c>
      <c r="W208" s="11" t="s">
        <f t="shared" si="245"/>
      </c>
      <c r="X208" s="11" t="s">
        <f t="shared" si="242"/>
      </c>
    </row>
    <row r="209" ht="12.50" customHeight="true">
      <c r="A209" s="10"/>
      <c r="B209" s="11"/>
      <c r="C209" s="11"/>
      <c r="D209" s="11"/>
      <c r="E209" s="11"/>
      <c r="F209" s="11"/>
      <c r="G209" s="11"/>
      <c r="H209" s="11"/>
      <c r="I209" s="11"/>
      <c r="J209" s="11"/>
      <c r="K209" s="11" t="s">
        <f>""</f>
      </c>
      <c r="L209" s="11" t="s">
        <f t="shared" si="239"/>
      </c>
      <c r="M209" s="8" t="s">
        <f t="shared" si="240"/>
      </c>
      <c r="N209" s="11"/>
      <c r="O209" s="10">
        <f ref="O209:P209" t="shared" si="1348">A209</f>
        <v>0</v>
      </c>
      <c r="P209" s="11">
        <f t="shared" si="1348"/>
        <v>0</v>
      </c>
      <c r="Q209" s="11" t="s">
        <f t="shared" si="247"/>
      </c>
      <c r="R209" s="11">
        <f t="shared" si="241"/>
        <v>0</v>
      </c>
      <c r="S209" s="11">
        <f ref="S209:U209" t="shared" si="1349">E209</f>
        <v>0</v>
      </c>
      <c r="T209" s="11">
        <f t="shared" si="1349"/>
        <v>0</v>
      </c>
      <c r="U209" s="11">
        <f t="shared" si="1349"/>
        <v>0</v>
      </c>
      <c r="V209" s="11">
        <f t="shared" si="246"/>
      </c>
      <c r="W209" s="11" t="s">
        <f t="shared" si="245"/>
      </c>
      <c r="X209" s="11" t="s">
        <f t="shared" si="242"/>
      </c>
    </row>
    <row r="210" ht="12.50" customHeight="true">
      <c r="A210" s="10"/>
      <c r="B210" s="11"/>
      <c r="C210" s="11"/>
      <c r="D210" s="11"/>
      <c r="E210" s="11"/>
      <c r="F210" s="11"/>
      <c r="G210" s="11"/>
      <c r="H210" s="11"/>
      <c r="I210" s="11"/>
      <c r="J210" s="11"/>
      <c r="K210" s="11" t="s">
        <f>""</f>
      </c>
      <c r="L210" s="11" t="s">
        <f t="shared" si="239"/>
      </c>
      <c r="M210" s="8" t="s">
        <f t="shared" si="240"/>
      </c>
      <c r="N210" s="11"/>
      <c r="O210" s="10">
        <f ref="O210:P210" t="shared" si="491">A210</f>
        <v>0</v>
      </c>
      <c r="P210" s="11">
        <f t="shared" si="491"/>
        <v>0</v>
      </c>
      <c r="Q210" s="11" t="s">
        <f t="shared" si="247"/>
      </c>
      <c r="R210" s="11">
        <f t="shared" si="241"/>
        <v>0</v>
      </c>
      <c r="S210" s="11">
        <f ref="S210:U210" t="shared" si="490">E210</f>
        <v>0</v>
      </c>
      <c r="T210" s="11">
        <f t="shared" si="490"/>
        <v>0</v>
      </c>
      <c r="U210" s="11">
        <f t="shared" si="490"/>
        <v>0</v>
      </c>
      <c r="V210" s="11">
        <f t="shared" si="246"/>
      </c>
      <c r="W210" s="11" t="s">
        <f t="shared" si="245"/>
      </c>
      <c r="X210" s="11" t="s">
        <f t="shared" si="242"/>
      </c>
    </row>
    <row r="211" ht="12.50" customHeight="true">
      <c r="A211" s="10"/>
      <c r="B211" s="11"/>
      <c r="C211" s="11"/>
      <c r="D211" s="11"/>
      <c r="E211" s="11"/>
      <c r="F211" s="11"/>
      <c r="G211" s="11"/>
      <c r="H211" s="11"/>
      <c r="I211" s="11"/>
      <c r="J211" s="11"/>
      <c r="K211" s="11" t="s">
        <f>""</f>
      </c>
      <c r="L211" s="11" t="s">
        <f t="shared" si="239"/>
      </c>
      <c r="M211" s="8" t="s">
        <f t="shared" si="240"/>
      </c>
      <c r="N211" s="11"/>
      <c r="O211" s="10">
        <f ref="O211:P211" t="shared" si="1791">A211</f>
        <v>0</v>
      </c>
      <c r="P211" s="11">
        <f t="shared" si="1791"/>
        <v>0</v>
      </c>
      <c r="Q211" s="11" t="s">
        <f t="shared" si="247"/>
      </c>
      <c r="R211" s="11">
        <f t="shared" si="241"/>
        <v>0</v>
      </c>
      <c r="S211" s="11">
        <f ref="S211:U211" t="shared" si="1790">E211</f>
        <v>0</v>
      </c>
      <c r="T211" s="11">
        <f t="shared" si="1790"/>
        <v>0</v>
      </c>
      <c r="U211" s="11">
        <f t="shared" si="1790"/>
        <v>0</v>
      </c>
      <c r="V211" s="11">
        <f t="shared" si="246"/>
      </c>
      <c r="W211" s="11" t="s">
        <f t="shared" si="245"/>
      </c>
      <c r="X211" s="11" t="s">
        <f t="shared" si="242"/>
      </c>
    </row>
    <row r="212" ht="12.50" customHeight="true">
      <c r="A212" s="10"/>
      <c r="B212" s="11"/>
      <c r="C212" s="11"/>
      <c r="D212" s="11"/>
      <c r="E212" s="11"/>
      <c r="F212" s="11"/>
      <c r="G212" s="11"/>
      <c r="H212" s="11"/>
      <c r="I212" s="11"/>
      <c r="J212" s="11"/>
      <c r="K212" s="11" t="s">
        <f>""</f>
      </c>
      <c r="L212" s="11" t="s">
        <f t="shared" si="239"/>
      </c>
      <c r="M212" s="8" t="s">
        <f t="shared" si="240"/>
      </c>
      <c r="N212" s="11"/>
      <c r="O212" s="10">
        <f ref="O212:P212" t="shared" si="152">A212</f>
        <v>0</v>
      </c>
      <c r="P212" s="11">
        <f t="shared" si="152"/>
        <v>0</v>
      </c>
      <c r="Q212" s="11" t="s">
        <f t="shared" si="247"/>
      </c>
      <c r="R212" s="11">
        <f t="shared" si="241"/>
        <v>0</v>
      </c>
      <c r="S212" s="11">
        <f ref="S212:U212" t="shared" si="151">E212</f>
        <v>0</v>
      </c>
      <c r="T212" s="11">
        <f t="shared" si="151"/>
        <v>0</v>
      </c>
      <c r="U212" s="11">
        <f t="shared" si="151"/>
        <v>0</v>
      </c>
      <c r="V212" s="11">
        <f t="shared" si="246"/>
      </c>
      <c r="W212" s="11" t="s">
        <f t="shared" si="245"/>
      </c>
      <c r="X212" s="11" t="s">
        <f t="shared" si="242"/>
      </c>
    </row>
    <row r="213" ht="12.50" customHeight="true">
      <c r="A213" s="10"/>
      <c r="B213" s="11"/>
      <c r="C213" s="11"/>
      <c r="D213" s="11"/>
      <c r="E213" s="11"/>
      <c r="F213" s="11"/>
      <c r="G213" s="11"/>
      <c r="H213" s="11"/>
      <c r="I213" s="11"/>
      <c r="J213" s="11"/>
      <c r="K213" s="11" t="s">
        <f>""</f>
      </c>
      <c r="L213" s="11" t="s">
        <f t="shared" si="239"/>
      </c>
      <c r="M213" s="8" t="s">
        <f t="shared" si="240"/>
      </c>
      <c r="N213" s="11"/>
      <c r="O213" s="10">
        <f ref="O213:P213" t="shared" si="1276">A213</f>
        <v>0</v>
      </c>
      <c r="P213" s="11">
        <f t="shared" si="1276"/>
        <v>0</v>
      </c>
      <c r="Q213" s="11" t="s">
        <f t="shared" si="247"/>
      </c>
      <c r="R213" s="11">
        <f t="shared" si="241"/>
        <v>0</v>
      </c>
      <c r="S213" s="11">
        <f ref="S213:U213" t="shared" si="1277">E213</f>
        <v>0</v>
      </c>
      <c r="T213" s="11">
        <f t="shared" si="1277"/>
        <v>0</v>
      </c>
      <c r="U213" s="11">
        <f t="shared" si="1277"/>
        <v>0</v>
      </c>
      <c r="V213" s="11">
        <f t="shared" si="246"/>
      </c>
      <c r="W213" s="11" t="s">
        <f t="shared" si="245"/>
      </c>
      <c r="X213" s="11" t="s">
        <f t="shared" si="242"/>
      </c>
    </row>
    <row r="214" ht="12.50" customHeight="true">
      <c r="A214" s="10"/>
      <c r="B214" s="11"/>
      <c r="C214" s="11"/>
      <c r="D214" s="11"/>
      <c r="E214" s="11"/>
      <c r="F214" s="11"/>
      <c r="G214" s="11"/>
      <c r="H214" s="11"/>
      <c r="I214" s="11"/>
      <c r="J214" s="11"/>
      <c r="K214" s="11" t="s">
        <f>""</f>
      </c>
      <c r="L214" s="11" t="s">
        <f t="shared" si="239"/>
      </c>
      <c r="M214" s="8" t="s">
        <f t="shared" si="240"/>
      </c>
      <c r="N214" s="11"/>
      <c r="O214" s="10">
        <f ref="O214:P214" t="shared" si="1129">A214</f>
        <v>0</v>
      </c>
      <c r="P214" s="11">
        <f t="shared" si="1129"/>
        <v>0</v>
      </c>
      <c r="Q214" s="11" t="s">
        <f t="shared" si="247"/>
      </c>
      <c r="R214" s="11">
        <f t="shared" si="241"/>
        <v>0</v>
      </c>
      <c r="S214" s="11">
        <f ref="S214:U214" t="shared" si="1130">E214</f>
        <v>0</v>
      </c>
      <c r="T214" s="11">
        <f t="shared" si="1130"/>
        <v>0</v>
      </c>
      <c r="U214" s="11">
        <f t="shared" si="1130"/>
        <v>0</v>
      </c>
      <c r="V214" s="11">
        <f t="shared" si="246"/>
      </c>
      <c r="W214" s="11" t="s">
        <f t="shared" si="245"/>
      </c>
      <c r="X214" s="11" t="s">
        <f t="shared" si="242"/>
      </c>
    </row>
    <row r="215" ht="12.50" customHeight="true">
      <c r="A215" s="10"/>
      <c r="B215" s="11"/>
      <c r="C215" s="11"/>
      <c r="D215" s="11"/>
      <c r="E215" s="11"/>
      <c r="F215" s="11"/>
      <c r="G215" s="11"/>
      <c r="H215" s="11"/>
      <c r="I215" s="11"/>
      <c r="J215" s="11"/>
      <c r="K215" s="11" t="s">
        <f>""</f>
      </c>
      <c r="L215" s="11" t="s">
        <f t="shared" si="239"/>
      </c>
      <c r="M215" s="8" t="s">
        <f t="shared" si="240"/>
      </c>
      <c r="N215" s="11"/>
      <c r="O215" s="10">
        <f ref="O215:P215" t="shared" si="1849">A215</f>
        <v>0</v>
      </c>
      <c r="P215" s="11">
        <f t="shared" si="1849"/>
        <v>0</v>
      </c>
      <c r="Q215" s="11" t="s">
        <f t="shared" si="247"/>
      </c>
      <c r="R215" s="11">
        <f t="shared" si="241"/>
        <v>0</v>
      </c>
      <c r="S215" s="11">
        <f ref="S215:U215" t="shared" si="1848">E215</f>
        <v>0</v>
      </c>
      <c r="T215" s="11">
        <f t="shared" si="1848"/>
        <v>0</v>
      </c>
      <c r="U215" s="11">
        <f t="shared" si="1848"/>
        <v>0</v>
      </c>
      <c r="V215" s="11">
        <f t="shared" si="246"/>
      </c>
      <c r="W215" s="11" t="s">
        <f t="shared" si="245"/>
      </c>
      <c r="X215" s="11" t="s">
        <f t="shared" si="242"/>
      </c>
    </row>
    <row r="216" ht="12.50" customHeight="true">
      <c r="A216" s="10"/>
      <c r="B216" s="11"/>
      <c r="C216" s="11"/>
      <c r="D216" s="11"/>
      <c r="E216" s="11"/>
      <c r="F216" s="11"/>
      <c r="G216" s="11"/>
      <c r="H216" s="11"/>
      <c r="I216" s="11"/>
      <c r="J216" s="11"/>
      <c r="K216" s="11" t="s">
        <f>""</f>
      </c>
      <c r="L216" s="11" t="s">
        <f t="shared" si="239"/>
      </c>
      <c r="M216" s="8" t="s">
        <f t="shared" si="240"/>
      </c>
      <c r="N216" s="11"/>
      <c r="O216" s="10">
        <f ref="O216:P216" t="shared" si="1893">A216</f>
        <v>0</v>
      </c>
      <c r="P216" s="11">
        <f t="shared" si="1893"/>
        <v>0</v>
      </c>
      <c r="Q216" s="11" t="s">
        <f t="shared" si="247"/>
      </c>
      <c r="R216" s="11">
        <f t="shared" si="241"/>
        <v>0</v>
      </c>
      <c r="S216" s="11">
        <f ref="S216:U216" t="shared" si="1892">E216</f>
        <v>0</v>
      </c>
      <c r="T216" s="11">
        <f t="shared" si="1892"/>
        <v>0</v>
      </c>
      <c r="U216" s="11">
        <f t="shared" si="1892"/>
        <v>0</v>
      </c>
      <c r="V216" s="11">
        <f t="shared" si="246"/>
      </c>
      <c r="W216" s="11" t="s">
        <f t="shared" si="245"/>
      </c>
      <c r="X216" s="11" t="s">
        <f t="shared" si="242"/>
      </c>
    </row>
    <row r="217" ht="12.50" customHeight="true">
      <c r="A217" s="10"/>
      <c r="B217" s="11"/>
      <c r="C217" s="11"/>
      <c r="D217" s="11"/>
      <c r="E217" s="11"/>
      <c r="F217" s="11"/>
      <c r="G217" s="11"/>
      <c r="H217" s="11"/>
      <c r="I217" s="11"/>
      <c r="J217" s="11"/>
      <c r="K217" s="11" t="s">
        <f>""</f>
      </c>
      <c r="L217" s="11" t="s">
        <f t="shared" si="239"/>
      </c>
      <c r="M217" s="8" t="s">
        <f t="shared" si="240"/>
      </c>
      <c r="N217" s="11"/>
      <c r="O217" s="10">
        <f ref="O217:P217" t="shared" si="958">A217</f>
        <v>0</v>
      </c>
      <c r="P217" s="11">
        <f t="shared" si="958"/>
        <v>0</v>
      </c>
      <c r="Q217" s="11" t="s">
        <f t="shared" si="247"/>
      </c>
      <c r="R217" s="11">
        <f t="shared" si="241"/>
        <v>0</v>
      </c>
      <c r="S217" s="11">
        <f ref="S217:U217" t="shared" si="957">E217</f>
        <v>0</v>
      </c>
      <c r="T217" s="11">
        <f t="shared" si="957"/>
        <v>0</v>
      </c>
      <c r="U217" s="11">
        <f t="shared" si="957"/>
        <v>0</v>
      </c>
      <c r="V217" s="11">
        <f t="shared" si="246"/>
      </c>
      <c r="W217" s="11" t="s">
        <f t="shared" si="245"/>
      </c>
      <c r="X217" s="11" t="s">
        <f t="shared" si="242"/>
      </c>
    </row>
    <row r="218" ht="12.50" customHeight="true">
      <c r="A218" s="10"/>
      <c r="B218" s="11"/>
      <c r="C218" s="11"/>
      <c r="D218" s="11"/>
      <c r="E218" s="11"/>
      <c r="F218" s="11"/>
      <c r="G218" s="11"/>
      <c r="H218" s="11"/>
      <c r="I218" s="11"/>
      <c r="J218" s="11"/>
      <c r="K218" s="11" t="s">
        <f>""</f>
      </c>
      <c r="L218" s="11" t="s">
        <f t="shared" si="239"/>
      </c>
      <c r="M218" s="8" t="s">
        <f t="shared" si="240"/>
      </c>
      <c r="N218" s="11"/>
      <c r="O218" s="10">
        <f ref="O218:P218" t="shared" si="808">A218</f>
        <v>0</v>
      </c>
      <c r="P218" s="11">
        <f t="shared" si="808"/>
        <v>0</v>
      </c>
      <c r="Q218" s="11" t="s">
        <f t="shared" si="247"/>
      </c>
      <c r="R218" s="11">
        <f t="shared" si="241"/>
        <v>0</v>
      </c>
      <c r="S218" s="11">
        <f ref="S218:U218" t="shared" si="809">E218</f>
        <v>0</v>
      </c>
      <c r="T218" s="11">
        <f t="shared" si="809"/>
        <v>0</v>
      </c>
      <c r="U218" s="11">
        <f t="shared" si="809"/>
        <v>0</v>
      </c>
      <c r="V218" s="11">
        <f t="shared" si="246"/>
      </c>
      <c r="W218" s="11" t="s">
        <f t="shared" si="245"/>
      </c>
      <c r="X218" s="11" t="s">
        <f t="shared" si="242"/>
      </c>
    </row>
    <row r="219" ht="12.50" customHeight="true">
      <c r="A219" s="10"/>
      <c r="B219" s="11"/>
      <c r="C219" s="11"/>
      <c r="D219" s="11"/>
      <c r="E219" s="11"/>
      <c r="F219" s="11"/>
      <c r="G219" s="11"/>
      <c r="H219" s="11"/>
      <c r="I219" s="11"/>
      <c r="J219" s="11"/>
      <c r="K219" s="11" t="s">
        <f>""</f>
      </c>
      <c r="L219" s="11" t="s">
        <f t="shared" si="239"/>
      </c>
      <c r="M219" s="8" t="s">
        <f t="shared" si="240"/>
      </c>
      <c r="N219" s="11"/>
      <c r="O219" s="10">
        <f ref="O219:P219" t="shared" si="1301">A219</f>
        <v>0</v>
      </c>
      <c r="P219" s="11">
        <f t="shared" si="1301"/>
        <v>0</v>
      </c>
      <c r="Q219" s="11" t="s">
        <f t="shared" si="247"/>
      </c>
      <c r="R219" s="11">
        <f t="shared" si="241"/>
        <v>0</v>
      </c>
      <c r="S219" s="11">
        <f ref="S219:U219" t="shared" si="1300">E219</f>
        <v>0</v>
      </c>
      <c r="T219" s="11">
        <f t="shared" si="1300"/>
        <v>0</v>
      </c>
      <c r="U219" s="11">
        <f t="shared" si="1300"/>
        <v>0</v>
      </c>
      <c r="V219" s="11">
        <f t="shared" si="246"/>
      </c>
      <c r="W219" s="11" t="s">
        <f t="shared" si="245"/>
      </c>
      <c r="X219" s="11" t="s">
        <f t="shared" si="242"/>
      </c>
    </row>
    <row r="220" ht="12.50" customHeight="true">
      <c r="A220" s="10"/>
      <c r="B220" s="11"/>
      <c r="C220" s="11"/>
      <c r="D220" s="11"/>
      <c r="E220" s="11"/>
      <c r="F220" s="11"/>
      <c r="G220" s="11"/>
      <c r="H220" s="11"/>
      <c r="I220" s="11"/>
      <c r="J220" s="11"/>
      <c r="K220" s="11" t="s">
        <f>""</f>
      </c>
      <c r="L220" s="11" t="s">
        <f t="shared" si="239"/>
      </c>
      <c r="M220" s="8" t="s">
        <f t="shared" si="240"/>
      </c>
      <c r="N220" s="11"/>
      <c r="O220" s="10">
        <f ref="O220:P220" t="shared" si="1237">A220</f>
        <v>0</v>
      </c>
      <c r="P220" s="11">
        <f t="shared" si="1237"/>
        <v>0</v>
      </c>
      <c r="Q220" s="11" t="s">
        <f t="shared" si="247"/>
      </c>
      <c r="R220" s="11">
        <f t="shared" si="241"/>
        <v>0</v>
      </c>
      <c r="S220" s="11">
        <f ref="S220:U220" t="shared" si="1238">E220</f>
        <v>0</v>
      </c>
      <c r="T220" s="11">
        <f t="shared" si="1238"/>
        <v>0</v>
      </c>
      <c r="U220" s="11">
        <f t="shared" si="1238"/>
        <v>0</v>
      </c>
      <c r="V220" s="11">
        <f t="shared" si="246"/>
      </c>
      <c r="W220" s="11" t="s">
        <f t="shared" si="245"/>
      </c>
      <c r="X220" s="11" t="s">
        <f t="shared" si="242"/>
      </c>
    </row>
    <row r="221" ht="12.50" customHeight="true">
      <c r="A221" s="10"/>
      <c r="B221" s="11"/>
      <c r="C221" s="11"/>
      <c r="D221" s="11"/>
      <c r="E221" s="11"/>
      <c r="F221" s="11"/>
      <c r="G221" s="11"/>
      <c r="H221" s="11"/>
      <c r="I221" s="11"/>
      <c r="J221" s="11"/>
      <c r="K221" s="11" t="s">
        <f>""</f>
      </c>
      <c r="L221" s="11" t="s">
        <f t="shared" si="239"/>
      </c>
      <c r="M221" s="8" t="s">
        <f t="shared" si="240"/>
      </c>
      <c r="N221" s="11"/>
      <c r="O221" s="10">
        <f ref="O221:P221" t="shared" si="1557">A221</f>
        <v>0</v>
      </c>
      <c r="P221" s="11">
        <f t="shared" si="1557"/>
        <v>0</v>
      </c>
      <c r="Q221" s="11" t="s">
        <f t="shared" si="247"/>
      </c>
      <c r="R221" s="11">
        <f t="shared" si="241"/>
        <v>0</v>
      </c>
      <c r="S221" s="11">
        <f ref="S221:U221" t="shared" si="1556">E221</f>
        <v>0</v>
      </c>
      <c r="T221" s="11">
        <f t="shared" si="1556"/>
        <v>0</v>
      </c>
      <c r="U221" s="11">
        <f t="shared" si="1556"/>
        <v>0</v>
      </c>
      <c r="V221" s="11">
        <f t="shared" si="246"/>
      </c>
      <c r="W221" s="11" t="s">
        <f t="shared" si="245"/>
      </c>
      <c r="X221" s="11" t="s">
        <f t="shared" si="242"/>
      </c>
    </row>
    <row r="222" ht="12.50" customHeight="true">
      <c r="A222" s="10"/>
      <c r="B222" s="11"/>
      <c r="C222" s="11"/>
      <c r="D222" s="11"/>
      <c r="E222" s="11"/>
      <c r="F222" s="11"/>
      <c r="G222" s="11"/>
      <c r="H222" s="11"/>
      <c r="I222" s="11"/>
      <c r="J222" s="11"/>
      <c r="K222" s="11" t="s">
        <f>""</f>
      </c>
      <c r="L222" s="11" t="s">
        <f t="shared" si="239"/>
      </c>
      <c r="M222" s="8" t="s">
        <f t="shared" si="240"/>
      </c>
      <c r="N222" s="11"/>
      <c r="O222" s="10">
        <f ref="O222:P222" t="shared" si="19">A222</f>
        <v>0</v>
      </c>
      <c r="P222" s="11">
        <f t="shared" si="19"/>
        <v>0</v>
      </c>
      <c r="Q222" s="11" t="s">
        <f t="shared" si="247"/>
      </c>
      <c r="R222" s="11">
        <f t="shared" si="241"/>
        <v>0</v>
      </c>
      <c r="S222" s="11">
        <f ref="S222:U222" t="shared" si="18">E222</f>
        <v>0</v>
      </c>
      <c r="T222" s="11">
        <f t="shared" si="18"/>
        <v>0</v>
      </c>
      <c r="U222" s="11">
        <f t="shared" si="18"/>
        <v>0</v>
      </c>
      <c r="V222" s="11">
        <f t="shared" si="246"/>
      </c>
      <c r="W222" s="11" t="s">
        <f t="shared" si="245"/>
      </c>
      <c r="X222" s="11" t="s">
        <f t="shared" si="242"/>
      </c>
    </row>
    <row r="223" ht="12.50" customHeight="true">
      <c r="A223" s="10"/>
      <c r="B223" s="11"/>
      <c r="C223" s="11"/>
      <c r="D223" s="11"/>
      <c r="E223" s="11"/>
      <c r="F223" s="11"/>
      <c r="G223" s="11"/>
      <c r="H223" s="11"/>
      <c r="I223" s="11"/>
      <c r="J223" s="11"/>
      <c r="K223" s="11" t="s">
        <f>""</f>
      </c>
      <c r="L223" s="11" t="s">
        <f t="shared" si="239"/>
      </c>
      <c r="M223" s="8" t="s">
        <f t="shared" si="240"/>
      </c>
      <c r="N223" s="11"/>
      <c r="O223" s="10">
        <f ref="O223:P223" t="shared" si="162">A223</f>
        <v>0</v>
      </c>
      <c r="P223" s="11">
        <f t="shared" si="162"/>
        <v>0</v>
      </c>
      <c r="Q223" s="11" t="s">
        <f t="shared" si="247"/>
      </c>
      <c r="R223" s="11">
        <f t="shared" si="241"/>
        <v>0</v>
      </c>
      <c r="S223" s="11">
        <f ref="S223:U223" t="shared" si="161">E223</f>
        <v>0</v>
      </c>
      <c r="T223" s="11">
        <f t="shared" si="161"/>
        <v>0</v>
      </c>
      <c r="U223" s="11">
        <f t="shared" si="161"/>
        <v>0</v>
      </c>
      <c r="V223" s="11">
        <f t="shared" si="246"/>
      </c>
      <c r="W223" s="11" t="s">
        <f t="shared" si="245"/>
      </c>
      <c r="X223" s="11" t="s">
        <f t="shared" si="242"/>
      </c>
    </row>
    <row r="224" ht="12.50" customHeight="true">
      <c r="A224" s="10"/>
      <c r="B224" s="11"/>
      <c r="C224" s="11"/>
      <c r="D224" s="11"/>
      <c r="E224" s="11"/>
      <c r="F224" s="11"/>
      <c r="G224" s="11"/>
      <c r="H224" s="11"/>
      <c r="I224" s="11"/>
      <c r="J224" s="11"/>
      <c r="K224" s="11" t="s">
        <f>""</f>
      </c>
      <c r="L224" s="11" t="s">
        <f t="shared" si="239"/>
      </c>
      <c r="M224" s="8" t="s">
        <f t="shared" si="240"/>
      </c>
      <c r="N224" s="11"/>
      <c r="O224" s="10">
        <f ref="O224:P224" t="shared" si="429">A224</f>
        <v>0</v>
      </c>
      <c r="P224" s="11">
        <f t="shared" si="429"/>
        <v>0</v>
      </c>
      <c r="Q224" s="11" t="s">
        <f t="shared" si="247"/>
      </c>
      <c r="R224" s="11">
        <f t="shared" si="241"/>
        <v>0</v>
      </c>
      <c r="S224" s="11">
        <f ref="S224:U224" t="shared" si="428">E224</f>
        <v>0</v>
      </c>
      <c r="T224" s="11">
        <f t="shared" si="428"/>
        <v>0</v>
      </c>
      <c r="U224" s="11">
        <f t="shared" si="428"/>
        <v>0</v>
      </c>
      <c r="V224" s="11">
        <f t="shared" si="246"/>
      </c>
      <c r="W224" s="11" t="s">
        <f t="shared" si="245"/>
      </c>
      <c r="X224" s="11" t="s">
        <f t="shared" si="242"/>
      </c>
    </row>
    <row r="225" ht="12.50" customHeight="true">
      <c r="A225" s="10"/>
      <c r="B225" s="11"/>
      <c r="C225" s="11"/>
      <c r="D225" s="11"/>
      <c r="E225" s="11"/>
      <c r="F225" s="11"/>
      <c r="G225" s="11"/>
      <c r="H225" s="11"/>
      <c r="I225" s="11"/>
      <c r="J225" s="11"/>
      <c r="K225" s="11" t="s">
        <f>""</f>
      </c>
      <c r="L225" s="11" t="s">
        <f t="shared" si="239"/>
      </c>
      <c r="M225" s="8" t="s">
        <f t="shared" si="240"/>
      </c>
      <c r="N225" s="11"/>
      <c r="O225" s="10">
        <f ref="O225:P225" t="shared" si="407">A225</f>
        <v>0</v>
      </c>
      <c r="P225" s="11">
        <f t="shared" si="407"/>
        <v>0</v>
      </c>
      <c r="Q225" s="11" t="s">
        <f t="shared" si="247"/>
      </c>
      <c r="R225" s="11">
        <f t="shared" si="241"/>
        <v>0</v>
      </c>
      <c r="S225" s="11">
        <f ref="S225:U225" t="shared" si="406">E225</f>
        <v>0</v>
      </c>
      <c r="T225" s="11">
        <f t="shared" si="406"/>
        <v>0</v>
      </c>
      <c r="U225" s="11">
        <f t="shared" si="406"/>
        <v>0</v>
      </c>
      <c r="V225" s="11">
        <f t="shared" si="246"/>
      </c>
      <c r="W225" s="11" t="s">
        <f t="shared" si="245"/>
      </c>
      <c r="X225" s="11" t="s">
        <f t="shared" si="242"/>
      </c>
    </row>
    <row r="226" ht="12.50" customHeight="true">
      <c r="A226" s="10"/>
      <c r="B226" s="11"/>
      <c r="C226" s="11"/>
      <c r="D226" s="11"/>
      <c r="E226" s="11"/>
      <c r="F226" s="11"/>
      <c r="G226" s="11"/>
      <c r="H226" s="11"/>
      <c r="I226" s="11"/>
      <c r="J226" s="11"/>
      <c r="K226" s="11" t="s">
        <f>""</f>
      </c>
      <c r="L226" s="11" t="s">
        <f t="shared" si="239"/>
      </c>
      <c r="M226" s="8" t="s">
        <f t="shared" si="240"/>
      </c>
      <c r="N226" s="11"/>
      <c r="O226" s="10">
        <f ref="O226:P226" t="shared" si="718">A226</f>
        <v>0</v>
      </c>
      <c r="P226" s="11">
        <f t="shared" si="718"/>
        <v>0</v>
      </c>
      <c r="Q226" s="11" t="s">
        <f t="shared" si="247"/>
      </c>
      <c r="R226" s="11">
        <f t="shared" si="241"/>
        <v>0</v>
      </c>
      <c r="S226" s="11">
        <f ref="S226:U226" t="shared" si="719">E226</f>
        <v>0</v>
      </c>
      <c r="T226" s="11">
        <f t="shared" si="719"/>
        <v>0</v>
      </c>
      <c r="U226" s="11">
        <f t="shared" si="719"/>
        <v>0</v>
      </c>
      <c r="V226" s="11">
        <f t="shared" si="246"/>
      </c>
      <c r="W226" s="11" t="s">
        <f t="shared" si="245"/>
      </c>
      <c r="X226" s="11" t="s">
        <f t="shared" si="242"/>
      </c>
    </row>
    <row r="227" ht="12.50" customHeight="true">
      <c r="A227" s="10"/>
      <c r="B227" s="11"/>
      <c r="C227" s="11"/>
      <c r="D227" s="11"/>
      <c r="E227" s="11"/>
      <c r="F227" s="11"/>
      <c r="G227" s="11"/>
      <c r="H227" s="11"/>
      <c r="I227" s="11"/>
      <c r="J227" s="11"/>
      <c r="K227" s="11" t="s">
        <f>""</f>
      </c>
      <c r="L227" s="11" t="s">
        <f t="shared" si="239"/>
      </c>
      <c r="M227" s="8" t="s">
        <f t="shared" si="240"/>
      </c>
      <c r="N227" s="11"/>
      <c r="O227" s="10">
        <f ref="O227:P227" t="shared" si="1019">A227</f>
        <v>0</v>
      </c>
      <c r="P227" s="11">
        <f t="shared" si="1019"/>
        <v>0</v>
      </c>
      <c r="Q227" s="11" t="s">
        <f t="shared" si="247"/>
      </c>
      <c r="R227" s="11">
        <f t="shared" si="241"/>
        <v>0</v>
      </c>
      <c r="S227" s="11">
        <f ref="S227:U227" t="shared" si="1020">E227</f>
        <v>0</v>
      </c>
      <c r="T227" s="11">
        <f t="shared" si="1020"/>
        <v>0</v>
      </c>
      <c r="U227" s="11">
        <f t="shared" si="1020"/>
        <v>0</v>
      </c>
      <c r="V227" s="11">
        <f t="shared" si="246"/>
      </c>
      <c r="W227" s="11" t="s">
        <f t="shared" si="245"/>
      </c>
      <c r="X227" s="11" t="s">
        <f t="shared" si="242"/>
      </c>
    </row>
    <row r="228" ht="12.50" customHeight="true">
      <c r="A228" s="10"/>
      <c r="B228" s="11"/>
      <c r="C228" s="11"/>
      <c r="D228" s="11"/>
      <c r="E228" s="11"/>
      <c r="F228" s="11"/>
      <c r="G228" s="11"/>
      <c r="H228" s="11"/>
      <c r="I228" s="11"/>
      <c r="J228" s="11"/>
      <c r="K228" s="11" t="s">
        <f>""</f>
      </c>
      <c r="L228" s="11" t="s">
        <f t="shared" si="239"/>
      </c>
      <c r="M228" s="8" t="s">
        <f t="shared" si="240"/>
      </c>
      <c r="N228" s="11"/>
      <c r="O228" s="10">
        <f ref="O228:P228" t="shared" si="1669">A228</f>
        <v>0</v>
      </c>
      <c r="P228" s="11">
        <f t="shared" si="1669"/>
        <v>0</v>
      </c>
      <c r="Q228" s="11" t="s">
        <f t="shared" si="247"/>
      </c>
      <c r="R228" s="11">
        <f t="shared" si="241"/>
        <v>0</v>
      </c>
      <c r="S228" s="11">
        <f ref="S228:U228" t="shared" si="1668">E228</f>
        <v>0</v>
      </c>
      <c r="T228" s="11">
        <f t="shared" si="1668"/>
        <v>0</v>
      </c>
      <c r="U228" s="11">
        <f t="shared" si="1668"/>
        <v>0</v>
      </c>
      <c r="V228" s="11">
        <f t="shared" si="246"/>
      </c>
      <c r="W228" s="11" t="s">
        <f t="shared" si="245"/>
      </c>
      <c r="X228" s="11" t="s">
        <f t="shared" si="242"/>
      </c>
    </row>
    <row r="229" ht="12.50" customHeight="true">
      <c r="A229" s="10"/>
      <c r="B229" s="11"/>
      <c r="C229" s="11"/>
      <c r="D229" s="11"/>
      <c r="E229" s="11"/>
      <c r="F229" s="11"/>
      <c r="G229" s="11"/>
      <c r="H229" s="11"/>
      <c r="I229" s="11"/>
      <c r="J229" s="11"/>
      <c r="K229" s="11" t="s">
        <f>""</f>
      </c>
      <c r="L229" s="11" t="s">
        <f t="shared" si="239"/>
      </c>
      <c r="M229" s="8" t="s">
        <f t="shared" si="240"/>
      </c>
      <c r="N229" s="11"/>
      <c r="O229" s="10">
        <f ref="O229:P229" t="shared" si="881">A229</f>
        <v>0</v>
      </c>
      <c r="P229" s="11">
        <f t="shared" si="881"/>
        <v>0</v>
      </c>
      <c r="Q229" s="11" t="s">
        <f t="shared" si="247"/>
      </c>
      <c r="R229" s="11">
        <f t="shared" si="241"/>
        <v>0</v>
      </c>
      <c r="S229" s="11">
        <f ref="S229:U229" t="shared" si="880">E229</f>
        <v>0</v>
      </c>
      <c r="T229" s="11">
        <f t="shared" si="880"/>
        <v>0</v>
      </c>
      <c r="U229" s="11">
        <f t="shared" si="880"/>
        <v>0</v>
      </c>
      <c r="V229" s="11">
        <f t="shared" si="246"/>
      </c>
      <c r="W229" s="11" t="s">
        <f t="shared" si="245"/>
      </c>
      <c r="X229" s="11" t="s">
        <f t="shared" si="242"/>
      </c>
    </row>
    <row r="230" ht="12.50" customHeight="true">
      <c r="A230" s="10"/>
      <c r="B230" s="11"/>
      <c r="C230" s="11"/>
      <c r="D230" s="11"/>
      <c r="E230" s="11"/>
      <c r="F230" s="11"/>
      <c r="G230" s="11"/>
      <c r="H230" s="11"/>
      <c r="I230" s="11"/>
      <c r="J230" s="11"/>
      <c r="K230" s="11" t="s">
        <f>""</f>
      </c>
      <c r="L230" s="11" t="s">
        <f t="shared" si="239"/>
      </c>
      <c r="M230" s="8" t="s">
        <f t="shared" si="240"/>
      </c>
      <c r="N230" s="11"/>
      <c r="O230" s="10">
        <f ref="O230:P230" t="shared" si="222">A230</f>
        <v>0</v>
      </c>
      <c r="P230" s="11">
        <f t="shared" si="222"/>
        <v>0</v>
      </c>
      <c r="Q230" s="11" t="s">
        <f t="shared" si="247"/>
      </c>
      <c r="R230" s="11">
        <f t="shared" si="241"/>
        <v>0</v>
      </c>
      <c r="S230" s="11">
        <f ref="S230:U230" t="shared" si="221">E230</f>
        <v>0</v>
      </c>
      <c r="T230" s="11">
        <f t="shared" si="221"/>
        <v>0</v>
      </c>
      <c r="U230" s="11">
        <f t="shared" si="221"/>
        <v>0</v>
      </c>
      <c r="V230" s="11">
        <f t="shared" si="246"/>
      </c>
      <c r="W230" s="11" t="s">
        <f t="shared" si="245"/>
      </c>
      <c r="X230" s="11" t="s">
        <f t="shared" si="242"/>
      </c>
    </row>
    <row r="231" ht="12.50" customHeight="true">
      <c r="A231" s="10"/>
      <c r="B231" s="11"/>
      <c r="C231" s="11"/>
      <c r="D231" s="11"/>
      <c r="E231" s="11"/>
      <c r="F231" s="11"/>
      <c r="G231" s="11"/>
      <c r="H231" s="11"/>
      <c r="I231" s="11"/>
      <c r="J231" s="11"/>
      <c r="K231" s="11" t="s">
        <f>""</f>
      </c>
      <c r="L231" s="11" t="s">
        <f t="shared" si="239"/>
      </c>
      <c r="M231" s="8" t="s">
        <f t="shared" si="240"/>
      </c>
      <c r="N231" s="11"/>
      <c r="O231" s="10">
        <f ref="O231:P231" t="shared" si="481">A231</f>
        <v>0</v>
      </c>
      <c r="P231" s="11">
        <f t="shared" si="481"/>
        <v>0</v>
      </c>
      <c r="Q231" s="11" t="s">
        <f t="shared" si="247"/>
      </c>
      <c r="R231" s="11">
        <f t="shared" si="241"/>
        <v>0</v>
      </c>
      <c r="S231" s="11">
        <f ref="S231:U231" t="shared" si="480">E231</f>
        <v>0</v>
      </c>
      <c r="T231" s="11">
        <f t="shared" si="480"/>
        <v>0</v>
      </c>
      <c r="U231" s="11">
        <f t="shared" si="480"/>
        <v>0</v>
      </c>
      <c r="V231" s="11">
        <f t="shared" si="246"/>
      </c>
      <c r="W231" s="11" t="s">
        <f t="shared" si="245"/>
      </c>
      <c r="X231" s="11" t="s">
        <f t="shared" si="242"/>
      </c>
    </row>
    <row r="232" ht="12.50" customHeight="true">
      <c r="A232" s="10"/>
      <c r="B232" s="11"/>
      <c r="C232" s="11"/>
      <c r="D232" s="11"/>
      <c r="E232" s="11"/>
      <c r="F232" s="11"/>
      <c r="G232" s="11"/>
      <c r="H232" s="11"/>
      <c r="I232" s="11"/>
      <c r="J232" s="11"/>
      <c r="K232" s="11" t="s">
        <f>""</f>
      </c>
      <c r="L232" s="11" t="s">
        <f t="shared" si="239"/>
      </c>
      <c r="M232" s="8" t="s">
        <f t="shared" si="240"/>
      </c>
      <c r="N232" s="11"/>
      <c r="O232" s="10">
        <f ref="O232:P232" t="shared" si="1386">A232</f>
        <v>0</v>
      </c>
      <c r="P232" s="11">
        <f t="shared" si="1386"/>
        <v>0</v>
      </c>
      <c r="Q232" s="11" t="s">
        <f t="shared" si="247"/>
      </c>
      <c r="R232" s="11">
        <f t="shared" si="241"/>
        <v>0</v>
      </c>
      <c r="S232" s="11">
        <f ref="S232:U232" t="shared" si="1387">E232</f>
        <v>0</v>
      </c>
      <c r="T232" s="11">
        <f t="shared" si="1387"/>
        <v>0</v>
      </c>
      <c r="U232" s="11">
        <f t="shared" si="1387"/>
        <v>0</v>
      </c>
      <c r="V232" s="11">
        <f t="shared" si="246"/>
      </c>
      <c r="W232" s="11" t="s">
        <f t="shared" si="245"/>
      </c>
      <c r="X232" s="11" t="s">
        <f t="shared" si="242"/>
      </c>
    </row>
    <row r="233" ht="12.50" customHeight="true">
      <c r="A233" s="10"/>
      <c r="B233" s="11"/>
      <c r="C233" s="11"/>
      <c r="D233" s="11"/>
      <c r="E233" s="11"/>
      <c r="F233" s="11"/>
      <c r="G233" s="11"/>
      <c r="H233" s="11"/>
      <c r="I233" s="11"/>
      <c r="J233" s="11"/>
      <c r="K233" s="11" t="s">
        <f>""</f>
      </c>
      <c r="L233" s="11" t="s">
        <f t="shared" si="239"/>
      </c>
      <c r="M233" s="8" t="s">
        <f t="shared" si="240"/>
      </c>
      <c r="N233" s="11"/>
      <c r="O233" s="10">
        <f ref="O233:P233" t="shared" si="591">A233</f>
        <v>0</v>
      </c>
      <c r="P233" s="11">
        <f t="shared" si="591"/>
        <v>0</v>
      </c>
      <c r="Q233" s="11" t="s">
        <f t="shared" si="247"/>
      </c>
      <c r="R233" s="11">
        <f t="shared" si="241"/>
        <v>0</v>
      </c>
      <c r="S233" s="11">
        <f ref="S233:U233" t="shared" si="590">E233</f>
        <v>0</v>
      </c>
      <c r="T233" s="11">
        <f t="shared" si="590"/>
        <v>0</v>
      </c>
      <c r="U233" s="11">
        <f t="shared" si="590"/>
        <v>0</v>
      </c>
      <c r="V233" s="11">
        <f t="shared" si="246"/>
      </c>
      <c r="W233" s="11" t="s">
        <f t="shared" si="245"/>
      </c>
      <c r="X233" s="11" t="s">
        <f t="shared" si="242"/>
      </c>
    </row>
    <row r="234" ht="12.50" customHeight="true">
      <c r="A234" s="10"/>
      <c r="B234" s="11"/>
      <c r="C234" s="11"/>
      <c r="D234" s="11"/>
      <c r="E234" s="11"/>
      <c r="F234" s="11"/>
      <c r="G234" s="11"/>
      <c r="H234" s="11"/>
      <c r="I234" s="11"/>
      <c r="J234" s="11"/>
      <c r="K234" s="11" t="s">
        <f>""</f>
      </c>
      <c r="L234" s="11" t="s">
        <f t="shared" si="239"/>
      </c>
      <c r="M234" s="8" t="s">
        <f t="shared" si="240"/>
      </c>
      <c r="N234" s="11"/>
      <c r="O234" s="10">
        <f ref="O234:P234" t="shared" si="298">A234</f>
        <v>0</v>
      </c>
      <c r="P234" s="11">
        <f t="shared" si="298"/>
        <v>0</v>
      </c>
      <c r="Q234" s="11" t="s">
        <f t="shared" si="247"/>
      </c>
      <c r="R234" s="11">
        <f t="shared" si="241"/>
        <v>0</v>
      </c>
      <c r="S234" s="11">
        <f ref="S234:U234" t="shared" si="299">E234</f>
        <v>0</v>
      </c>
      <c r="T234" s="11">
        <f t="shared" si="299"/>
        <v>0</v>
      </c>
      <c r="U234" s="11">
        <f t="shared" si="299"/>
        <v>0</v>
      </c>
      <c r="V234" s="11">
        <f t="shared" si="246"/>
      </c>
      <c r="W234" s="11" t="s">
        <f t="shared" si="245"/>
      </c>
      <c r="X234" s="11" t="s">
        <f t="shared" si="242"/>
      </c>
    </row>
    <row r="235" ht="12.50" customHeight="true">
      <c r="A235" s="10"/>
      <c r="B235" s="11"/>
      <c r="C235" s="11"/>
      <c r="D235" s="11"/>
      <c r="E235" s="11"/>
      <c r="F235" s="11"/>
      <c r="G235" s="11"/>
      <c r="H235" s="11"/>
      <c r="I235" s="11"/>
      <c r="J235" s="11"/>
      <c r="K235" s="11" t="s">
        <f>""</f>
      </c>
      <c r="L235" s="11" t="s">
        <f t="shared" si="239"/>
      </c>
      <c r="M235" s="8" t="s">
        <f t="shared" si="240"/>
      </c>
      <c r="N235" s="11"/>
      <c r="O235" s="10">
        <f ref="O235:P235" t="shared" si="1495">A235</f>
        <v>0</v>
      </c>
      <c r="P235" s="11">
        <f t="shared" si="1495"/>
        <v>0</v>
      </c>
      <c r="Q235" s="11" t="s">
        <f t="shared" si="247"/>
      </c>
      <c r="R235" s="11">
        <f t="shared" si="241"/>
        <v>0</v>
      </c>
      <c r="S235" s="11">
        <f ref="S235:U235" t="shared" si="1494">E235</f>
        <v>0</v>
      </c>
      <c r="T235" s="11">
        <f t="shared" si="1494"/>
        <v>0</v>
      </c>
      <c r="U235" s="11">
        <f t="shared" si="1494"/>
        <v>0</v>
      </c>
      <c r="V235" s="11">
        <f t="shared" si="246"/>
      </c>
      <c r="W235" s="11" t="s">
        <f t="shared" si="245"/>
      </c>
      <c r="X235" s="11" t="s">
        <f t="shared" si="242"/>
      </c>
    </row>
    <row r="236" ht="12.50" customHeight="true">
      <c r="A236" s="10"/>
      <c r="B236" s="11"/>
      <c r="C236" s="11"/>
      <c r="D236" s="11"/>
      <c r="E236" s="11"/>
      <c r="F236" s="11"/>
      <c r="G236" s="11"/>
      <c r="H236" s="11"/>
      <c r="I236" s="11"/>
      <c r="J236" s="11"/>
      <c r="K236" s="11" t="s">
        <f>""</f>
      </c>
      <c r="L236" s="11" t="s">
        <f t="shared" si="239"/>
      </c>
      <c r="M236" s="8" t="s">
        <f t="shared" si="240"/>
      </c>
      <c r="N236" s="11"/>
      <c r="O236" s="10">
        <f ref="O236:P236" t="shared" si="709">A236</f>
        <v>0</v>
      </c>
      <c r="P236" s="11">
        <f t="shared" si="709"/>
        <v>0</v>
      </c>
      <c r="Q236" s="11" t="s">
        <f t="shared" si="247"/>
      </c>
      <c r="R236" s="11">
        <f t="shared" si="241"/>
        <v>0</v>
      </c>
      <c r="S236" s="11">
        <f ref="S236:U236" t="shared" si="708">E236</f>
        <v>0</v>
      </c>
      <c r="T236" s="11">
        <f t="shared" si="708"/>
        <v>0</v>
      </c>
      <c r="U236" s="11">
        <f t="shared" si="708"/>
        <v>0</v>
      </c>
      <c r="V236" s="11">
        <f t="shared" si="246"/>
      </c>
      <c r="W236" s="11" t="s">
        <f t="shared" si="245"/>
      </c>
      <c r="X236" s="11" t="s">
        <f t="shared" si="242"/>
      </c>
    </row>
    <row r="237" ht="12.50" customHeight="true">
      <c r="A237" s="10"/>
      <c r="B237" s="11"/>
      <c r="C237" s="11"/>
      <c r="D237" s="11"/>
      <c r="E237" s="11"/>
      <c r="F237" s="11"/>
      <c r="G237" s="11"/>
      <c r="H237" s="11"/>
      <c r="I237" s="11"/>
      <c r="J237" s="11"/>
      <c r="K237" s="11" t="s">
        <f>""</f>
      </c>
      <c r="L237" s="11" t="s">
        <f t="shared" si="239"/>
      </c>
      <c r="M237" s="8" t="s">
        <f t="shared" si="240"/>
      </c>
      <c r="N237" s="11"/>
      <c r="O237" s="10">
        <f ref="O237:P237" t="shared" si="37">A237</f>
        <v>0</v>
      </c>
      <c r="P237" s="11">
        <f t="shared" si="37"/>
        <v>0</v>
      </c>
      <c r="Q237" s="11" t="s">
        <f t="shared" si="247"/>
      </c>
      <c r="R237" s="11">
        <f t="shared" si="241"/>
        <v>0</v>
      </c>
      <c r="S237" s="11">
        <f ref="S237:U237" t="shared" si="36">E237</f>
        <v>0</v>
      </c>
      <c r="T237" s="11">
        <f t="shared" si="36"/>
        <v>0</v>
      </c>
      <c r="U237" s="11">
        <f t="shared" si="36"/>
        <v>0</v>
      </c>
      <c r="V237" s="11">
        <f t="shared" si="246"/>
      </c>
      <c r="W237" s="11" t="s">
        <f t="shared" si="245"/>
      </c>
      <c r="X237" s="11" t="s">
        <f t="shared" si="242"/>
      </c>
    </row>
    <row r="238" ht="12.50" customHeight="true">
      <c r="A238" s="10"/>
      <c r="B238" s="11"/>
      <c r="C238" s="11"/>
      <c r="D238" s="11"/>
      <c r="E238" s="11"/>
      <c r="F238" s="11"/>
      <c r="G238" s="11"/>
      <c r="H238" s="11"/>
      <c r="I238" s="11"/>
      <c r="J238" s="11"/>
      <c r="K238" s="11" t="s">
        <f>""</f>
      </c>
      <c r="L238" s="11" t="s">
        <f t="shared" si="239"/>
      </c>
      <c r="M238" s="8" t="s">
        <f t="shared" si="240"/>
      </c>
      <c r="N238" s="11"/>
      <c r="O238" s="10">
        <f ref="O238:P238" t="shared" si="1324">A238</f>
        <v>0</v>
      </c>
      <c r="P238" s="11">
        <f t="shared" si="1324"/>
        <v>0</v>
      </c>
      <c r="Q238" s="11" t="s">
        <f t="shared" si="247"/>
      </c>
      <c r="R238" s="11">
        <f t="shared" si="241"/>
        <v>0</v>
      </c>
      <c r="S238" s="11">
        <f ref="S238:U238" t="shared" si="1325">E238</f>
        <v>0</v>
      </c>
      <c r="T238" s="11">
        <f t="shared" si="1325"/>
        <v>0</v>
      </c>
      <c r="U238" s="11">
        <f t="shared" si="1325"/>
        <v>0</v>
      </c>
      <c r="V238" s="11">
        <f t="shared" si="246"/>
      </c>
      <c r="W238" s="11" t="s">
        <f t="shared" si="245"/>
      </c>
      <c r="X238" s="11" t="s">
        <f t="shared" si="242"/>
      </c>
    </row>
    <row r="239" ht="12.50" customHeight="true">
      <c r="A239" s="10"/>
      <c r="B239" s="11"/>
      <c r="C239" s="11"/>
      <c r="D239" s="11"/>
      <c r="E239" s="11"/>
      <c r="F239" s="11"/>
      <c r="G239" s="11"/>
      <c r="H239" s="11"/>
      <c r="I239" s="11"/>
      <c r="J239" s="11"/>
      <c r="K239" s="11" t="s">
        <f>""</f>
      </c>
      <c r="L239" s="11" t="s">
        <f t="shared" si="239"/>
      </c>
      <c r="M239" s="8" t="s">
        <f t="shared" si="240"/>
      </c>
      <c r="N239" s="11"/>
      <c r="O239" s="10">
        <f ref="O239:P239" t="shared" si="1521">A239</f>
        <v>0</v>
      </c>
      <c r="P239" s="11">
        <f t="shared" si="1521"/>
        <v>0</v>
      </c>
      <c r="Q239" s="11" t="s">
        <f t="shared" si="247"/>
      </c>
      <c r="R239" s="11">
        <f t="shared" si="241"/>
        <v>0</v>
      </c>
      <c r="S239" s="11">
        <f ref="S239:U239" t="shared" si="1520">E239</f>
        <v>0</v>
      </c>
      <c r="T239" s="11">
        <f t="shared" si="1520"/>
        <v>0</v>
      </c>
      <c r="U239" s="11">
        <f t="shared" si="1520"/>
        <v>0</v>
      </c>
      <c r="V239" s="11">
        <f t="shared" si="246"/>
      </c>
      <c r="W239" s="11" t="s">
        <f t="shared" si="245"/>
      </c>
      <c r="X239" s="11" t="s">
        <f t="shared" si="242"/>
      </c>
    </row>
    <row r="240" ht="12.50" customHeight="true">
      <c r="A240" s="10"/>
      <c r="B240" s="11"/>
      <c r="C240" s="11"/>
      <c r="D240" s="11"/>
      <c r="E240" s="11"/>
      <c r="F240" s="11"/>
      <c r="G240" s="11"/>
      <c r="H240" s="11"/>
      <c r="I240" s="11"/>
      <c r="J240" s="11"/>
      <c r="K240" s="11" t="s">
        <f>""</f>
      </c>
      <c r="L240" s="11" t="s">
        <f t="shared" si="239"/>
      </c>
      <c r="M240" s="8" t="s">
        <f t="shared" si="240"/>
      </c>
      <c r="N240" s="11"/>
      <c r="O240" s="10">
        <f ref="O240:P240" t="shared" si="552">A240</f>
        <v>0</v>
      </c>
      <c r="P240" s="11">
        <f t="shared" si="552"/>
        <v>0</v>
      </c>
      <c r="Q240" s="11" t="s">
        <f t="shared" si="247"/>
      </c>
      <c r="R240" s="11">
        <f t="shared" si="241"/>
        <v>0</v>
      </c>
      <c r="S240" s="11">
        <f ref="S240:U240" t="shared" si="553">E240</f>
        <v>0</v>
      </c>
      <c r="T240" s="11">
        <f t="shared" si="553"/>
        <v>0</v>
      </c>
      <c r="U240" s="11">
        <f t="shared" si="553"/>
        <v>0</v>
      </c>
      <c r="V240" s="11">
        <f t="shared" si="246"/>
      </c>
      <c r="W240" s="11" t="s">
        <f t="shared" si="245"/>
      </c>
      <c r="X240" s="11" t="s">
        <f t="shared" si="242"/>
      </c>
    </row>
    <row r="241" ht="12.50" customHeight="true">
      <c r="A241" s="10"/>
      <c r="B241" s="11"/>
      <c r="C241" s="11"/>
      <c r="D241" s="11"/>
      <c r="E241" s="11"/>
      <c r="F241" s="11"/>
      <c r="G241" s="11"/>
      <c r="H241" s="11"/>
      <c r="I241" s="11"/>
      <c r="J241" s="11"/>
      <c r="K241" s="11" t="s">
        <f>""</f>
      </c>
      <c r="L241" s="11" t="s">
        <f t="shared" si="239"/>
      </c>
      <c r="M241" s="8" t="s">
        <f t="shared" si="240"/>
      </c>
      <c r="N241" s="11"/>
      <c r="O241" s="10">
        <f ref="O241:P241" t="shared" si="381">A241</f>
        <v>0</v>
      </c>
      <c r="P241" s="11">
        <f t="shared" si="381"/>
        <v>0</v>
      </c>
      <c r="Q241" s="11" t="s">
        <f t="shared" si="247"/>
      </c>
      <c r="R241" s="11">
        <f t="shared" si="241"/>
        <v>0</v>
      </c>
      <c r="S241" s="11">
        <f ref="S241:U241" t="shared" si="380">E241</f>
        <v>0</v>
      </c>
      <c r="T241" s="11">
        <f t="shared" si="380"/>
        <v>0</v>
      </c>
      <c r="U241" s="11">
        <f t="shared" si="380"/>
        <v>0</v>
      </c>
      <c r="V241" s="11">
        <f t="shared" si="246"/>
      </c>
      <c r="W241" s="11" t="s">
        <f t="shared" si="245"/>
      </c>
      <c r="X241" s="11" t="s">
        <f t="shared" si="242"/>
      </c>
    </row>
    <row r="242" ht="12.50" customHeight="true">
      <c r="A242" s="10"/>
      <c r="B242" s="11"/>
      <c r="C242" s="11"/>
      <c r="D242" s="11"/>
      <c r="E242" s="11"/>
      <c r="F242" s="11"/>
      <c r="G242" s="11"/>
      <c r="H242" s="11"/>
      <c r="I242" s="11"/>
      <c r="J242" s="11"/>
      <c r="K242" s="11" t="s">
        <f>""</f>
      </c>
      <c r="L242" s="11" t="s">
        <f t="shared" si="239"/>
      </c>
      <c r="M242" s="8" t="s">
        <f t="shared" si="240"/>
      </c>
      <c r="N242" s="11"/>
      <c r="O242" s="10">
        <f ref="O242:P242" t="shared" si="324">A242</f>
        <v>0</v>
      </c>
      <c r="P242" s="11">
        <f t="shared" si="324"/>
        <v>0</v>
      </c>
      <c r="Q242" s="11" t="s">
        <f t="shared" si="247"/>
      </c>
      <c r="R242" s="11">
        <f t="shared" si="241"/>
        <v>0</v>
      </c>
      <c r="S242" s="11">
        <f ref="S242:U242" t="shared" si="325">E242</f>
        <v>0</v>
      </c>
      <c r="T242" s="11">
        <f t="shared" si="325"/>
        <v>0</v>
      </c>
      <c r="U242" s="11">
        <f t="shared" si="325"/>
        <v>0</v>
      </c>
      <c r="V242" s="11">
        <f t="shared" si="246"/>
      </c>
      <c r="W242" s="11" t="s">
        <f t="shared" si="245"/>
      </c>
      <c r="X242" s="11" t="s">
        <f t="shared" si="242"/>
      </c>
    </row>
    <row r="243" ht="12.50" customHeight="true">
      <c r="A243" s="10"/>
      <c r="B243" s="11"/>
      <c r="C243" s="11"/>
      <c r="D243" s="11"/>
      <c r="E243" s="11"/>
      <c r="F243" s="11"/>
      <c r="G243" s="11"/>
      <c r="H243" s="11"/>
      <c r="I243" s="11"/>
      <c r="J243" s="11"/>
      <c r="K243" s="11" t="s">
        <f>""</f>
      </c>
      <c r="L243" s="11" t="s">
        <f t="shared" si="239"/>
      </c>
      <c r="M243" s="8" t="s">
        <f t="shared" si="240"/>
      </c>
      <c r="N243" s="11"/>
      <c r="O243" s="10">
        <f ref="O243:P243" t="shared" si="1258">A243</f>
        <v>0</v>
      </c>
      <c r="P243" s="11">
        <f t="shared" si="1258"/>
        <v>0</v>
      </c>
      <c r="Q243" s="11" t="s">
        <f t="shared" si="247"/>
      </c>
      <c r="R243" s="11">
        <f t="shared" si="241"/>
        <v>0</v>
      </c>
      <c r="S243" s="11">
        <f ref="S243:U243" t="shared" si="1259">E243</f>
        <v>0</v>
      </c>
      <c r="T243" s="11">
        <f t="shared" si="1259"/>
        <v>0</v>
      </c>
      <c r="U243" s="11">
        <f t="shared" si="1259"/>
        <v>0</v>
      </c>
      <c r="V243" s="11">
        <f t="shared" si="246"/>
      </c>
      <c r="W243" s="11" t="s">
        <f t="shared" si="245"/>
      </c>
      <c r="X243" s="11" t="s">
        <f t="shared" si="242"/>
      </c>
    </row>
    <row r="244" ht="12.50" customHeight="true">
      <c r="A244" s="10"/>
      <c r="B244" s="11"/>
      <c r="C244" s="11"/>
      <c r="D244" s="11"/>
      <c r="E244" s="11"/>
      <c r="F244" s="11"/>
      <c r="G244" s="11"/>
      <c r="H244" s="11"/>
      <c r="I244" s="11"/>
      <c r="J244" s="11"/>
      <c r="K244" s="11" t="s">
        <f>""</f>
      </c>
      <c r="L244" s="11" t="s">
        <f t="shared" si="239"/>
      </c>
      <c r="M244" s="8" t="s">
        <f t="shared" si="240"/>
      </c>
      <c r="N244" s="11"/>
      <c r="O244" s="10">
        <f ref="O244:P244" t="shared" si="1732">A244</f>
        <v>0</v>
      </c>
      <c r="P244" s="11">
        <f t="shared" si="1732"/>
        <v>0</v>
      </c>
      <c r="Q244" s="11" t="s">
        <f t="shared" si="247"/>
      </c>
      <c r="R244" s="11">
        <f t="shared" si="241"/>
        <v>0</v>
      </c>
      <c r="S244" s="11">
        <f ref="S244:U244" t="shared" si="1733">E244</f>
        <v>0</v>
      </c>
      <c r="T244" s="11">
        <f t="shared" si="1733"/>
        <v>0</v>
      </c>
      <c r="U244" s="11">
        <f t="shared" si="1733"/>
        <v>0</v>
      </c>
      <c r="V244" s="11">
        <f t="shared" si="246"/>
      </c>
      <c r="W244" s="11" t="s">
        <f t="shared" si="245"/>
      </c>
      <c r="X244" s="11" t="s">
        <f t="shared" si="242"/>
      </c>
    </row>
    <row r="245" ht="12.50" customHeight="true">
      <c r="A245" s="10"/>
      <c r="B245" s="11"/>
      <c r="C245" s="11"/>
      <c r="D245" s="11"/>
      <c r="E245" s="11"/>
      <c r="F245" s="11"/>
      <c r="G245" s="11"/>
      <c r="H245" s="11"/>
      <c r="I245" s="11"/>
      <c r="J245" s="11"/>
      <c r="K245" s="11" t="s">
        <f>""</f>
      </c>
      <c r="L245" s="11" t="s">
        <f t="shared" si="239"/>
      </c>
      <c r="M245" s="8" t="s">
        <f t="shared" si="240"/>
      </c>
      <c r="N245" s="11"/>
      <c r="O245" s="10">
        <f ref="O245:P245" t="shared" si="187">A245</f>
        <v>0</v>
      </c>
      <c r="P245" s="11">
        <f t="shared" si="187"/>
        <v>0</v>
      </c>
      <c r="Q245" s="11" t="s">
        <f t="shared" si="247"/>
      </c>
      <c r="R245" s="11">
        <f t="shared" si="241"/>
        <v>0</v>
      </c>
      <c r="S245" s="11">
        <f ref="S245:U245" t="shared" si="188">E245</f>
        <v>0</v>
      </c>
      <c r="T245" s="11">
        <f t="shared" si="188"/>
        <v>0</v>
      </c>
      <c r="U245" s="11">
        <f t="shared" si="188"/>
        <v>0</v>
      </c>
      <c r="V245" s="11">
        <f t="shared" si="246"/>
      </c>
      <c r="W245" s="11" t="s">
        <f t="shared" si="245"/>
      </c>
      <c r="X245" s="11" t="s">
        <f t="shared" si="242"/>
      </c>
    </row>
    <row r="246" ht="12.50" customHeight="true">
      <c r="A246" s="10"/>
      <c r="B246" s="11"/>
      <c r="C246" s="11"/>
      <c r="D246" s="11"/>
      <c r="E246" s="11"/>
      <c r="F246" s="11"/>
      <c r="G246" s="11"/>
      <c r="H246" s="11"/>
      <c r="I246" s="11"/>
      <c r="J246" s="11"/>
      <c r="K246" s="11" t="s">
        <f>""</f>
      </c>
      <c r="L246" s="11" t="s">
        <f t="shared" si="239"/>
      </c>
      <c r="M246" s="8" t="s">
        <f t="shared" si="240"/>
      </c>
      <c r="N246" s="11"/>
      <c r="O246" s="10">
        <f ref="O246:P246" t="shared" si="1425">A246</f>
        <v>0</v>
      </c>
      <c r="P246" s="11">
        <f t="shared" si="1425"/>
        <v>0</v>
      </c>
      <c r="Q246" s="11" t="s">
        <f t="shared" si="247"/>
      </c>
      <c r="R246" s="11">
        <f t="shared" si="241"/>
        <v>0</v>
      </c>
      <c r="S246" s="11">
        <f ref="S246:U246" t="shared" si="1424">E246</f>
        <v>0</v>
      </c>
      <c r="T246" s="11">
        <f t="shared" si="1424"/>
        <v>0</v>
      </c>
      <c r="U246" s="11">
        <f t="shared" si="1424"/>
        <v>0</v>
      </c>
      <c r="V246" s="11">
        <f t="shared" si="246"/>
      </c>
      <c r="W246" s="11" t="s">
        <f t="shared" si="245"/>
      </c>
      <c r="X246" s="11" t="s">
        <f t="shared" si="242"/>
      </c>
    </row>
    <row r="247" ht="12.50" customHeight="true">
      <c r="A247" s="10"/>
      <c r="B247" s="11"/>
      <c r="C247" s="11"/>
      <c r="D247" s="11"/>
      <c r="E247" s="11"/>
      <c r="F247" s="11"/>
      <c r="G247" s="11"/>
      <c r="H247" s="11"/>
      <c r="I247" s="11"/>
      <c r="J247" s="11"/>
      <c r="K247" s="11" t="s">
        <f>""</f>
      </c>
      <c r="L247" s="11" t="s">
        <f t="shared" si="239"/>
      </c>
      <c r="M247" s="8" t="s">
        <f t="shared" si="240"/>
      </c>
      <c r="N247" s="11"/>
      <c r="O247" s="10">
        <f ref="O247:P247" t="shared" si="1101">A247</f>
        <v>0</v>
      </c>
      <c r="P247" s="11">
        <f t="shared" si="1101"/>
        <v>0</v>
      </c>
      <c r="Q247" s="11" t="s">
        <f t="shared" si="247"/>
      </c>
      <c r="R247" s="11">
        <f t="shared" si="241"/>
        <v>0</v>
      </c>
      <c r="S247" s="11">
        <f ref="S247:U247" t="shared" si="1102">E247</f>
        <v>0</v>
      </c>
      <c r="T247" s="11">
        <f t="shared" si="1102"/>
        <v>0</v>
      </c>
      <c r="U247" s="11">
        <f t="shared" si="1102"/>
        <v>0</v>
      </c>
      <c r="V247" s="11">
        <f t="shared" si="246"/>
      </c>
      <c r="W247" s="11" t="s">
        <f t="shared" si="245"/>
      </c>
      <c r="X247" s="11" t="s">
        <f t="shared" si="242"/>
      </c>
    </row>
    <row r="248" ht="12.50" customHeight="true">
      <c r="A248" s="10"/>
      <c r="B248" s="11"/>
      <c r="C248" s="11"/>
      <c r="D248" s="11"/>
      <c r="E248" s="11"/>
      <c r="F248" s="11"/>
      <c r="G248" s="11"/>
      <c r="H248" s="11"/>
      <c r="I248" s="11"/>
      <c r="J248" s="11"/>
      <c r="K248" s="11" t="s">
        <f>""</f>
      </c>
      <c r="L248" s="11" t="s">
        <f t="shared" si="239"/>
      </c>
      <c r="M248" s="8" t="s">
        <f t="shared" si="240"/>
      </c>
      <c r="N248" s="11"/>
      <c r="O248" s="10">
        <f ref="O248:P248" t="shared" si="1999">A248</f>
        <v>0</v>
      </c>
      <c r="P248" s="11">
        <f t="shared" si="1999"/>
        <v>0</v>
      </c>
      <c r="Q248" s="11" t="s">
        <f t="shared" si="247"/>
      </c>
      <c r="R248" s="11">
        <f t="shared" si="241"/>
        <v>0</v>
      </c>
      <c r="S248" s="11">
        <f ref="S248:U248" t="shared" si="1998">E248</f>
        <v>0</v>
      </c>
      <c r="T248" s="11">
        <f t="shared" si="1998"/>
        <v>0</v>
      </c>
      <c r="U248" s="11">
        <f t="shared" si="1998"/>
        <v>0</v>
      </c>
      <c r="V248" s="11">
        <f t="shared" si="246"/>
      </c>
      <c r="W248" s="11" t="s">
        <f t="shared" si="245"/>
      </c>
      <c r="X248" s="11" t="s">
        <f t="shared" si="242"/>
      </c>
    </row>
    <row r="249" ht="12.50" customHeight="true">
      <c r="A249" s="10"/>
      <c r="B249" s="11"/>
      <c r="C249" s="11"/>
      <c r="D249" s="11"/>
      <c r="E249" s="11"/>
      <c r="F249" s="11"/>
      <c r="G249" s="11"/>
      <c r="H249" s="11"/>
      <c r="I249" s="11"/>
      <c r="J249" s="11"/>
      <c r="K249" s="11" t="s">
        <f>""</f>
      </c>
      <c r="L249" s="11" t="s">
        <f t="shared" si="239"/>
      </c>
      <c r="M249" s="8" t="s">
        <f t="shared" si="240"/>
      </c>
      <c r="N249" s="11"/>
      <c r="O249" s="10">
        <f ref="O249:P249" t="shared" si="1571">A249</f>
        <v>0</v>
      </c>
      <c r="P249" s="11">
        <f t="shared" si="1571"/>
        <v>0</v>
      </c>
      <c r="Q249" s="11" t="s">
        <f t="shared" si="247"/>
      </c>
      <c r="R249" s="11">
        <f t="shared" si="241"/>
        <v>0</v>
      </c>
      <c r="S249" s="11">
        <f ref="S249:U249" t="shared" si="1570">E249</f>
        <v>0</v>
      </c>
      <c r="T249" s="11">
        <f t="shared" si="1570"/>
        <v>0</v>
      </c>
      <c r="U249" s="11">
        <f t="shared" si="1570"/>
        <v>0</v>
      </c>
      <c r="V249" s="11">
        <f t="shared" si="246"/>
      </c>
      <c r="W249" s="11" t="s">
        <f t="shared" si="245"/>
      </c>
      <c r="X249" s="11" t="s">
        <f t="shared" si="242"/>
      </c>
    </row>
    <row r="250" ht="12.50" customHeight="true">
      <c r="A250" s="10"/>
      <c r="B250" s="11"/>
      <c r="C250" s="11"/>
      <c r="D250" s="11"/>
      <c r="E250" s="11"/>
      <c r="F250" s="11"/>
      <c r="G250" s="11"/>
      <c r="H250" s="11"/>
      <c r="I250" s="11"/>
      <c r="J250" s="11"/>
      <c r="K250" s="11" t="s">
        <f>""</f>
      </c>
      <c r="L250" s="11" t="s">
        <f t="shared" si="239"/>
      </c>
      <c r="M250" s="8" t="s">
        <f t="shared" si="240"/>
      </c>
      <c r="N250" s="11"/>
      <c r="O250" s="10">
        <f ref="O250:P250" t="shared" si="1905">A250</f>
        <v>0</v>
      </c>
      <c r="P250" s="11">
        <f t="shared" si="1905"/>
        <v>0</v>
      </c>
      <c r="Q250" s="11" t="s">
        <f t="shared" si="247"/>
      </c>
      <c r="R250" s="11">
        <f t="shared" si="241"/>
        <v>0</v>
      </c>
      <c r="S250" s="11">
        <f ref="S250:U250" t="shared" si="1904">E250</f>
        <v>0</v>
      </c>
      <c r="T250" s="11">
        <f t="shared" si="1904"/>
        <v>0</v>
      </c>
      <c r="U250" s="11">
        <f t="shared" si="1904"/>
        <v>0</v>
      </c>
      <c r="V250" s="11">
        <f t="shared" si="246"/>
      </c>
      <c r="W250" s="11" t="s">
        <f t="shared" si="245"/>
      </c>
      <c r="X250" s="11" t="s">
        <f t="shared" si="242"/>
      </c>
    </row>
    <row r="251" ht="12.50" customHeight="true">
      <c r="A251" s="10"/>
      <c r="B251" s="11"/>
      <c r="C251" s="11"/>
      <c r="D251" s="11"/>
      <c r="E251" s="11"/>
      <c r="F251" s="11"/>
      <c r="G251" s="11"/>
      <c r="H251" s="11"/>
      <c r="I251" s="11"/>
      <c r="J251" s="11"/>
      <c r="K251" s="11" t="s">
        <f>""</f>
      </c>
      <c r="L251" s="11" t="s">
        <f t="shared" si="239"/>
      </c>
      <c r="M251" s="8" t="s">
        <f t="shared" si="240"/>
      </c>
      <c r="N251" s="11"/>
      <c r="O251" s="10">
        <f ref="O251:P251" t="shared" si="1081">A251</f>
        <v>0</v>
      </c>
      <c r="P251" s="11">
        <f t="shared" si="1081"/>
        <v>0</v>
      </c>
      <c r="Q251" s="11" t="s">
        <f t="shared" si="247"/>
      </c>
      <c r="R251" s="11">
        <f t="shared" si="241"/>
        <v>0</v>
      </c>
      <c r="S251" s="11">
        <f ref="S251:U251" t="shared" si="1082">E251</f>
        <v>0</v>
      </c>
      <c r="T251" s="11">
        <f t="shared" si="1082"/>
        <v>0</v>
      </c>
      <c r="U251" s="11">
        <f t="shared" si="1082"/>
        <v>0</v>
      </c>
      <c r="V251" s="11">
        <f t="shared" si="246"/>
      </c>
      <c r="W251" s="11" t="s">
        <f t="shared" si="245"/>
      </c>
      <c r="X251" s="11" t="s">
        <f t="shared" si="242"/>
      </c>
    </row>
    <row r="252" ht="12.50" customHeight="true">
      <c r="A252" s="10"/>
      <c r="B252" s="11"/>
      <c r="C252" s="11"/>
      <c r="D252" s="11"/>
      <c r="E252" s="11"/>
      <c r="F252" s="11"/>
      <c r="G252" s="11"/>
      <c r="H252" s="11"/>
      <c r="I252" s="11"/>
      <c r="J252" s="11"/>
      <c r="K252" s="11" t="s">
        <f>""</f>
      </c>
      <c r="L252" s="11" t="s">
        <f t="shared" si="239"/>
      </c>
      <c r="M252" s="8" t="s">
        <f t="shared" si="240"/>
      </c>
      <c r="N252" s="11"/>
      <c r="O252" s="10">
        <f ref="O252:P252" t="shared" si="1779">A252</f>
        <v>0</v>
      </c>
      <c r="P252" s="11">
        <f t="shared" si="1779"/>
        <v>0</v>
      </c>
      <c r="Q252" s="11" t="s">
        <f t="shared" si="247"/>
      </c>
      <c r="R252" s="11">
        <f t="shared" si="241"/>
        <v>0</v>
      </c>
      <c r="S252" s="11">
        <f ref="S252:U252" t="shared" si="1778">E252</f>
        <v>0</v>
      </c>
      <c r="T252" s="11">
        <f t="shared" si="1778"/>
        <v>0</v>
      </c>
      <c r="U252" s="11">
        <f t="shared" si="1778"/>
        <v>0</v>
      </c>
      <c r="V252" s="11">
        <f t="shared" si="246"/>
      </c>
      <c r="W252" s="11" t="s">
        <f t="shared" si="245"/>
      </c>
      <c r="X252" s="11" t="s">
        <f t="shared" si="242"/>
      </c>
    </row>
    <row r="253" ht="12.50" customHeight="true">
      <c r="A253" s="10"/>
      <c r="B253" s="11"/>
      <c r="C253" s="11"/>
      <c r="D253" s="11"/>
      <c r="E253" s="11"/>
      <c r="F253" s="11"/>
      <c r="G253" s="11"/>
      <c r="H253" s="11"/>
      <c r="I253" s="11"/>
      <c r="J253" s="11"/>
      <c r="K253" s="11" t="s">
        <f>""</f>
      </c>
      <c r="L253" s="11" t="s">
        <f t="shared" si="239"/>
      </c>
      <c r="M253" s="8" t="s">
        <f t="shared" si="240"/>
      </c>
      <c r="N253" s="11"/>
      <c r="O253" s="10">
        <f ref="O253:P253" t="shared" si="636">A253</f>
        <v>0</v>
      </c>
      <c r="P253" s="11">
        <f t="shared" si="636"/>
        <v>0</v>
      </c>
      <c r="Q253" s="11" t="s">
        <f t="shared" si="247"/>
      </c>
      <c r="R253" s="11">
        <f t="shared" si="241"/>
        <v>0</v>
      </c>
      <c r="S253" s="11">
        <f ref="S253:U253" t="shared" si="637">E253</f>
        <v>0</v>
      </c>
      <c r="T253" s="11">
        <f t="shared" si="637"/>
        <v>0</v>
      </c>
      <c r="U253" s="11">
        <f t="shared" si="637"/>
        <v>0</v>
      </c>
      <c r="V253" s="11">
        <f t="shared" si="246"/>
      </c>
      <c r="W253" s="11" t="s">
        <f t="shared" si="245"/>
      </c>
      <c r="X253" s="11" t="s">
        <f t="shared" si="242"/>
      </c>
    </row>
    <row r="254" ht="12.50" customHeight="true">
      <c r="A254" s="10"/>
      <c r="B254" s="11"/>
      <c r="C254" s="11"/>
      <c r="D254" s="11"/>
      <c r="E254" s="11"/>
      <c r="F254" s="11"/>
      <c r="G254" s="11"/>
      <c r="H254" s="11"/>
      <c r="I254" s="11"/>
      <c r="J254" s="11"/>
      <c r="K254" s="11" t="s">
        <f>""</f>
      </c>
      <c r="L254" s="11" t="s">
        <f t="shared" si="239"/>
      </c>
      <c r="M254" s="8" t="s">
        <f t="shared" si="240"/>
      </c>
      <c r="N254" s="11"/>
      <c r="O254" s="10">
        <f ref="O254:P254" t="shared" si="398">A254</f>
        <v>0</v>
      </c>
      <c r="P254" s="11">
        <f t="shared" si="398"/>
        <v>0</v>
      </c>
      <c r="Q254" s="11" t="s">
        <f t="shared" si="247"/>
      </c>
      <c r="R254" s="11">
        <f t="shared" si="241"/>
        <v>0</v>
      </c>
      <c r="S254" s="11">
        <f ref="S254:U254" t="shared" si="399">E254</f>
        <v>0</v>
      </c>
      <c r="T254" s="11">
        <f t="shared" si="399"/>
        <v>0</v>
      </c>
      <c r="U254" s="11">
        <f t="shared" si="399"/>
        <v>0</v>
      </c>
      <c r="V254" s="11">
        <f t="shared" si="246"/>
      </c>
      <c r="W254" s="11" t="s">
        <f t="shared" si="245"/>
      </c>
      <c r="X254" s="11" t="s">
        <f t="shared" si="242"/>
      </c>
    </row>
    <row r="255" ht="12.50" customHeight="true">
      <c r="A255" s="10"/>
      <c r="B255" s="11"/>
      <c r="C255" s="11"/>
      <c r="D255" s="11"/>
      <c r="E255" s="11"/>
      <c r="F255" s="11"/>
      <c r="G255" s="11"/>
      <c r="H255" s="11"/>
      <c r="I255" s="11"/>
      <c r="J255" s="11"/>
      <c r="K255" s="11" t="s">
        <f>""</f>
      </c>
      <c r="L255" s="11" t="s">
        <f t="shared" si="239"/>
      </c>
      <c r="M255" s="8" t="s">
        <f t="shared" si="240"/>
      </c>
      <c r="N255" s="11"/>
      <c r="O255" s="10">
        <f ref="O255:P255" t="shared" si="383">A255</f>
        <v>0</v>
      </c>
      <c r="P255" s="11">
        <f t="shared" si="383"/>
        <v>0</v>
      </c>
      <c r="Q255" s="11" t="s">
        <f t="shared" si="247"/>
      </c>
      <c r="R255" s="11">
        <f t="shared" si="241"/>
        <v>0</v>
      </c>
      <c r="S255" s="11">
        <f ref="S255:U255" t="shared" si="382">E255</f>
        <v>0</v>
      </c>
      <c r="T255" s="11">
        <f t="shared" si="382"/>
        <v>0</v>
      </c>
      <c r="U255" s="11">
        <f t="shared" si="382"/>
        <v>0</v>
      </c>
      <c r="V255" s="11">
        <f t="shared" si="246"/>
      </c>
      <c r="W255" s="11" t="s">
        <f t="shared" si="245"/>
      </c>
      <c r="X255" s="11" t="s">
        <f t="shared" si="242"/>
      </c>
    </row>
    <row r="256" ht="12.50" customHeight="true">
      <c r="A256" s="10"/>
      <c r="B256" s="11"/>
      <c r="C256" s="11"/>
      <c r="D256" s="11"/>
      <c r="E256" s="11"/>
      <c r="F256" s="11"/>
      <c r="G256" s="11"/>
      <c r="H256" s="11"/>
      <c r="I256" s="11"/>
      <c r="J256" s="11"/>
      <c r="K256" s="11" t="s">
        <f>""</f>
      </c>
      <c r="L256" s="11" t="s">
        <f t="shared" si="239"/>
      </c>
      <c r="M256" s="8" t="s">
        <f t="shared" si="240"/>
      </c>
      <c r="N256" s="11"/>
      <c r="O256" s="10">
        <f ref="O256:P256" t="shared" si="1809">A256</f>
        <v>0</v>
      </c>
      <c r="P256" s="11">
        <f t="shared" si="1809"/>
        <v>0</v>
      </c>
      <c r="Q256" s="11" t="s">
        <f t="shared" si="247"/>
      </c>
      <c r="R256" s="11">
        <f t="shared" si="241"/>
        <v>0</v>
      </c>
      <c r="S256" s="11">
        <f ref="S256:U256" t="shared" si="1808">E256</f>
        <v>0</v>
      </c>
      <c r="T256" s="11">
        <f t="shared" si="1808"/>
        <v>0</v>
      </c>
      <c r="U256" s="11">
        <f t="shared" si="1808"/>
        <v>0</v>
      </c>
      <c r="V256" s="11">
        <f t="shared" si="246"/>
      </c>
      <c r="W256" s="11" t="s">
        <f t="shared" si="245"/>
      </c>
      <c r="X256" s="11" t="s">
        <f t="shared" si="242"/>
      </c>
    </row>
    <row r="257" ht="12.50" customHeight="true">
      <c r="A257" s="10"/>
      <c r="B257" s="11"/>
      <c r="C257" s="11"/>
      <c r="D257" s="11"/>
      <c r="E257" s="11"/>
      <c r="F257" s="11"/>
      <c r="G257" s="11"/>
      <c r="H257" s="11"/>
      <c r="I257" s="11"/>
      <c r="J257" s="11"/>
      <c r="K257" s="11" t="s">
        <f>""</f>
      </c>
      <c r="L257" s="11" t="s">
        <f t="shared" si="239"/>
      </c>
      <c r="M257" s="8" t="s">
        <f t="shared" si="240"/>
      </c>
      <c r="N257" s="11"/>
      <c r="O257" s="10">
        <f ref="O257:P257" t="shared" si="554">A257</f>
        <v>0</v>
      </c>
      <c r="P257" s="11">
        <f t="shared" si="554"/>
        <v>0</v>
      </c>
      <c r="Q257" s="11" t="s">
        <f t="shared" si="247"/>
      </c>
      <c r="R257" s="11">
        <f t="shared" si="241"/>
        <v>0</v>
      </c>
      <c r="S257" s="11">
        <f ref="S257:U257" t="shared" si="555">E257</f>
        <v>0</v>
      </c>
      <c r="T257" s="11">
        <f t="shared" si="555"/>
        <v>0</v>
      </c>
      <c r="U257" s="11">
        <f t="shared" si="555"/>
        <v>0</v>
      </c>
      <c r="V257" s="11">
        <f t="shared" si="246"/>
      </c>
      <c r="W257" s="11" t="s">
        <f t="shared" si="245"/>
      </c>
      <c r="X257" s="11" t="s">
        <f t="shared" si="242"/>
      </c>
    </row>
    <row r="258" ht="12.50" customHeight="true">
      <c r="A258" s="10"/>
      <c r="B258" s="11"/>
      <c r="C258" s="11"/>
      <c r="D258" s="11"/>
      <c r="E258" s="11"/>
      <c r="F258" s="11"/>
      <c r="G258" s="11"/>
      <c r="H258" s="11"/>
      <c r="I258" s="11"/>
      <c r="J258" s="11"/>
      <c r="K258" s="11" t="s">
        <f>""</f>
      </c>
      <c r="L258" s="11" t="s">
        <f ref="L258:L512" t="shared" si="1247">IF(K258&lt;&gt;"",J258*K258,"")</f>
      </c>
      <c r="M258" s="8" t="s">
        <f ref="M258:M512" t="shared" si="1245">IF(I258="STITCHING","MOHAK",IF(I258="CUTTING","MOHAK",IF(I258="WASHING","WASHING",IF(I258="OTHER","OTHER",""))))</f>
      </c>
      <c r="N258" s="11"/>
      <c r="O258" s="10">
        <f ref="O258:P258" t="shared" si="1243">A258</f>
        <v>0</v>
      </c>
      <c r="P258" s="11">
        <f t="shared" si="1243"/>
        <v>0</v>
      </c>
      <c r="Q258" s="11" t="s">
        <f ref="Q258:Q512" t="shared" si="1240">M258</f>
      </c>
      <c r="R258" s="11">
        <f ref="R258:R512" t="shared" si="1246">C258</f>
        <v>0</v>
      </c>
      <c r="S258" s="11">
        <f ref="S258:U258" t="shared" si="1242">E258</f>
        <v>0</v>
      </c>
      <c r="T258" s="11">
        <f t="shared" si="1242"/>
        <v>0</v>
      </c>
      <c r="U258" s="11">
        <f t="shared" si="1242"/>
        <v>0</v>
      </c>
      <c r="V258" s="11">
        <f ref="V258:V512" t="shared" si="1241">IF(N258="",J258,0)</f>
      </c>
      <c r="W258" s="11" t="s">
        <f ref="W258:W512" t="shared" si="1239">(IF(T258="BEDCOVER",1.5,IF(T258="pillow",0.9,IF(T258="cushion",0.9,IF(T258="booster",0.9,"")))))</f>
      </c>
      <c r="X258" s="11" t="s">
        <f ref="X258:X512" t="shared" si="1244">IF(W258&lt;&gt;"",V258*W258,"")</f>
      </c>
    </row>
    <row r="259" ht="12.50" customHeight="true">
      <c r="A259" s="10"/>
      <c r="B259" s="11"/>
      <c r="C259" s="11"/>
      <c r="D259" s="11"/>
      <c r="E259" s="11"/>
      <c r="F259" s="11"/>
      <c r="G259" s="11"/>
      <c r="H259" s="11"/>
      <c r="I259" s="11"/>
      <c r="J259" s="11"/>
      <c r="K259" s="11" t="s">
        <f>""</f>
      </c>
      <c r="L259" s="11" t="s">
        <f t="shared" si="1247"/>
      </c>
      <c r="M259" s="8" t="s">
        <f t="shared" si="1245"/>
      </c>
      <c r="N259" s="11"/>
      <c r="O259" s="10">
        <f ref="O259:P259" t="shared" si="1465">A259</f>
        <v>0</v>
      </c>
      <c r="P259" s="11">
        <f t="shared" si="1465"/>
        <v>0</v>
      </c>
      <c r="Q259" s="11" t="s">
        <f t="shared" si="1240"/>
      </c>
      <c r="R259" s="11">
        <f t="shared" si="1246"/>
        <v>0</v>
      </c>
      <c r="S259" s="11">
        <f ref="S259:U259" t="shared" si="1464">E259</f>
        <v>0</v>
      </c>
      <c r="T259" s="11">
        <f t="shared" si="1464"/>
        <v>0</v>
      </c>
      <c r="U259" s="11">
        <f t="shared" si="1464"/>
        <v>0</v>
      </c>
      <c r="V259" s="11">
        <f t="shared" si="1241"/>
      </c>
      <c r="W259" s="11" t="s">
        <f t="shared" si="1239"/>
      </c>
      <c r="X259" s="11" t="s">
        <f t="shared" si="1244"/>
      </c>
    </row>
    <row r="260" ht="12.50" customHeight="true">
      <c r="A260" s="10"/>
      <c r="B260" s="11"/>
      <c r="C260" s="11"/>
      <c r="D260" s="11"/>
      <c r="E260" s="11"/>
      <c r="F260" s="11"/>
      <c r="G260" s="11"/>
      <c r="H260" s="11"/>
      <c r="I260" s="11"/>
      <c r="J260" s="11"/>
      <c r="K260" s="11" t="s">
        <f>""</f>
      </c>
      <c r="L260" s="11" t="s">
        <f t="shared" si="1247"/>
      </c>
      <c r="M260" s="8" t="s">
        <f t="shared" si="1245"/>
      </c>
      <c r="N260" s="11"/>
      <c r="O260" s="10">
        <f ref="O260:P260" t="shared" si="196">A260</f>
        <v>0</v>
      </c>
      <c r="P260" s="11">
        <f t="shared" si="196"/>
        <v>0</v>
      </c>
      <c r="Q260" s="11" t="s">
        <f t="shared" si="1240"/>
      </c>
      <c r="R260" s="11">
        <f t="shared" si="1246"/>
        <v>0</v>
      </c>
      <c r="S260" s="11">
        <f ref="S260:U260" t="shared" si="195">E260</f>
        <v>0</v>
      </c>
      <c r="T260" s="11">
        <f t="shared" si="195"/>
        <v>0</v>
      </c>
      <c r="U260" s="11">
        <f t="shared" si="195"/>
        <v>0</v>
      </c>
      <c r="V260" s="11">
        <f t="shared" si="1241"/>
      </c>
      <c r="W260" s="11" t="s">
        <f t="shared" si="1239"/>
      </c>
      <c r="X260" s="11" t="s">
        <f t="shared" si="1244"/>
      </c>
    </row>
    <row r="261" ht="12.50" customHeight="true">
      <c r="A261" s="10"/>
      <c r="B261" s="11"/>
      <c r="C261" s="11"/>
      <c r="D261" s="11"/>
      <c r="E261" s="11"/>
      <c r="F261" s="11"/>
      <c r="G261" s="11"/>
      <c r="H261" s="11"/>
      <c r="I261" s="11"/>
      <c r="J261" s="11"/>
      <c r="K261" s="11" t="s">
        <f>""</f>
      </c>
      <c r="L261" s="11" t="s">
        <f t="shared" si="1247"/>
      </c>
      <c r="M261" s="8" t="s">
        <f t="shared" si="1245"/>
      </c>
      <c r="N261" s="11"/>
      <c r="O261" s="10">
        <f ref="O261:P261" t="shared" si="1380">A261</f>
        <v>0</v>
      </c>
      <c r="P261" s="11">
        <f t="shared" si="1380"/>
        <v>0</v>
      </c>
      <c r="Q261" s="11" t="s">
        <f t="shared" si="1240"/>
      </c>
      <c r="R261" s="11">
        <f t="shared" si="1246"/>
        <v>0</v>
      </c>
      <c r="S261" s="11">
        <f ref="S261:U261" t="shared" si="1381">E261</f>
        <v>0</v>
      </c>
      <c r="T261" s="11">
        <f t="shared" si="1381"/>
        <v>0</v>
      </c>
      <c r="U261" s="11">
        <f t="shared" si="1381"/>
        <v>0</v>
      </c>
      <c r="V261" s="11">
        <f t="shared" si="1241"/>
      </c>
      <c r="W261" s="11" t="s">
        <f t="shared" si="1239"/>
      </c>
      <c r="X261" s="11" t="s">
        <f t="shared" si="1244"/>
      </c>
    </row>
    <row r="262" ht="12.50" customHeight="true">
      <c r="A262" s="10"/>
      <c r="B262" s="11"/>
      <c r="C262" s="11"/>
      <c r="D262" s="11"/>
      <c r="E262" s="11"/>
      <c r="F262" s="11"/>
      <c r="G262" s="11"/>
      <c r="H262" s="11"/>
      <c r="I262" s="11"/>
      <c r="J262" s="11"/>
      <c r="K262" s="11" t="s">
        <f>""</f>
      </c>
      <c r="L262" s="11" t="s">
        <f t="shared" si="1247"/>
      </c>
      <c r="M262" s="8" t="s">
        <f t="shared" si="1245"/>
      </c>
      <c r="N262" s="11"/>
      <c r="O262" s="10">
        <f ref="O262:P262" t="shared" si="711">A262</f>
        <v>0</v>
      </c>
      <c r="P262" s="11">
        <f t="shared" si="711"/>
        <v>0</v>
      </c>
      <c r="Q262" s="11" t="s">
        <f t="shared" si="1240"/>
      </c>
      <c r="R262" s="11">
        <f t="shared" si="1246"/>
        <v>0</v>
      </c>
      <c r="S262" s="11">
        <f ref="S262:U262" t="shared" si="710">E262</f>
        <v>0</v>
      </c>
      <c r="T262" s="11">
        <f t="shared" si="710"/>
        <v>0</v>
      </c>
      <c r="U262" s="11">
        <f t="shared" si="710"/>
        <v>0</v>
      </c>
      <c r="V262" s="11">
        <f t="shared" si="1241"/>
      </c>
      <c r="W262" s="11" t="s">
        <f t="shared" si="1239"/>
      </c>
      <c r="X262" s="11" t="s">
        <f t="shared" si="1244"/>
      </c>
    </row>
    <row r="263" ht="12.50" customHeight="true">
      <c r="A263" s="10"/>
      <c r="B263" s="11"/>
      <c r="C263" s="11"/>
      <c r="D263" s="11"/>
      <c r="E263" s="11"/>
      <c r="F263" s="11"/>
      <c r="G263" s="11"/>
      <c r="H263" s="11"/>
      <c r="I263" s="11"/>
      <c r="J263" s="11"/>
      <c r="K263" s="11" t="s">
        <f>""</f>
      </c>
      <c r="L263" s="11" t="s">
        <f t="shared" si="1247"/>
      </c>
      <c r="M263" s="8" t="s">
        <f t="shared" si="1245"/>
      </c>
      <c r="N263" s="11"/>
      <c r="O263" s="10">
        <f ref="O263:P263" t="shared" si="1646">A263</f>
        <v>0</v>
      </c>
      <c r="P263" s="11">
        <f t="shared" si="1646"/>
        <v>0</v>
      </c>
      <c r="Q263" s="11" t="s">
        <f t="shared" si="1240"/>
      </c>
      <c r="R263" s="11">
        <f t="shared" si="1246"/>
        <v>0</v>
      </c>
      <c r="S263" s="11">
        <f ref="S263:U263" t="shared" si="1647">E263</f>
        <v>0</v>
      </c>
      <c r="T263" s="11">
        <f t="shared" si="1647"/>
        <v>0</v>
      </c>
      <c r="U263" s="11">
        <f t="shared" si="1647"/>
        <v>0</v>
      </c>
      <c r="V263" s="11">
        <f t="shared" si="1241"/>
      </c>
      <c r="W263" s="11" t="s">
        <f t="shared" si="1239"/>
      </c>
      <c r="X263" s="11" t="s">
        <f t="shared" si="1244"/>
      </c>
    </row>
    <row r="264" ht="12.50" customHeight="true">
      <c r="A264" s="10"/>
      <c r="B264" s="11"/>
      <c r="C264" s="11"/>
      <c r="D264" s="11"/>
      <c r="E264" s="11"/>
      <c r="F264" s="11"/>
      <c r="G264" s="11"/>
      <c r="H264" s="11"/>
      <c r="I264" s="11"/>
      <c r="J264" s="11"/>
      <c r="K264" s="11" t="s">
        <f>""</f>
      </c>
      <c r="L264" s="11" t="s">
        <f t="shared" si="1247"/>
      </c>
      <c r="M264" s="8" t="s">
        <f t="shared" si="1245"/>
      </c>
      <c r="N264" s="11"/>
      <c r="O264" s="10">
        <f ref="O264:P264" t="shared" si="1735">A264</f>
        <v>0</v>
      </c>
      <c r="P264" s="11">
        <f t="shared" si="1735"/>
        <v>0</v>
      </c>
      <c r="Q264" s="11" t="s">
        <f t="shared" si="1240"/>
      </c>
      <c r="R264" s="11">
        <f t="shared" si="1246"/>
        <v>0</v>
      </c>
      <c r="S264" s="11">
        <f ref="S264:U264" t="shared" si="1734">E264</f>
        <v>0</v>
      </c>
      <c r="T264" s="11">
        <f t="shared" si="1734"/>
        <v>0</v>
      </c>
      <c r="U264" s="11">
        <f t="shared" si="1734"/>
        <v>0</v>
      </c>
      <c r="V264" s="11">
        <f t="shared" si="1241"/>
      </c>
      <c r="W264" s="11" t="s">
        <f t="shared" si="1239"/>
      </c>
      <c r="X264" s="11" t="s">
        <f t="shared" si="1244"/>
      </c>
    </row>
    <row r="265" ht="12.50" customHeight="true">
      <c r="A265" s="10"/>
      <c r="B265" s="11"/>
      <c r="C265" s="11"/>
      <c r="D265" s="11"/>
      <c r="E265" s="11"/>
      <c r="F265" s="11"/>
      <c r="G265" s="11"/>
      <c r="H265" s="11"/>
      <c r="I265" s="11"/>
      <c r="J265" s="11"/>
      <c r="K265" s="11" t="s">
        <f>""</f>
      </c>
      <c r="L265" s="11" t="s">
        <f t="shared" si="1247"/>
      </c>
      <c r="M265" s="8" t="s">
        <f t="shared" si="1245"/>
      </c>
      <c r="N265" s="11"/>
      <c r="O265" s="10">
        <f ref="O265:P265" t="shared" si="627">A265</f>
        <v>0</v>
      </c>
      <c r="P265" s="11">
        <f t="shared" si="627"/>
        <v>0</v>
      </c>
      <c r="Q265" s="11" t="s">
        <f t="shared" si="1240"/>
      </c>
      <c r="R265" s="11">
        <f t="shared" si="1246"/>
        <v>0</v>
      </c>
      <c r="S265" s="11">
        <f ref="S265:U265" t="shared" si="626">E265</f>
        <v>0</v>
      </c>
      <c r="T265" s="11">
        <f t="shared" si="626"/>
        <v>0</v>
      </c>
      <c r="U265" s="11">
        <f t="shared" si="626"/>
        <v>0</v>
      </c>
      <c r="V265" s="11">
        <f t="shared" si="1241"/>
      </c>
      <c r="W265" s="11" t="s">
        <f t="shared" si="1239"/>
      </c>
      <c r="X265" s="11" t="s">
        <f t="shared" si="1244"/>
      </c>
    </row>
    <row r="266" ht="12.50" customHeight="true">
      <c r="A266" s="10"/>
      <c r="B266" s="11"/>
      <c r="C266" s="11"/>
      <c r="D266" s="11"/>
      <c r="E266" s="11"/>
      <c r="F266" s="11"/>
      <c r="G266" s="11"/>
      <c r="H266" s="11"/>
      <c r="I266" s="11"/>
      <c r="J266" s="11"/>
      <c r="K266" s="11" t="s">
        <f>""</f>
      </c>
      <c r="L266" s="11" t="s">
        <f t="shared" si="1247"/>
      </c>
      <c r="M266" s="8" t="s">
        <f t="shared" si="1245"/>
      </c>
      <c r="N266" s="11"/>
      <c r="O266" s="10">
        <f ref="O266:P266" t="shared" si="945">A266</f>
        <v>0</v>
      </c>
      <c r="P266" s="11">
        <f t="shared" si="945"/>
        <v>0</v>
      </c>
      <c r="Q266" s="11" t="s">
        <f t="shared" si="1240"/>
      </c>
      <c r="R266" s="11">
        <f t="shared" si="1246"/>
        <v>0</v>
      </c>
      <c r="S266" s="11">
        <f ref="S266:U266" t="shared" si="946">E266</f>
        <v>0</v>
      </c>
      <c r="T266" s="11">
        <f t="shared" si="946"/>
        <v>0</v>
      </c>
      <c r="U266" s="11">
        <f t="shared" si="946"/>
        <v>0</v>
      </c>
      <c r="V266" s="11">
        <f t="shared" si="1241"/>
      </c>
      <c r="W266" s="11" t="s">
        <f t="shared" si="1239"/>
      </c>
      <c r="X266" s="11" t="s">
        <f t="shared" si="1244"/>
      </c>
    </row>
    <row r="267" ht="12.50" customHeight="true">
      <c r="A267" s="10"/>
      <c r="B267" s="11"/>
      <c r="C267" s="11"/>
      <c r="D267" s="11"/>
      <c r="E267" s="11"/>
      <c r="F267" s="11"/>
      <c r="G267" s="11"/>
      <c r="H267" s="11"/>
      <c r="I267" s="11"/>
      <c r="J267" s="11"/>
      <c r="K267" s="11" t="s">
        <f>""</f>
      </c>
      <c r="L267" s="11" t="s">
        <f t="shared" si="1247"/>
      </c>
      <c r="M267" s="8" t="s">
        <f t="shared" si="1245"/>
      </c>
      <c r="N267" s="11"/>
      <c r="O267" s="10">
        <f ref="O267:P267" t="shared" si="721">A267</f>
        <v>0</v>
      </c>
      <c r="P267" s="11">
        <f t="shared" si="721"/>
        <v>0</v>
      </c>
      <c r="Q267" s="11" t="s">
        <f t="shared" si="1240"/>
      </c>
      <c r="R267" s="11">
        <f t="shared" si="1246"/>
        <v>0</v>
      </c>
      <c r="S267" s="11">
        <f ref="S267:U267" t="shared" si="720">E267</f>
        <v>0</v>
      </c>
      <c r="T267" s="11">
        <f t="shared" si="720"/>
        <v>0</v>
      </c>
      <c r="U267" s="11">
        <f t="shared" si="720"/>
        <v>0</v>
      </c>
      <c r="V267" s="11">
        <f t="shared" si="1241"/>
      </c>
      <c r="W267" s="11" t="s">
        <f t="shared" si="1239"/>
      </c>
      <c r="X267" s="11" t="s">
        <f t="shared" si="1244"/>
      </c>
    </row>
    <row r="268" ht="12.50" customHeight="true">
      <c r="A268" s="10"/>
      <c r="B268" s="11"/>
      <c r="C268" s="11"/>
      <c r="D268" s="11"/>
      <c r="E268" s="11"/>
      <c r="F268" s="11"/>
      <c r="G268" s="11"/>
      <c r="H268" s="11"/>
      <c r="I268" s="11"/>
      <c r="J268" s="11"/>
      <c r="K268" s="11" t="s">
        <f>""</f>
      </c>
      <c r="L268" s="11" t="s">
        <f t="shared" si="1247"/>
      </c>
      <c r="M268" s="8" t="s">
        <f t="shared" si="1245"/>
      </c>
      <c r="N268" s="11"/>
      <c r="O268" s="10">
        <f ref="O268:P268" t="shared" si="658">A268</f>
        <v>0</v>
      </c>
      <c r="P268" s="11">
        <f t="shared" si="658"/>
        <v>0</v>
      </c>
      <c r="Q268" s="11" t="s">
        <f t="shared" si="1240"/>
      </c>
      <c r="R268" s="11">
        <f t="shared" si="1246"/>
        <v>0</v>
      </c>
      <c r="S268" s="11">
        <f ref="S268:U268" t="shared" si="659">E268</f>
        <v>0</v>
      </c>
      <c r="T268" s="11">
        <f t="shared" si="659"/>
        <v>0</v>
      </c>
      <c r="U268" s="11">
        <f t="shared" si="659"/>
        <v>0</v>
      </c>
      <c r="V268" s="11">
        <f t="shared" si="1241"/>
      </c>
      <c r="W268" s="11" t="s">
        <f t="shared" si="1239"/>
      </c>
      <c r="X268" s="11" t="s">
        <f t="shared" si="1244"/>
      </c>
    </row>
    <row r="269" ht="12.50" customHeight="true">
      <c r="A269" s="10"/>
      <c r="B269" s="11"/>
      <c r="C269" s="11"/>
      <c r="D269" s="11"/>
      <c r="E269" s="11"/>
      <c r="F269" s="11"/>
      <c r="G269" s="11"/>
      <c r="H269" s="11"/>
      <c r="I269" s="11"/>
      <c r="J269" s="11"/>
      <c r="K269" s="11" t="s">
        <f>""</f>
      </c>
      <c r="L269" s="11" t="s">
        <f t="shared" si="1247"/>
      </c>
      <c r="M269" s="8" t="s">
        <f t="shared" si="1245"/>
      </c>
      <c r="N269" s="11"/>
      <c r="O269" s="10">
        <f ref="O269:P269" t="shared" si="885">A269</f>
        <v>0</v>
      </c>
      <c r="P269" s="11">
        <f t="shared" si="885"/>
        <v>0</v>
      </c>
      <c r="Q269" s="11" t="s">
        <f t="shared" si="1240"/>
      </c>
      <c r="R269" s="11">
        <f t="shared" si="1246"/>
        <v>0</v>
      </c>
      <c r="S269" s="11">
        <f ref="S269:U269" t="shared" si="884">E269</f>
        <v>0</v>
      </c>
      <c r="T269" s="11">
        <f t="shared" si="884"/>
        <v>0</v>
      </c>
      <c r="U269" s="11">
        <f t="shared" si="884"/>
        <v>0</v>
      </c>
      <c r="V269" s="11">
        <f t="shared" si="1241"/>
      </c>
      <c r="W269" s="11" t="s">
        <f t="shared" si="1239"/>
      </c>
      <c r="X269" s="11" t="s">
        <f t="shared" si="1244"/>
      </c>
    </row>
    <row r="270" ht="12.50" customHeight="true">
      <c r="A270" s="10"/>
      <c r="B270" s="11"/>
      <c r="C270" s="11"/>
      <c r="D270" s="11"/>
      <c r="E270" s="11"/>
      <c r="F270" s="11"/>
      <c r="G270" s="11"/>
      <c r="H270" s="11"/>
      <c r="I270" s="11"/>
      <c r="J270" s="11"/>
      <c r="K270" s="11" t="s">
        <f>""</f>
      </c>
      <c r="L270" s="11" t="s">
        <f t="shared" si="1247"/>
      </c>
      <c r="M270" s="8" t="s">
        <f t="shared" si="1245"/>
      </c>
      <c r="N270" s="11"/>
      <c r="O270" s="10">
        <f ref="O270:P270" t="shared" si="1123">A270</f>
        <v>0</v>
      </c>
      <c r="P270" s="11">
        <f t="shared" si="1123"/>
        <v>0</v>
      </c>
      <c r="Q270" s="11" t="s">
        <f t="shared" si="1240"/>
      </c>
      <c r="R270" s="11">
        <f t="shared" si="1246"/>
        <v>0</v>
      </c>
      <c r="S270" s="11">
        <f ref="S270:U270" t="shared" si="1124">E270</f>
        <v>0</v>
      </c>
      <c r="T270" s="11">
        <f t="shared" si="1124"/>
        <v>0</v>
      </c>
      <c r="U270" s="11">
        <f t="shared" si="1124"/>
        <v>0</v>
      </c>
      <c r="V270" s="11">
        <f t="shared" si="1241"/>
      </c>
      <c r="W270" s="11" t="s">
        <f t="shared" si="1239"/>
      </c>
      <c r="X270" s="11" t="s">
        <f t="shared" si="1244"/>
      </c>
    </row>
    <row r="271" ht="12.50" customHeight="true">
      <c r="A271" s="10"/>
      <c r="B271" s="11"/>
      <c r="C271" s="11"/>
      <c r="D271" s="11"/>
      <c r="E271" s="11"/>
      <c r="F271" s="11"/>
      <c r="G271" s="11"/>
      <c r="H271" s="11"/>
      <c r="I271" s="11"/>
      <c r="J271" s="11"/>
      <c r="K271" s="11" t="s">
        <f>""</f>
      </c>
      <c r="L271" s="11" t="s">
        <f t="shared" si="1247"/>
      </c>
      <c r="M271" s="8" t="s">
        <f t="shared" si="1245"/>
      </c>
      <c r="N271" s="11"/>
      <c r="O271" s="10">
        <f ref="O271:P271" t="shared" si="530">A271</f>
        <v>0</v>
      </c>
      <c r="P271" s="11">
        <f t="shared" si="530"/>
        <v>0</v>
      </c>
      <c r="Q271" s="11" t="s">
        <f t="shared" si="1240"/>
      </c>
      <c r="R271" s="11">
        <f t="shared" si="1246"/>
        <v>0</v>
      </c>
      <c r="S271" s="11">
        <f ref="S271:U271" t="shared" si="531">E271</f>
        <v>0</v>
      </c>
      <c r="T271" s="11">
        <f t="shared" si="531"/>
        <v>0</v>
      </c>
      <c r="U271" s="11">
        <f t="shared" si="531"/>
        <v>0</v>
      </c>
      <c r="V271" s="11">
        <f t="shared" si="1241"/>
      </c>
      <c r="W271" s="11" t="s">
        <f t="shared" si="1239"/>
      </c>
      <c r="X271" s="11" t="s">
        <f t="shared" si="1244"/>
      </c>
    </row>
    <row r="272" ht="12.50" customHeight="true">
      <c r="A272" s="10"/>
      <c r="B272" s="11"/>
      <c r="C272" s="11"/>
      <c r="D272" s="11"/>
      <c r="E272" s="11"/>
      <c r="F272" s="11"/>
      <c r="G272" s="11"/>
      <c r="H272" s="11"/>
      <c r="I272" s="11"/>
      <c r="J272" s="11"/>
      <c r="K272" s="11" t="s">
        <f>""</f>
      </c>
      <c r="L272" s="11" t="s">
        <f t="shared" si="1247"/>
      </c>
      <c r="M272" s="8" t="s">
        <f t="shared" si="1245"/>
      </c>
      <c r="N272" s="11"/>
      <c r="O272" s="10">
        <f ref="O272:P272" t="shared" si="891">A272</f>
        <v>0</v>
      </c>
      <c r="P272" s="11">
        <f t="shared" si="891"/>
        <v>0</v>
      </c>
      <c r="Q272" s="11" t="s">
        <f t="shared" si="1240"/>
      </c>
      <c r="R272" s="11">
        <f t="shared" si="1246"/>
        <v>0</v>
      </c>
      <c r="S272" s="11">
        <f ref="S272:U272" t="shared" si="890">E272</f>
        <v>0</v>
      </c>
      <c r="T272" s="11">
        <f t="shared" si="890"/>
        <v>0</v>
      </c>
      <c r="U272" s="11">
        <f t="shared" si="890"/>
        <v>0</v>
      </c>
      <c r="V272" s="11">
        <f t="shared" si="1241"/>
      </c>
      <c r="W272" s="11" t="s">
        <f t="shared" si="1239"/>
      </c>
      <c r="X272" s="11" t="s">
        <f t="shared" si="1244"/>
      </c>
    </row>
    <row r="273" ht="12.50" customHeight="true">
      <c r="A273" s="10"/>
      <c r="B273" s="11"/>
      <c r="C273" s="11"/>
      <c r="D273" s="11"/>
      <c r="E273" s="11"/>
      <c r="F273" s="11"/>
      <c r="G273" s="11"/>
      <c r="H273" s="11"/>
      <c r="I273" s="11"/>
      <c r="J273" s="11"/>
      <c r="K273" s="11" t="s">
        <f>""</f>
      </c>
      <c r="L273" s="11" t="s">
        <f t="shared" si="1247"/>
      </c>
      <c r="M273" s="8" t="s">
        <f t="shared" si="1245"/>
      </c>
      <c r="N273" s="11"/>
      <c r="O273" s="10">
        <f ref="O273:P273" t="shared" si="1690">A273</f>
        <v>0</v>
      </c>
      <c r="P273" s="11">
        <f t="shared" si="1690"/>
        <v>0</v>
      </c>
      <c r="Q273" s="11" t="s">
        <f t="shared" si="1240"/>
      </c>
      <c r="R273" s="11">
        <f t="shared" si="1246"/>
        <v>0</v>
      </c>
      <c r="S273" s="11">
        <f ref="S273:U273" t="shared" si="1691">E273</f>
        <v>0</v>
      </c>
      <c r="T273" s="11">
        <f t="shared" si="1691"/>
        <v>0</v>
      </c>
      <c r="U273" s="11">
        <f t="shared" si="1691"/>
        <v>0</v>
      </c>
      <c r="V273" s="11">
        <f t="shared" si="1241"/>
      </c>
      <c r="W273" s="11" t="s">
        <f t="shared" si="1239"/>
      </c>
      <c r="X273" s="11" t="s">
        <f t="shared" si="1244"/>
      </c>
    </row>
    <row r="274" ht="12.50" customHeight="true">
      <c r="A274" s="10"/>
      <c r="B274" s="11"/>
      <c r="C274" s="11"/>
      <c r="D274" s="11"/>
      <c r="E274" s="11"/>
      <c r="F274" s="11"/>
      <c r="G274" s="11"/>
      <c r="H274" s="11"/>
      <c r="I274" s="11"/>
      <c r="J274" s="11"/>
      <c r="K274" s="11" t="s">
        <f>""</f>
      </c>
      <c r="L274" s="11" t="s">
        <f t="shared" si="1247"/>
      </c>
      <c r="M274" s="8" t="s">
        <f t="shared" si="1245"/>
      </c>
      <c r="N274" s="11"/>
      <c r="O274" s="10">
        <f ref="O274:P274" t="shared" si="1442">A274</f>
        <v>0</v>
      </c>
      <c r="P274" s="11">
        <f t="shared" si="1442"/>
        <v>0</v>
      </c>
      <c r="Q274" s="11" t="s">
        <f t="shared" si="1240"/>
      </c>
      <c r="R274" s="11">
        <f t="shared" si="1246"/>
        <v>0</v>
      </c>
      <c r="S274" s="11">
        <f ref="S274:U274" t="shared" si="1443">E274</f>
        <v>0</v>
      </c>
      <c r="T274" s="11">
        <f t="shared" si="1443"/>
        <v>0</v>
      </c>
      <c r="U274" s="11">
        <f t="shared" si="1443"/>
        <v>0</v>
      </c>
      <c r="V274" s="11">
        <f t="shared" si="1241"/>
      </c>
      <c r="W274" s="11" t="s">
        <f t="shared" si="1239"/>
      </c>
      <c r="X274" s="11" t="s">
        <f t="shared" si="1244"/>
      </c>
    </row>
    <row r="275" ht="12.50" customHeight="true">
      <c r="A275" s="10"/>
      <c r="B275" s="11"/>
      <c r="C275" s="11"/>
      <c r="D275" s="11"/>
      <c r="E275" s="11"/>
      <c r="F275" s="11"/>
      <c r="G275" s="11"/>
      <c r="H275" s="11"/>
      <c r="I275" s="11"/>
      <c r="J275" s="11"/>
      <c r="K275" s="11" t="s">
        <f>""</f>
      </c>
      <c r="L275" s="11" t="s">
        <f t="shared" si="1247"/>
      </c>
      <c r="M275" s="8" t="s">
        <f t="shared" si="1245"/>
      </c>
      <c r="N275" s="11"/>
      <c r="O275" s="10">
        <f ref="O275:P275" t="shared" si="1567">A275</f>
        <v>0</v>
      </c>
      <c r="P275" s="11">
        <f t="shared" si="1567"/>
        <v>0</v>
      </c>
      <c r="Q275" s="11" t="s">
        <f t="shared" si="1240"/>
      </c>
      <c r="R275" s="11">
        <f t="shared" si="1246"/>
        <v>0</v>
      </c>
      <c r="S275" s="11">
        <f ref="S275:U275" t="shared" si="1566">E275</f>
        <v>0</v>
      </c>
      <c r="T275" s="11">
        <f t="shared" si="1566"/>
        <v>0</v>
      </c>
      <c r="U275" s="11">
        <f t="shared" si="1566"/>
        <v>0</v>
      </c>
      <c r="V275" s="11">
        <f t="shared" si="1241"/>
      </c>
      <c r="W275" s="11" t="s">
        <f t="shared" si="1239"/>
      </c>
      <c r="X275" s="11" t="s">
        <f t="shared" si="1244"/>
      </c>
    </row>
    <row r="276" ht="12.50" customHeight="true">
      <c r="A276" s="10"/>
      <c r="B276" s="11"/>
      <c r="C276" s="11"/>
      <c r="D276" s="11"/>
      <c r="E276" s="11"/>
      <c r="F276" s="11"/>
      <c r="G276" s="11"/>
      <c r="H276" s="11"/>
      <c r="I276" s="11"/>
      <c r="J276" s="11"/>
      <c r="K276" s="11" t="s">
        <f>""</f>
      </c>
      <c r="L276" s="11" t="s">
        <f t="shared" si="1247"/>
      </c>
      <c r="M276" s="8" t="s">
        <f t="shared" si="1245"/>
      </c>
      <c r="N276" s="11"/>
      <c r="O276" s="10">
        <f ref="O276:P276" t="shared" si="990">A276</f>
        <v>0</v>
      </c>
      <c r="P276" s="11">
        <f t="shared" si="990"/>
        <v>0</v>
      </c>
      <c r="Q276" s="11" t="s">
        <f t="shared" si="1240"/>
      </c>
      <c r="R276" s="11">
        <f t="shared" si="1246"/>
        <v>0</v>
      </c>
      <c r="S276" s="11">
        <f ref="S276:U276" t="shared" si="989">E276</f>
        <v>0</v>
      </c>
      <c r="T276" s="11">
        <f t="shared" si="989"/>
        <v>0</v>
      </c>
      <c r="U276" s="11">
        <f t="shared" si="989"/>
        <v>0</v>
      </c>
      <c r="V276" s="11">
        <f t="shared" si="1241"/>
      </c>
      <c r="W276" s="11" t="s">
        <f t="shared" si="1239"/>
      </c>
      <c r="X276" s="11" t="s">
        <f t="shared" si="1244"/>
      </c>
    </row>
    <row r="277" ht="12.50" customHeight="true">
      <c r="A277" s="10"/>
      <c r="B277" s="11"/>
      <c r="C277" s="11"/>
      <c r="D277" s="11"/>
      <c r="E277" s="11"/>
      <c r="F277" s="11"/>
      <c r="G277" s="11"/>
      <c r="H277" s="11"/>
      <c r="I277" s="11"/>
      <c r="J277" s="11"/>
      <c r="K277" s="11" t="s">
        <f>""</f>
      </c>
      <c r="L277" s="11" t="s">
        <f t="shared" si="1247"/>
      </c>
      <c r="M277" s="8" t="s">
        <f t="shared" si="1245"/>
      </c>
      <c r="N277" s="11"/>
      <c r="O277" s="10">
        <f ref="O277:P277" t="shared" si="1774">A277</f>
        <v>0</v>
      </c>
      <c r="P277" s="11">
        <f t="shared" si="1774"/>
        <v>0</v>
      </c>
      <c r="Q277" s="11" t="s">
        <f t="shared" si="1240"/>
      </c>
      <c r="R277" s="11">
        <f t="shared" si="1246"/>
        <v>0</v>
      </c>
      <c r="S277" s="11">
        <f ref="S277:U277" t="shared" si="1775">E277</f>
        <v>0</v>
      </c>
      <c r="T277" s="11">
        <f t="shared" si="1775"/>
        <v>0</v>
      </c>
      <c r="U277" s="11">
        <f t="shared" si="1775"/>
        <v>0</v>
      </c>
      <c r="V277" s="11">
        <f t="shared" si="1241"/>
      </c>
      <c r="W277" s="11" t="s">
        <f t="shared" si="1239"/>
      </c>
      <c r="X277" s="11" t="s">
        <f t="shared" si="1244"/>
      </c>
    </row>
    <row r="278" ht="12.50" customHeight="true">
      <c r="A278" s="10"/>
      <c r="B278" s="11"/>
      <c r="C278" s="11"/>
      <c r="D278" s="11"/>
      <c r="E278" s="11"/>
      <c r="F278" s="11"/>
      <c r="G278" s="11"/>
      <c r="H278" s="11"/>
      <c r="I278" s="11"/>
      <c r="J278" s="11"/>
      <c r="K278" s="11" t="s">
        <f>""</f>
      </c>
      <c r="L278" s="11" t="s">
        <f t="shared" si="1247"/>
      </c>
      <c r="M278" s="8" t="s">
        <f t="shared" si="1245"/>
      </c>
      <c r="N278" s="11"/>
      <c r="O278" s="10">
        <f ref="O278:P278" t="shared" si="363">A278</f>
        <v>0</v>
      </c>
      <c r="P278" s="11">
        <f t="shared" si="363"/>
        <v>0</v>
      </c>
      <c r="Q278" s="11" t="s">
        <f t="shared" si="1240"/>
      </c>
      <c r="R278" s="11">
        <f t="shared" si="1246"/>
        <v>0</v>
      </c>
      <c r="S278" s="11">
        <f ref="S278:U278" t="shared" si="362">E278</f>
        <v>0</v>
      </c>
      <c r="T278" s="11">
        <f t="shared" si="362"/>
        <v>0</v>
      </c>
      <c r="U278" s="11">
        <f t="shared" si="362"/>
        <v>0</v>
      </c>
      <c r="V278" s="11">
        <f t="shared" si="1241"/>
      </c>
      <c r="W278" s="11" t="s">
        <f t="shared" si="1239"/>
      </c>
      <c r="X278" s="11" t="s">
        <f t="shared" si="1244"/>
      </c>
    </row>
    <row r="279" ht="12.50" customHeight="true">
      <c r="A279" s="10"/>
      <c r="B279" s="11"/>
      <c r="C279" s="11"/>
      <c r="D279" s="11"/>
      <c r="E279" s="11"/>
      <c r="F279" s="11"/>
      <c r="G279" s="11"/>
      <c r="H279" s="11"/>
      <c r="I279" s="11"/>
      <c r="J279" s="11"/>
      <c r="K279" s="11" t="s">
        <f>""</f>
      </c>
      <c r="L279" s="11" t="s">
        <f t="shared" si="1247"/>
      </c>
      <c r="M279" s="8" t="s">
        <f t="shared" si="1245"/>
      </c>
      <c r="N279" s="11"/>
      <c r="O279" s="10">
        <f ref="O279:P279" t="shared" si="1578">A279</f>
        <v>0</v>
      </c>
      <c r="P279" s="11">
        <f t="shared" si="1578"/>
        <v>0</v>
      </c>
      <c r="Q279" s="11" t="s">
        <f t="shared" si="1240"/>
      </c>
      <c r="R279" s="11">
        <f t="shared" si="1246"/>
        <v>0</v>
      </c>
      <c r="S279" s="11">
        <f ref="S279:U279" t="shared" si="1579">E279</f>
        <v>0</v>
      </c>
      <c r="T279" s="11">
        <f t="shared" si="1579"/>
        <v>0</v>
      </c>
      <c r="U279" s="11">
        <f t="shared" si="1579"/>
        <v>0</v>
      </c>
      <c r="V279" s="11">
        <f t="shared" si="1241"/>
      </c>
      <c r="W279" s="11" t="s">
        <f t="shared" si="1239"/>
      </c>
      <c r="X279" s="11" t="s">
        <f t="shared" si="1244"/>
      </c>
    </row>
    <row r="280" ht="12.50" customHeight="true">
      <c r="A280" s="10"/>
      <c r="B280" s="11"/>
      <c r="C280" s="11"/>
      <c r="D280" s="11"/>
      <c r="E280" s="11"/>
      <c r="F280" s="11"/>
      <c r="G280" s="11"/>
      <c r="H280" s="11"/>
      <c r="I280" s="11"/>
      <c r="J280" s="11"/>
      <c r="K280" s="11" t="s">
        <f>""</f>
      </c>
      <c r="L280" s="11" t="s">
        <f t="shared" si="1247"/>
      </c>
      <c r="M280" s="8" t="s">
        <f t="shared" si="1245"/>
      </c>
      <c r="N280" s="11"/>
      <c r="O280" s="10">
        <f ref="O280:P280" t="shared" si="197">A280</f>
        <v>0</v>
      </c>
      <c r="P280" s="11">
        <f t="shared" si="197"/>
        <v>0</v>
      </c>
      <c r="Q280" s="11" t="s">
        <f t="shared" si="1240"/>
      </c>
      <c r="R280" s="11">
        <f t="shared" si="1246"/>
        <v>0</v>
      </c>
      <c r="S280" s="11">
        <f ref="S280:U280" t="shared" si="198">E280</f>
        <v>0</v>
      </c>
      <c r="T280" s="11">
        <f t="shared" si="198"/>
        <v>0</v>
      </c>
      <c r="U280" s="11">
        <f t="shared" si="198"/>
        <v>0</v>
      </c>
      <c r="V280" s="11">
        <f t="shared" si="1241"/>
      </c>
      <c r="W280" s="11" t="s">
        <f t="shared" si="1239"/>
      </c>
      <c r="X280" s="11" t="s">
        <f t="shared" si="1244"/>
      </c>
    </row>
    <row r="281" ht="12.50" customHeight="true">
      <c r="A281" s="10"/>
      <c r="B281" s="11"/>
      <c r="C281" s="11"/>
      <c r="D281" s="11"/>
      <c r="E281" s="11"/>
      <c r="F281" s="11"/>
      <c r="G281" s="11"/>
      <c r="H281" s="11"/>
      <c r="I281" s="11"/>
      <c r="J281" s="11"/>
      <c r="K281" s="11" t="s">
        <f>""</f>
      </c>
      <c r="L281" s="11" t="s">
        <f t="shared" si="1247"/>
      </c>
      <c r="M281" s="8" t="s">
        <f t="shared" si="1245"/>
      </c>
      <c r="N281" s="11"/>
      <c r="O281" s="10">
        <f ref="O281:P281" t="shared" si="413">A281</f>
        <v>0</v>
      </c>
      <c r="P281" s="11">
        <f t="shared" si="413"/>
        <v>0</v>
      </c>
      <c r="Q281" s="11" t="s">
        <f t="shared" si="1240"/>
      </c>
      <c r="R281" s="11">
        <f t="shared" si="1246"/>
        <v>0</v>
      </c>
      <c r="S281" s="11">
        <f ref="S281:U281" t="shared" si="412">E281</f>
        <v>0</v>
      </c>
      <c r="T281" s="11">
        <f t="shared" si="412"/>
        <v>0</v>
      </c>
      <c r="U281" s="11">
        <f t="shared" si="412"/>
        <v>0</v>
      </c>
      <c r="V281" s="11">
        <f t="shared" si="1241"/>
      </c>
      <c r="W281" s="11" t="s">
        <f t="shared" si="1239"/>
      </c>
      <c r="X281" s="11" t="s">
        <f t="shared" si="1244"/>
      </c>
    </row>
    <row r="282" ht="12.50" customHeight="true">
      <c r="A282" s="10"/>
      <c r="B282" s="11"/>
      <c r="C282" s="11"/>
      <c r="D282" s="11"/>
      <c r="E282" s="11"/>
      <c r="F282" s="11"/>
      <c r="G282" s="11"/>
      <c r="H282" s="11"/>
      <c r="I282" s="11"/>
      <c r="J282" s="11"/>
      <c r="K282" s="11" t="s">
        <f>""</f>
      </c>
      <c r="L282" s="11" t="s">
        <f t="shared" si="1247"/>
      </c>
      <c r="M282" s="8" t="s">
        <f t="shared" si="1245"/>
      </c>
      <c r="N282" s="11"/>
      <c r="O282" s="10">
        <f ref="O282:P282" t="shared" si="1288">A282</f>
        <v>0</v>
      </c>
      <c r="P282" s="11">
        <f t="shared" si="1288"/>
        <v>0</v>
      </c>
      <c r="Q282" s="11" t="s">
        <f t="shared" si="1240"/>
      </c>
      <c r="R282" s="11">
        <f t="shared" si="1246"/>
        <v>0</v>
      </c>
      <c r="S282" s="11">
        <f ref="S282:U282" t="shared" si="1289">E282</f>
        <v>0</v>
      </c>
      <c r="T282" s="11">
        <f t="shared" si="1289"/>
        <v>0</v>
      </c>
      <c r="U282" s="11">
        <f t="shared" si="1289"/>
        <v>0</v>
      </c>
      <c r="V282" s="11">
        <f t="shared" si="1241"/>
      </c>
      <c r="W282" s="11" t="s">
        <f t="shared" si="1239"/>
      </c>
      <c r="X282" s="11" t="s">
        <f t="shared" si="1244"/>
      </c>
    </row>
    <row r="283" ht="12.50" customHeight="true">
      <c r="A283" s="10"/>
      <c r="B283" s="11"/>
      <c r="C283" s="11"/>
      <c r="D283" s="11"/>
      <c r="E283" s="11"/>
      <c r="F283" s="11"/>
      <c r="G283" s="11"/>
      <c r="H283" s="11"/>
      <c r="I283" s="11"/>
      <c r="J283" s="11"/>
      <c r="K283" s="11" t="s">
        <f>""</f>
      </c>
      <c r="L283" s="11" t="s">
        <f t="shared" si="1247"/>
      </c>
      <c r="M283" s="8" t="s">
        <f t="shared" si="1245"/>
      </c>
      <c r="N283" s="11"/>
      <c r="O283" s="10">
        <f ref="O283:P283" t="shared" si="1489">A283</f>
        <v>0</v>
      </c>
      <c r="P283" s="11">
        <f t="shared" si="1489"/>
        <v>0</v>
      </c>
      <c r="Q283" s="11" t="s">
        <f t="shared" si="1240"/>
      </c>
      <c r="R283" s="11">
        <f t="shared" si="1246"/>
        <v>0</v>
      </c>
      <c r="S283" s="11">
        <f ref="S283:U283" t="shared" si="1488">E283</f>
        <v>0</v>
      </c>
      <c r="T283" s="11">
        <f t="shared" si="1488"/>
        <v>0</v>
      </c>
      <c r="U283" s="11">
        <f t="shared" si="1488"/>
        <v>0</v>
      </c>
      <c r="V283" s="11">
        <f t="shared" si="1241"/>
      </c>
      <c r="W283" s="11" t="s">
        <f t="shared" si="1239"/>
      </c>
      <c r="X283" s="11" t="s">
        <f t="shared" si="1244"/>
      </c>
    </row>
    <row r="284" ht="12.50" customHeight="true">
      <c r="A284" s="10"/>
      <c r="B284" s="11"/>
      <c r="C284" s="11"/>
      <c r="D284" s="11"/>
      <c r="E284" s="11"/>
      <c r="F284" s="11"/>
      <c r="G284" s="11"/>
      <c r="H284" s="11"/>
      <c r="I284" s="11"/>
      <c r="J284" s="11"/>
      <c r="K284" s="11" t="s">
        <f>""</f>
      </c>
      <c r="L284" s="11" t="s">
        <f t="shared" si="1247"/>
      </c>
      <c r="M284" s="8" t="s">
        <f t="shared" si="1245"/>
      </c>
      <c r="N284" s="11"/>
      <c r="O284" s="10">
        <f ref="O284:P284" t="shared" si="1640">A284</f>
        <v>0</v>
      </c>
      <c r="P284" s="11">
        <f t="shared" si="1640"/>
        <v>0</v>
      </c>
      <c r="Q284" s="11" t="s">
        <f t="shared" si="1240"/>
      </c>
      <c r="R284" s="11">
        <f t="shared" si="1246"/>
        <v>0</v>
      </c>
      <c r="S284" s="11">
        <f ref="S284:U284" t="shared" si="1641">E284</f>
        <v>0</v>
      </c>
      <c r="T284" s="11">
        <f t="shared" si="1641"/>
        <v>0</v>
      </c>
      <c r="U284" s="11">
        <f t="shared" si="1641"/>
        <v>0</v>
      </c>
      <c r="V284" s="11">
        <f t="shared" si="1241"/>
      </c>
      <c r="W284" s="11" t="s">
        <f t="shared" si="1239"/>
      </c>
      <c r="X284" s="11" t="s">
        <f t="shared" si="1244"/>
      </c>
    </row>
    <row r="285" ht="12.50" customHeight="true">
      <c r="A285" s="10"/>
      <c r="B285" s="11"/>
      <c r="C285" s="11"/>
      <c r="D285" s="11"/>
      <c r="E285" s="11"/>
      <c r="F285" s="11"/>
      <c r="G285" s="11"/>
      <c r="H285" s="11"/>
      <c r="I285" s="11"/>
      <c r="J285" s="11"/>
      <c r="K285" s="11" t="s">
        <f>""</f>
      </c>
      <c r="L285" s="11" t="s">
        <f t="shared" si="1247"/>
      </c>
      <c r="M285" s="8" t="s">
        <f t="shared" si="1245"/>
      </c>
      <c r="N285" s="11"/>
      <c r="O285" s="10">
        <f ref="O285:P285" t="shared" si="1028">A285</f>
        <v>0</v>
      </c>
      <c r="P285" s="11">
        <f t="shared" si="1028"/>
        <v>0</v>
      </c>
      <c r="Q285" s="11" t="s">
        <f t="shared" si="1240"/>
      </c>
      <c r="R285" s="11">
        <f t="shared" si="1246"/>
        <v>0</v>
      </c>
      <c r="S285" s="11">
        <f ref="S285:U285" t="shared" si="1027">E285</f>
        <v>0</v>
      </c>
      <c r="T285" s="11">
        <f t="shared" si="1027"/>
        <v>0</v>
      </c>
      <c r="U285" s="11">
        <f t="shared" si="1027"/>
        <v>0</v>
      </c>
      <c r="V285" s="11">
        <f t="shared" si="1241"/>
      </c>
      <c r="W285" s="11" t="s">
        <f t="shared" si="1239"/>
      </c>
      <c r="X285" s="11" t="s">
        <f t="shared" si="1244"/>
      </c>
    </row>
    <row r="286" ht="12.50" customHeight="true">
      <c r="A286" s="10"/>
      <c r="B286" s="11"/>
      <c r="C286" s="11"/>
      <c r="D286" s="11"/>
      <c r="E286" s="11"/>
      <c r="F286" s="11"/>
      <c r="G286" s="11"/>
      <c r="H286" s="11"/>
      <c r="I286" s="11"/>
      <c r="J286" s="11"/>
      <c r="K286" s="11" t="s">
        <f>""</f>
      </c>
      <c r="L286" s="11" t="s">
        <f t="shared" si="1247"/>
      </c>
      <c r="M286" s="8" t="s">
        <f t="shared" si="1245"/>
      </c>
      <c r="N286" s="11"/>
      <c r="O286" s="10">
        <f ref="O286:P286" t="shared" si="1996">A286</f>
        <v>0</v>
      </c>
      <c r="P286" s="11">
        <f t="shared" si="1996"/>
        <v>0</v>
      </c>
      <c r="Q286" s="11" t="s">
        <f t="shared" si="1240"/>
      </c>
      <c r="R286" s="11">
        <f t="shared" si="1246"/>
        <v>0</v>
      </c>
      <c r="S286" s="11">
        <f ref="S286:U286" t="shared" si="1997">E286</f>
        <v>0</v>
      </c>
      <c r="T286" s="11">
        <f t="shared" si="1997"/>
        <v>0</v>
      </c>
      <c r="U286" s="11">
        <f t="shared" si="1997"/>
        <v>0</v>
      </c>
      <c r="V286" s="11">
        <f t="shared" si="1241"/>
      </c>
      <c r="W286" s="11" t="s">
        <f t="shared" si="1239"/>
      </c>
      <c r="X286" s="11" t="s">
        <f t="shared" si="1244"/>
      </c>
    </row>
    <row r="287" ht="12.50" customHeight="true">
      <c r="A287" s="10"/>
      <c r="B287" s="11"/>
      <c r="C287" s="11"/>
      <c r="D287" s="11"/>
      <c r="E287" s="11"/>
      <c r="F287" s="11"/>
      <c r="G287" s="11"/>
      <c r="H287" s="11"/>
      <c r="I287" s="11"/>
      <c r="J287" s="11"/>
      <c r="K287" s="11" t="s">
        <f>""</f>
      </c>
      <c r="L287" s="11" t="s">
        <f t="shared" si="1247"/>
      </c>
      <c r="M287" s="8" t="s">
        <f t="shared" si="1245"/>
      </c>
      <c r="N287" s="11"/>
      <c r="O287" s="10">
        <f ref="O287:P287" t="shared" si="1369">A287</f>
        <v>0</v>
      </c>
      <c r="P287" s="11">
        <f t="shared" si="1369"/>
        <v>0</v>
      </c>
      <c r="Q287" s="11" t="s">
        <f t="shared" si="1240"/>
      </c>
      <c r="R287" s="11">
        <f t="shared" si="1246"/>
        <v>0</v>
      </c>
      <c r="S287" s="11">
        <f ref="S287:U287" t="shared" si="1368">E287</f>
        <v>0</v>
      </c>
      <c r="T287" s="11">
        <f t="shared" si="1368"/>
        <v>0</v>
      </c>
      <c r="U287" s="11">
        <f t="shared" si="1368"/>
        <v>0</v>
      </c>
      <c r="V287" s="11">
        <f t="shared" si="1241"/>
      </c>
      <c r="W287" s="11" t="s">
        <f t="shared" si="1239"/>
      </c>
      <c r="X287" s="11" t="s">
        <f t="shared" si="1244"/>
      </c>
    </row>
    <row r="288" ht="12.50" customHeight="true">
      <c r="A288" s="10"/>
      <c r="B288" s="11"/>
      <c r="C288" s="11"/>
      <c r="D288" s="11"/>
      <c r="E288" s="11"/>
      <c r="F288" s="11"/>
      <c r="G288" s="11"/>
      <c r="H288" s="11"/>
      <c r="I288" s="11"/>
      <c r="J288" s="11"/>
      <c r="K288" s="11" t="s">
        <f>""</f>
      </c>
      <c r="L288" s="11" t="s">
        <f t="shared" si="1247"/>
      </c>
      <c r="M288" s="8" t="s">
        <f t="shared" si="1245"/>
      </c>
      <c r="N288" s="11"/>
      <c r="O288" s="10">
        <f ref="O288:P288" t="shared" si="1935">A288</f>
        <v>0</v>
      </c>
      <c r="P288" s="11">
        <f t="shared" si="1935"/>
        <v>0</v>
      </c>
      <c r="Q288" s="11" t="s">
        <f t="shared" si="1240"/>
      </c>
      <c r="R288" s="11">
        <f t="shared" si="1246"/>
        <v>0</v>
      </c>
      <c r="S288" s="11">
        <f ref="S288:U288" t="shared" si="1934">E288</f>
        <v>0</v>
      </c>
      <c r="T288" s="11">
        <f t="shared" si="1934"/>
        <v>0</v>
      </c>
      <c r="U288" s="11">
        <f t="shared" si="1934"/>
        <v>0</v>
      </c>
      <c r="V288" s="11">
        <f t="shared" si="1241"/>
      </c>
      <c r="W288" s="11" t="s">
        <f t="shared" si="1239"/>
      </c>
      <c r="X288" s="11" t="s">
        <f t="shared" si="1244"/>
      </c>
    </row>
    <row r="289" ht="12.50" customHeight="true">
      <c r="A289" s="10"/>
      <c r="B289" s="11"/>
      <c r="C289" s="11"/>
      <c r="D289" s="11"/>
      <c r="E289" s="11"/>
      <c r="F289" s="11"/>
      <c r="G289" s="11"/>
      <c r="H289" s="11"/>
      <c r="I289" s="11"/>
      <c r="J289" s="11"/>
      <c r="K289" s="11" t="s">
        <f>""</f>
      </c>
      <c r="L289" s="11" t="s">
        <f t="shared" si="1247"/>
      </c>
      <c r="M289" s="8" t="s">
        <f t="shared" si="1245"/>
      </c>
      <c r="N289" s="11"/>
      <c r="O289" s="10">
        <f ref="O289:P289" t="shared" si="567">A289</f>
        <v>0</v>
      </c>
      <c r="P289" s="11">
        <f t="shared" si="567"/>
        <v>0</v>
      </c>
      <c r="Q289" s="11" t="s">
        <f t="shared" si="1240"/>
      </c>
      <c r="R289" s="11">
        <f t="shared" si="1246"/>
        <v>0</v>
      </c>
      <c r="S289" s="11">
        <f ref="S289:U289" t="shared" si="566">E289</f>
        <v>0</v>
      </c>
      <c r="T289" s="11">
        <f t="shared" si="566"/>
        <v>0</v>
      </c>
      <c r="U289" s="11">
        <f t="shared" si="566"/>
        <v>0</v>
      </c>
      <c r="V289" s="11">
        <f t="shared" si="1241"/>
      </c>
      <c r="W289" s="11" t="s">
        <f t="shared" si="1239"/>
      </c>
      <c r="X289" s="11" t="s">
        <f t="shared" si="1244"/>
      </c>
    </row>
    <row r="290" ht="12.50" customHeight="true">
      <c r="A290" s="10"/>
      <c r="B290" s="11"/>
      <c r="C290" s="11"/>
      <c r="D290" s="11"/>
      <c r="E290" s="11"/>
      <c r="F290" s="11"/>
      <c r="G290" s="11"/>
      <c r="H290" s="11"/>
      <c r="I290" s="11"/>
      <c r="J290" s="11"/>
      <c r="K290" s="11" t="s">
        <f>""</f>
      </c>
      <c r="L290" s="11" t="s">
        <f t="shared" si="1247"/>
      </c>
      <c r="M290" s="8" t="s">
        <f t="shared" si="1245"/>
      </c>
      <c r="N290" s="11"/>
      <c r="O290" s="10">
        <f ref="O290:P290" t="shared" si="920">A290</f>
        <v>0</v>
      </c>
      <c r="P290" s="11">
        <f t="shared" si="920"/>
        <v>0</v>
      </c>
      <c r="Q290" s="11" t="s">
        <f t="shared" si="1240"/>
      </c>
      <c r="R290" s="11">
        <f t="shared" si="1246"/>
        <v>0</v>
      </c>
      <c r="S290" s="11">
        <f ref="S290:U290" t="shared" si="921">E290</f>
        <v>0</v>
      </c>
      <c r="T290" s="11">
        <f t="shared" si="921"/>
        <v>0</v>
      </c>
      <c r="U290" s="11">
        <f t="shared" si="921"/>
        <v>0</v>
      </c>
      <c r="V290" s="11">
        <f t="shared" si="1241"/>
      </c>
      <c r="W290" s="11" t="s">
        <f t="shared" si="1239"/>
      </c>
      <c r="X290" s="11" t="s">
        <f t="shared" si="1244"/>
      </c>
    </row>
    <row r="291" ht="12.50" customHeight="true">
      <c r="A291" s="10"/>
      <c r="B291" s="11"/>
      <c r="C291" s="11"/>
      <c r="D291" s="11"/>
      <c r="E291" s="11"/>
      <c r="F291" s="11"/>
      <c r="G291" s="11"/>
      <c r="H291" s="11"/>
      <c r="I291" s="11"/>
      <c r="J291" s="11"/>
      <c r="K291" s="11" t="s">
        <f>""</f>
      </c>
      <c r="L291" s="11" t="s">
        <f t="shared" si="1247"/>
      </c>
      <c r="M291" s="8" t="s">
        <f t="shared" si="1245"/>
      </c>
      <c r="N291" s="11"/>
      <c r="O291" s="10">
        <f ref="O291:P291" t="shared" si="257">A291</f>
        <v>0</v>
      </c>
      <c r="P291" s="11">
        <f t="shared" si="257"/>
        <v>0</v>
      </c>
      <c r="Q291" s="11" t="s">
        <f t="shared" si="1240"/>
      </c>
      <c r="R291" s="11">
        <f t="shared" si="1246"/>
        <v>0</v>
      </c>
      <c r="S291" s="11">
        <f ref="S291:U291" t="shared" si="256">E291</f>
        <v>0</v>
      </c>
      <c r="T291" s="11">
        <f t="shared" si="256"/>
        <v>0</v>
      </c>
      <c r="U291" s="11">
        <f t="shared" si="256"/>
        <v>0</v>
      </c>
      <c r="V291" s="11">
        <f t="shared" si="1241"/>
      </c>
      <c r="W291" s="11" t="s">
        <f t="shared" si="1239"/>
      </c>
      <c r="X291" s="11" t="s">
        <f t="shared" si="1244"/>
      </c>
    </row>
    <row r="292" ht="12.50" customHeight="true">
      <c r="A292" s="10"/>
      <c r="B292" s="11"/>
      <c r="C292" s="11"/>
      <c r="D292" s="11"/>
      <c r="E292" s="11"/>
      <c r="F292" s="11"/>
      <c r="G292" s="11"/>
      <c r="H292" s="11"/>
      <c r="I292" s="11"/>
      <c r="J292" s="11"/>
      <c r="K292" s="11" t="s">
        <f>""</f>
      </c>
      <c r="L292" s="11" t="s">
        <f t="shared" si="1247"/>
      </c>
      <c r="M292" s="8" t="s">
        <f t="shared" si="1245"/>
      </c>
      <c r="N292" s="11"/>
      <c r="O292" s="10">
        <f ref="O292:P292" t="shared" si="848">A292</f>
        <v>0</v>
      </c>
      <c r="P292" s="11">
        <f t="shared" si="848"/>
        <v>0</v>
      </c>
      <c r="Q292" s="11" t="s">
        <f t="shared" si="1240"/>
      </c>
      <c r="R292" s="11">
        <f t="shared" si="1246"/>
        <v>0</v>
      </c>
      <c r="S292" s="11">
        <f ref="S292:U292" t="shared" si="849">E292</f>
        <v>0</v>
      </c>
      <c r="T292" s="11">
        <f t="shared" si="849"/>
        <v>0</v>
      </c>
      <c r="U292" s="11">
        <f t="shared" si="849"/>
        <v>0</v>
      </c>
      <c r="V292" s="11">
        <f t="shared" si="1241"/>
      </c>
      <c r="W292" s="11" t="s">
        <f t="shared" si="1239"/>
      </c>
      <c r="X292" s="11" t="s">
        <f t="shared" si="1244"/>
      </c>
    </row>
    <row r="293" ht="12.50" customHeight="true">
      <c r="A293" s="10"/>
      <c r="B293" s="11"/>
      <c r="C293" s="11"/>
      <c r="D293" s="11"/>
      <c r="E293" s="11"/>
      <c r="F293" s="11"/>
      <c r="G293" s="11"/>
      <c r="H293" s="11"/>
      <c r="I293" s="11"/>
      <c r="J293" s="11"/>
      <c r="K293" s="11" t="s">
        <f>""</f>
      </c>
      <c r="L293" s="11" t="s">
        <f t="shared" si="1247"/>
      </c>
      <c r="M293" s="8" t="s">
        <f t="shared" si="1245"/>
      </c>
      <c r="N293" s="11"/>
      <c r="O293" s="10">
        <f ref="O293:P293" t="shared" si="1372">A293</f>
        <v>0</v>
      </c>
      <c r="P293" s="11">
        <f t="shared" si="1372"/>
        <v>0</v>
      </c>
      <c r="Q293" s="11" t="s">
        <f t="shared" si="1240"/>
      </c>
      <c r="R293" s="11">
        <f t="shared" si="1246"/>
        <v>0</v>
      </c>
      <c r="S293" s="11">
        <f ref="S293:U293" t="shared" si="1373">E293</f>
        <v>0</v>
      </c>
      <c r="T293" s="11">
        <f t="shared" si="1373"/>
        <v>0</v>
      </c>
      <c r="U293" s="11">
        <f t="shared" si="1373"/>
        <v>0</v>
      </c>
      <c r="V293" s="11">
        <f t="shared" si="1241"/>
      </c>
      <c r="W293" s="11" t="s">
        <f t="shared" si="1239"/>
      </c>
      <c r="X293" s="11" t="s">
        <f t="shared" si="1244"/>
      </c>
    </row>
    <row r="294" ht="12.50" customHeight="true">
      <c r="A294" s="10"/>
      <c r="B294" s="11"/>
      <c r="C294" s="11"/>
      <c r="D294" s="11"/>
      <c r="E294" s="11"/>
      <c r="F294" s="11"/>
      <c r="G294" s="11"/>
      <c r="H294" s="11"/>
      <c r="I294" s="11"/>
      <c r="J294" s="11"/>
      <c r="K294" s="11" t="s">
        <f>""</f>
      </c>
      <c r="L294" s="11" t="s">
        <f t="shared" si="1247"/>
      </c>
      <c r="M294" s="8" t="s">
        <f t="shared" si="1245"/>
      </c>
      <c r="N294" s="11"/>
      <c r="O294" s="10">
        <f ref="O294:P294" t="shared" si="89">A294</f>
        <v>0</v>
      </c>
      <c r="P294" s="11">
        <f t="shared" si="89"/>
        <v>0</v>
      </c>
      <c r="Q294" s="11" t="s">
        <f t="shared" si="1240"/>
      </c>
      <c r="R294" s="11">
        <f t="shared" si="1246"/>
        <v>0</v>
      </c>
      <c r="S294" s="11">
        <f ref="S294:U294" t="shared" si="88">E294</f>
        <v>0</v>
      </c>
      <c r="T294" s="11">
        <f t="shared" si="88"/>
        <v>0</v>
      </c>
      <c r="U294" s="11">
        <f t="shared" si="88"/>
        <v>0</v>
      </c>
      <c r="V294" s="11">
        <f t="shared" si="1241"/>
      </c>
      <c r="W294" s="11" t="s">
        <f t="shared" si="1239"/>
      </c>
      <c r="X294" s="11" t="s">
        <f t="shared" si="1244"/>
      </c>
    </row>
    <row r="295" ht="12.50" customHeight="true">
      <c r="A295" s="10"/>
      <c r="B295" s="11"/>
      <c r="C295" s="11"/>
      <c r="D295" s="11"/>
      <c r="E295" s="11"/>
      <c r="F295" s="11"/>
      <c r="G295" s="11"/>
      <c r="H295" s="11"/>
      <c r="I295" s="11"/>
      <c r="J295" s="11"/>
      <c r="K295" s="11" t="s">
        <f>""</f>
      </c>
      <c r="L295" s="11" t="s">
        <f t="shared" si="1247"/>
      </c>
      <c r="M295" s="8" t="s">
        <f t="shared" si="1245"/>
      </c>
      <c r="N295" s="11"/>
      <c r="O295" s="10">
        <f ref="O295:P295" t="shared" si="1797">A295</f>
        <v>0</v>
      </c>
      <c r="P295" s="11">
        <f t="shared" si="1797"/>
        <v>0</v>
      </c>
      <c r="Q295" s="11" t="s">
        <f t="shared" si="1240"/>
      </c>
      <c r="R295" s="11">
        <f t="shared" si="1246"/>
        <v>0</v>
      </c>
      <c r="S295" s="11">
        <f ref="S295:U295" t="shared" si="1796">E295</f>
        <v>0</v>
      </c>
      <c r="T295" s="11">
        <f t="shared" si="1796"/>
        <v>0</v>
      </c>
      <c r="U295" s="11">
        <f t="shared" si="1796"/>
        <v>0</v>
      </c>
      <c r="V295" s="11">
        <f t="shared" si="1241"/>
      </c>
      <c r="W295" s="11" t="s">
        <f t="shared" si="1239"/>
      </c>
      <c r="X295" s="11" t="s">
        <f t="shared" si="1244"/>
      </c>
    </row>
    <row r="296" ht="12.50" customHeight="true">
      <c r="A296" s="10"/>
      <c r="B296" s="11"/>
      <c r="C296" s="11"/>
      <c r="D296" s="11"/>
      <c r="E296" s="11"/>
      <c r="F296" s="11"/>
      <c r="G296" s="11"/>
      <c r="H296" s="11"/>
      <c r="I296" s="11"/>
      <c r="J296" s="11"/>
      <c r="K296" s="11" t="s">
        <f>""</f>
      </c>
      <c r="L296" s="11" t="s">
        <f t="shared" si="1247"/>
      </c>
      <c r="M296" s="8" t="s">
        <f t="shared" si="1245"/>
      </c>
      <c r="N296" s="11"/>
      <c r="O296" s="10">
        <f ref="O296:P296" t="shared" si="1032">A296</f>
        <v>0</v>
      </c>
      <c r="P296" s="11">
        <f t="shared" si="1032"/>
        <v>0</v>
      </c>
      <c r="Q296" s="11" t="s">
        <f t="shared" si="1240"/>
      </c>
      <c r="R296" s="11">
        <f t="shared" si="1246"/>
        <v>0</v>
      </c>
      <c r="S296" s="11">
        <f ref="S296:U296" t="shared" si="1031">E296</f>
        <v>0</v>
      </c>
      <c r="T296" s="11">
        <f t="shared" si="1031"/>
        <v>0</v>
      </c>
      <c r="U296" s="11">
        <f t="shared" si="1031"/>
        <v>0</v>
      </c>
      <c r="V296" s="11">
        <f t="shared" si="1241"/>
      </c>
      <c r="W296" s="11" t="s">
        <f t="shared" si="1239"/>
      </c>
      <c r="X296" s="11" t="s">
        <f t="shared" si="1244"/>
      </c>
    </row>
    <row r="297" ht="12.50" customHeight="true">
      <c r="A297" s="10"/>
      <c r="B297" s="11"/>
      <c r="C297" s="11"/>
      <c r="D297" s="11"/>
      <c r="E297" s="11"/>
      <c r="F297" s="11"/>
      <c r="G297" s="11"/>
      <c r="H297" s="11"/>
      <c r="I297" s="11"/>
      <c r="J297" s="11"/>
      <c r="K297" s="11" t="s">
        <f>""</f>
      </c>
      <c r="L297" s="11" t="s">
        <f t="shared" si="1247"/>
      </c>
      <c r="M297" s="8" t="s">
        <f t="shared" si="1245"/>
      </c>
      <c r="N297" s="11"/>
      <c r="O297" s="10">
        <f ref="O297:P297" t="shared" si="169">A297</f>
        <v>0</v>
      </c>
      <c r="P297" s="11">
        <f t="shared" si="169"/>
        <v>0</v>
      </c>
      <c r="Q297" s="11" t="s">
        <f t="shared" si="1240"/>
      </c>
      <c r="R297" s="11">
        <f t="shared" si="1246"/>
        <v>0</v>
      </c>
      <c r="S297" s="11">
        <f ref="S297:U297" t="shared" si="170">E297</f>
        <v>0</v>
      </c>
      <c r="T297" s="11">
        <f t="shared" si="170"/>
        <v>0</v>
      </c>
      <c r="U297" s="11">
        <f t="shared" si="170"/>
        <v>0</v>
      </c>
      <c r="V297" s="11">
        <f t="shared" si="1241"/>
      </c>
      <c r="W297" s="11" t="s">
        <f t="shared" si="1239"/>
      </c>
      <c r="X297" s="11" t="s">
        <f t="shared" si="1244"/>
      </c>
    </row>
    <row r="298" ht="12.50" customHeight="true">
      <c r="A298" s="10"/>
      <c r="B298" s="11"/>
      <c r="C298" s="11"/>
      <c r="D298" s="11"/>
      <c r="E298" s="11"/>
      <c r="F298" s="11"/>
      <c r="G298" s="11"/>
      <c r="H298" s="11"/>
      <c r="I298" s="11"/>
      <c r="J298" s="11"/>
      <c r="K298" s="11" t="s">
        <f>""</f>
      </c>
      <c r="L298" s="11" t="s">
        <f t="shared" si="1247"/>
      </c>
      <c r="M298" s="8" t="s">
        <f t="shared" si="1245"/>
      </c>
      <c r="N298" s="11"/>
      <c r="O298" s="10">
        <f ref="O298:P298" t="shared" si="1415">A298</f>
        <v>0</v>
      </c>
      <c r="P298" s="11">
        <f t="shared" si="1415"/>
        <v>0</v>
      </c>
      <c r="Q298" s="11" t="s">
        <f t="shared" si="1240"/>
      </c>
      <c r="R298" s="11">
        <f t="shared" si="1246"/>
        <v>0</v>
      </c>
      <c r="S298" s="11">
        <f ref="S298:U298" t="shared" si="1414">E298</f>
        <v>0</v>
      </c>
      <c r="T298" s="11">
        <f t="shared" si="1414"/>
        <v>0</v>
      </c>
      <c r="U298" s="11">
        <f t="shared" si="1414"/>
        <v>0</v>
      </c>
      <c r="V298" s="11">
        <f t="shared" si="1241"/>
      </c>
      <c r="W298" s="11" t="s">
        <f t="shared" si="1239"/>
      </c>
      <c r="X298" s="11" t="s">
        <f t="shared" si="1244"/>
      </c>
    </row>
    <row r="299" ht="12.50" customHeight="true">
      <c r="A299" s="10"/>
      <c r="B299" s="11"/>
      <c r="C299" s="11"/>
      <c r="D299" s="11"/>
      <c r="E299" s="11"/>
      <c r="F299" s="11"/>
      <c r="G299" s="11"/>
      <c r="H299" s="11"/>
      <c r="I299" s="11"/>
      <c r="J299" s="11"/>
      <c r="K299" s="11" t="s">
        <f>""</f>
      </c>
      <c r="L299" s="11" t="s">
        <f t="shared" si="1247"/>
      </c>
      <c r="M299" s="8" t="s">
        <f t="shared" si="1245"/>
      </c>
      <c r="N299" s="11"/>
      <c r="O299" s="10">
        <f ref="O299:P299" t="shared" si="1632">A299</f>
        <v>0</v>
      </c>
      <c r="P299" s="11">
        <f t="shared" si="1632"/>
        <v>0</v>
      </c>
      <c r="Q299" s="11" t="s">
        <f t="shared" si="1240"/>
      </c>
      <c r="R299" s="11">
        <f t="shared" si="1246"/>
        <v>0</v>
      </c>
      <c r="S299" s="11">
        <f ref="S299:U299" t="shared" si="1633">E299</f>
        <v>0</v>
      </c>
      <c r="T299" s="11">
        <f t="shared" si="1633"/>
        <v>0</v>
      </c>
      <c r="U299" s="11">
        <f t="shared" si="1633"/>
        <v>0</v>
      </c>
      <c r="V299" s="11">
        <f t="shared" si="1241"/>
      </c>
      <c r="W299" s="11" t="s">
        <f t="shared" si="1239"/>
      </c>
      <c r="X299" s="11" t="s">
        <f t="shared" si="1244"/>
      </c>
    </row>
    <row r="300" ht="12.50" customHeight="true">
      <c r="A300" s="10"/>
      <c r="B300" s="11"/>
      <c r="C300" s="11"/>
      <c r="D300" s="11"/>
      <c r="E300" s="11"/>
      <c r="F300" s="11"/>
      <c r="G300" s="11"/>
      <c r="H300" s="11"/>
      <c r="I300" s="11"/>
      <c r="J300" s="11"/>
      <c r="K300" s="11" t="s">
        <f>""</f>
      </c>
      <c r="L300" s="11" t="s">
        <f t="shared" si="1247"/>
      </c>
      <c r="M300" s="8" t="s">
        <f t="shared" si="1245"/>
      </c>
      <c r="N300" s="11"/>
      <c r="O300" s="10">
        <f ref="O300:P300" t="shared" si="68">A300</f>
        <v>0</v>
      </c>
      <c r="P300" s="11">
        <f t="shared" si="68"/>
        <v>0</v>
      </c>
      <c r="Q300" s="11" t="s">
        <f t="shared" si="1240"/>
      </c>
      <c r="R300" s="11">
        <f t="shared" si="1246"/>
        <v>0</v>
      </c>
      <c r="S300" s="11">
        <f ref="S300:U300" t="shared" si="69">E300</f>
        <v>0</v>
      </c>
      <c r="T300" s="11">
        <f t="shared" si="69"/>
        <v>0</v>
      </c>
      <c r="U300" s="11">
        <f t="shared" si="69"/>
        <v>0</v>
      </c>
      <c r="V300" s="11">
        <f t="shared" si="1241"/>
      </c>
      <c r="W300" s="11" t="s">
        <f t="shared" si="1239"/>
      </c>
      <c r="X300" s="11" t="s">
        <f t="shared" si="1244"/>
      </c>
    </row>
    <row r="301" ht="12.50" customHeight="true">
      <c r="A301" s="10"/>
      <c r="B301" s="11"/>
      <c r="C301" s="11"/>
      <c r="D301" s="11"/>
      <c r="E301" s="11"/>
      <c r="F301" s="11"/>
      <c r="G301" s="11"/>
      <c r="H301" s="11"/>
      <c r="I301" s="11"/>
      <c r="J301" s="11"/>
      <c r="K301" s="11" t="s">
        <f>""</f>
      </c>
      <c r="L301" s="11" t="s">
        <f t="shared" si="1247"/>
      </c>
      <c r="M301" s="8" t="s">
        <f t="shared" si="1245"/>
      </c>
      <c r="N301" s="11"/>
      <c r="O301" s="10">
        <f ref="O301:P301" t="shared" si="353">A301</f>
        <v>0</v>
      </c>
      <c r="P301" s="11">
        <f t="shared" si="353"/>
        <v>0</v>
      </c>
      <c r="Q301" s="11" t="s">
        <f t="shared" si="1240"/>
      </c>
      <c r="R301" s="11">
        <f t="shared" si="1246"/>
        <v>0</v>
      </c>
      <c r="S301" s="11">
        <f ref="S301:U301" t="shared" si="352">E301</f>
        <v>0</v>
      </c>
      <c r="T301" s="11">
        <f t="shared" si="352"/>
        <v>0</v>
      </c>
      <c r="U301" s="11">
        <f t="shared" si="352"/>
        <v>0</v>
      </c>
      <c r="V301" s="11">
        <f t="shared" si="1241"/>
      </c>
      <c r="W301" s="11" t="s">
        <f t="shared" si="1239"/>
      </c>
      <c r="X301" s="11" t="s">
        <f t="shared" si="1244"/>
      </c>
    </row>
    <row r="302" ht="12.50" customHeight="true">
      <c r="A302" s="10"/>
      <c r="B302" s="11"/>
      <c r="C302" s="11"/>
      <c r="D302" s="11"/>
      <c r="E302" s="11"/>
      <c r="F302" s="11"/>
      <c r="G302" s="11"/>
      <c r="H302" s="11"/>
      <c r="I302" s="11"/>
      <c r="J302" s="11"/>
      <c r="K302" s="11" t="s">
        <f>""</f>
      </c>
      <c r="L302" s="11" t="s">
        <f t="shared" si="1247"/>
      </c>
      <c r="M302" s="8" t="s">
        <f t="shared" si="1245"/>
      </c>
      <c r="N302" s="11"/>
      <c r="O302" s="10">
        <f ref="O302:P302" t="shared" si="930">A302</f>
        <v>0</v>
      </c>
      <c r="P302" s="11">
        <f t="shared" si="930"/>
        <v>0</v>
      </c>
      <c r="Q302" s="11" t="s">
        <f t="shared" si="1240"/>
      </c>
      <c r="R302" s="11">
        <f t="shared" si="1246"/>
        <v>0</v>
      </c>
      <c r="S302" s="11">
        <f ref="S302:U302" t="shared" si="931">E302</f>
        <v>0</v>
      </c>
      <c r="T302" s="11">
        <f t="shared" si="931"/>
        <v>0</v>
      </c>
      <c r="U302" s="11">
        <f t="shared" si="931"/>
        <v>0</v>
      </c>
      <c r="V302" s="11">
        <f t="shared" si="1241"/>
      </c>
      <c r="W302" s="11" t="s">
        <f t="shared" si="1239"/>
      </c>
      <c r="X302" s="11" t="s">
        <f t="shared" si="1244"/>
      </c>
    </row>
    <row r="303" ht="12.50" customHeight="true">
      <c r="A303" s="10"/>
      <c r="B303" s="11"/>
      <c r="C303" s="11"/>
      <c r="D303" s="11"/>
      <c r="E303" s="11"/>
      <c r="F303" s="11"/>
      <c r="G303" s="11"/>
      <c r="H303" s="11"/>
      <c r="I303" s="11"/>
      <c r="J303" s="11"/>
      <c r="K303" s="11" t="s">
        <f>""</f>
      </c>
      <c r="L303" s="11" t="s">
        <f t="shared" si="1247"/>
      </c>
      <c r="M303" s="8" t="s">
        <f t="shared" si="1245"/>
      </c>
      <c r="N303" s="11"/>
      <c r="O303" s="10">
        <f ref="O303:P303" t="shared" si="1896">A303</f>
        <v>0</v>
      </c>
      <c r="P303" s="11">
        <f t="shared" si="1896"/>
        <v>0</v>
      </c>
      <c r="Q303" s="11" t="s">
        <f t="shared" si="1240"/>
      </c>
      <c r="R303" s="11">
        <f t="shared" si="1246"/>
        <v>0</v>
      </c>
      <c r="S303" s="11">
        <f ref="S303:U303" t="shared" si="1897">E303</f>
        <v>0</v>
      </c>
      <c r="T303" s="11">
        <f t="shared" si="1897"/>
        <v>0</v>
      </c>
      <c r="U303" s="11">
        <f t="shared" si="1897"/>
        <v>0</v>
      </c>
      <c r="V303" s="11">
        <f t="shared" si="1241"/>
      </c>
      <c r="W303" s="11" t="s">
        <f t="shared" si="1239"/>
      </c>
      <c r="X303" s="11" t="s">
        <f t="shared" si="1244"/>
      </c>
    </row>
    <row r="304" ht="12.50" customHeight="true">
      <c r="A304" s="10"/>
      <c r="B304" s="11"/>
      <c r="C304" s="11"/>
      <c r="D304" s="11"/>
      <c r="E304" s="11"/>
      <c r="F304" s="11"/>
      <c r="G304" s="11"/>
      <c r="H304" s="11"/>
      <c r="I304" s="11"/>
      <c r="J304" s="11"/>
      <c r="K304" s="11" t="s">
        <f>""</f>
      </c>
      <c r="L304" s="11" t="s">
        <f t="shared" si="1247"/>
      </c>
      <c r="M304" s="8" t="s">
        <f t="shared" si="1245"/>
      </c>
      <c r="N304" s="11"/>
      <c r="O304" s="10">
        <f ref="O304:P304" t="shared" si="208">A304</f>
        <v>0</v>
      </c>
      <c r="P304" s="11">
        <f t="shared" si="208"/>
        <v>0</v>
      </c>
      <c r="Q304" s="11" t="s">
        <f t="shared" si="1240"/>
      </c>
      <c r="R304" s="11">
        <f t="shared" si="1246"/>
        <v>0</v>
      </c>
      <c r="S304" s="11">
        <f ref="S304:U304" t="shared" si="207">E304</f>
        <v>0</v>
      </c>
      <c r="T304" s="11">
        <f t="shared" si="207"/>
        <v>0</v>
      </c>
      <c r="U304" s="11">
        <f t="shared" si="207"/>
        <v>0</v>
      </c>
      <c r="V304" s="11">
        <f t="shared" si="1241"/>
      </c>
      <c r="W304" s="11" t="s">
        <f t="shared" si="1239"/>
      </c>
      <c r="X304" s="11" t="s">
        <f t="shared" si="1244"/>
      </c>
    </row>
    <row r="305" ht="12.50" customHeight="true">
      <c r="A305" s="10"/>
      <c r="B305" s="11"/>
      <c r="C305" s="11"/>
      <c r="D305" s="11"/>
      <c r="E305" s="11"/>
      <c r="F305" s="11"/>
      <c r="G305" s="11"/>
      <c r="H305" s="11"/>
      <c r="I305" s="11"/>
      <c r="J305" s="11"/>
      <c r="K305" s="11" t="s">
        <f>""</f>
      </c>
      <c r="L305" s="11" t="s">
        <f t="shared" si="1247"/>
      </c>
      <c r="M305" s="8" t="s">
        <f t="shared" si="1245"/>
      </c>
      <c r="N305" s="11"/>
      <c r="O305" s="10">
        <f ref="O305:P305" t="shared" si="1593">A305</f>
        <v>0</v>
      </c>
      <c r="P305" s="11">
        <f t="shared" si="1593"/>
        <v>0</v>
      </c>
      <c r="Q305" s="11" t="s">
        <f t="shared" si="1240"/>
      </c>
      <c r="R305" s="11">
        <f t="shared" si="1246"/>
        <v>0</v>
      </c>
      <c r="S305" s="11">
        <f ref="S305:U305" t="shared" si="1592">E305</f>
        <v>0</v>
      </c>
      <c r="T305" s="11">
        <f t="shared" si="1592"/>
        <v>0</v>
      </c>
      <c r="U305" s="11">
        <f t="shared" si="1592"/>
        <v>0</v>
      </c>
      <c r="V305" s="11">
        <f t="shared" si="1241"/>
      </c>
      <c r="W305" s="11" t="s">
        <f t="shared" si="1239"/>
      </c>
      <c r="X305" s="11" t="s">
        <f t="shared" si="1244"/>
      </c>
    </row>
    <row r="306" ht="12.50" customHeight="true">
      <c r="A306" s="10"/>
      <c r="B306" s="11"/>
      <c r="C306" s="11"/>
      <c r="D306" s="11"/>
      <c r="E306" s="11"/>
      <c r="F306" s="11"/>
      <c r="G306" s="11"/>
      <c r="H306" s="11"/>
      <c r="I306" s="11"/>
      <c r="J306" s="11"/>
      <c r="K306" s="11" t="s">
        <f>""</f>
      </c>
      <c r="L306" s="11" t="s">
        <f t="shared" si="1247"/>
      </c>
      <c r="M306" s="8" t="s">
        <f t="shared" si="1245"/>
      </c>
      <c r="N306" s="11"/>
      <c r="O306" s="10">
        <f ref="O306:P306" t="shared" si="311">A306</f>
        <v>0</v>
      </c>
      <c r="P306" s="11">
        <f t="shared" si="311"/>
        <v>0</v>
      </c>
      <c r="Q306" s="11" t="s">
        <f t="shared" si="1240"/>
      </c>
      <c r="R306" s="11">
        <f t="shared" si="1246"/>
        <v>0</v>
      </c>
      <c r="S306" s="11">
        <f ref="S306:U306" t="shared" si="310">E306</f>
        <v>0</v>
      </c>
      <c r="T306" s="11">
        <f t="shared" si="310"/>
        <v>0</v>
      </c>
      <c r="U306" s="11">
        <f t="shared" si="310"/>
        <v>0</v>
      </c>
      <c r="V306" s="11">
        <f t="shared" si="1241"/>
      </c>
      <c r="W306" s="11" t="s">
        <f t="shared" si="1239"/>
      </c>
      <c r="X306" s="11" t="s">
        <f t="shared" si="1244"/>
      </c>
    </row>
    <row r="307" ht="12.50" customHeight="true">
      <c r="A307" s="10"/>
      <c r="B307" s="11"/>
      <c r="C307" s="11"/>
      <c r="D307" s="11"/>
      <c r="E307" s="11"/>
      <c r="F307" s="11"/>
      <c r="G307" s="11"/>
      <c r="H307" s="11"/>
      <c r="I307" s="11"/>
      <c r="J307" s="11"/>
      <c r="K307" s="11" t="s">
        <f>""</f>
      </c>
      <c r="L307" s="11" t="s">
        <f t="shared" si="1247"/>
      </c>
      <c r="M307" s="8" t="s">
        <f t="shared" si="1245"/>
      </c>
      <c r="N307" s="11"/>
      <c r="O307" s="10">
        <f ref="O307:P307" t="shared" si="237">A307</f>
        <v>0</v>
      </c>
      <c r="P307" s="11">
        <f t="shared" si="237"/>
        <v>0</v>
      </c>
      <c r="Q307" s="11" t="s">
        <f t="shared" si="1240"/>
      </c>
      <c r="R307" s="11">
        <f t="shared" si="1246"/>
        <v>0</v>
      </c>
      <c r="S307" s="11">
        <f ref="S307:U307" t="shared" si="238">E307</f>
        <v>0</v>
      </c>
      <c r="T307" s="11">
        <f t="shared" si="238"/>
        <v>0</v>
      </c>
      <c r="U307" s="11">
        <f t="shared" si="238"/>
        <v>0</v>
      </c>
      <c r="V307" s="11">
        <f t="shared" si="1241"/>
      </c>
      <c r="W307" s="11" t="s">
        <f t="shared" si="1239"/>
      </c>
      <c r="X307" s="11" t="s">
        <f t="shared" si="1244"/>
      </c>
    </row>
    <row r="308" ht="12.50" customHeight="true">
      <c r="A308" s="10"/>
      <c r="B308" s="11"/>
      <c r="C308" s="11"/>
      <c r="D308" s="11"/>
      <c r="E308" s="11"/>
      <c r="F308" s="11"/>
      <c r="G308" s="11"/>
      <c r="H308" s="11"/>
      <c r="I308" s="11"/>
      <c r="J308" s="11"/>
      <c r="K308" s="11" t="s">
        <f>""</f>
      </c>
      <c r="L308" s="11" t="s">
        <f t="shared" si="1247"/>
      </c>
      <c r="M308" s="8" t="s">
        <f t="shared" si="1245"/>
      </c>
      <c r="N308" s="11"/>
      <c r="O308" s="10">
        <f ref="O308:P308" t="shared" si="1771">A308</f>
        <v>0</v>
      </c>
      <c r="P308" s="11">
        <f t="shared" si="1771"/>
        <v>0</v>
      </c>
      <c r="Q308" s="11" t="s">
        <f t="shared" si="1240"/>
      </c>
      <c r="R308" s="11">
        <f t="shared" si="1246"/>
        <v>0</v>
      </c>
      <c r="S308" s="11">
        <f ref="S308:U308" t="shared" si="1770">E308</f>
        <v>0</v>
      </c>
      <c r="T308" s="11">
        <f t="shared" si="1770"/>
        <v>0</v>
      </c>
      <c r="U308" s="11">
        <f t="shared" si="1770"/>
        <v>0</v>
      </c>
      <c r="V308" s="11">
        <f t="shared" si="1241"/>
      </c>
      <c r="W308" s="11" t="s">
        <f t="shared" si="1239"/>
      </c>
      <c r="X308" s="11" t="s">
        <f t="shared" si="1244"/>
      </c>
    </row>
    <row r="309" ht="12.50" customHeight="true">
      <c r="A309" s="10"/>
      <c r="B309" s="11"/>
      <c r="C309" s="11"/>
      <c r="D309" s="11"/>
      <c r="E309" s="11"/>
      <c r="F309" s="11"/>
      <c r="G309" s="11"/>
      <c r="H309" s="11"/>
      <c r="I309" s="11"/>
      <c r="J309" s="11"/>
      <c r="K309" s="11" t="s">
        <f>""</f>
      </c>
      <c r="L309" s="11" t="s">
        <f t="shared" si="1247"/>
      </c>
      <c r="M309" s="8" t="s">
        <f t="shared" si="1245"/>
      </c>
      <c r="N309" s="11"/>
      <c r="O309" s="10">
        <f ref="O309:P309" t="shared" si="482">A309</f>
        <v>0</v>
      </c>
      <c r="P309" s="11">
        <f t="shared" si="482"/>
        <v>0</v>
      </c>
      <c r="Q309" s="11" t="s">
        <f t="shared" si="1240"/>
      </c>
      <c r="R309" s="11">
        <f t="shared" si="1246"/>
        <v>0</v>
      </c>
      <c r="S309" s="11">
        <f ref="S309:U309" t="shared" si="483">E309</f>
        <v>0</v>
      </c>
      <c r="T309" s="11">
        <f t="shared" si="483"/>
        <v>0</v>
      </c>
      <c r="U309" s="11">
        <f t="shared" si="483"/>
        <v>0</v>
      </c>
      <c r="V309" s="11">
        <f t="shared" si="1241"/>
      </c>
      <c r="W309" s="11" t="s">
        <f t="shared" si="1239"/>
      </c>
      <c r="X309" s="11" t="s">
        <f t="shared" si="1244"/>
      </c>
    </row>
    <row r="310" ht="12.50" customHeight="true">
      <c r="A310" s="10"/>
      <c r="B310" s="11"/>
      <c r="C310" s="11"/>
      <c r="D310" s="11"/>
      <c r="E310" s="11"/>
      <c r="F310" s="11"/>
      <c r="G310" s="11"/>
      <c r="H310" s="11"/>
      <c r="I310" s="11"/>
      <c r="J310" s="11"/>
      <c r="K310" s="11" t="s">
        <f>""</f>
      </c>
      <c r="L310" s="11" t="s">
        <f t="shared" si="1247"/>
      </c>
      <c r="M310" s="8" t="s">
        <f t="shared" si="1245"/>
      </c>
      <c r="N310" s="11"/>
      <c r="O310" s="10">
        <f ref="O310:P310" t="shared" si="516">A310</f>
        <v>0</v>
      </c>
      <c r="P310" s="11">
        <f t="shared" si="516"/>
        <v>0</v>
      </c>
      <c r="Q310" s="11" t="s">
        <f t="shared" si="1240"/>
      </c>
      <c r="R310" s="11">
        <f t="shared" si="1246"/>
        <v>0</v>
      </c>
      <c r="S310" s="11">
        <f ref="S310:U310" t="shared" si="517">E310</f>
        <v>0</v>
      </c>
      <c r="T310" s="11">
        <f t="shared" si="517"/>
        <v>0</v>
      </c>
      <c r="U310" s="11">
        <f t="shared" si="517"/>
        <v>0</v>
      </c>
      <c r="V310" s="11">
        <f t="shared" si="1241"/>
      </c>
      <c r="W310" s="11" t="s">
        <f t="shared" si="1239"/>
      </c>
      <c r="X310" s="11" t="s">
        <f t="shared" si="1244"/>
      </c>
    </row>
    <row r="311" ht="12.50" customHeight="true">
      <c r="A311" s="10"/>
      <c r="B311" s="11"/>
      <c r="C311" s="11"/>
      <c r="D311" s="11"/>
      <c r="E311" s="11"/>
      <c r="F311" s="11"/>
      <c r="G311" s="11"/>
      <c r="H311" s="11"/>
      <c r="I311" s="11"/>
      <c r="J311" s="11"/>
      <c r="K311" s="11" t="s">
        <f>""</f>
      </c>
      <c r="L311" s="11" t="s">
        <f t="shared" si="1247"/>
      </c>
      <c r="M311" s="8" t="s">
        <f t="shared" si="1245"/>
      </c>
      <c r="N311" s="11"/>
      <c r="O311" s="10">
        <f ref="O311:P311" t="shared" si="738">A311</f>
        <v>0</v>
      </c>
      <c r="P311" s="11">
        <f t="shared" si="738"/>
        <v>0</v>
      </c>
      <c r="Q311" s="11" t="s">
        <f t="shared" si="1240"/>
      </c>
      <c r="R311" s="11">
        <f t="shared" si="1246"/>
        <v>0</v>
      </c>
      <c r="S311" s="11">
        <f ref="S311:U311" t="shared" si="739">E311</f>
        <v>0</v>
      </c>
      <c r="T311" s="11">
        <f t="shared" si="739"/>
        <v>0</v>
      </c>
      <c r="U311" s="11">
        <f t="shared" si="739"/>
        <v>0</v>
      </c>
      <c r="V311" s="11">
        <f t="shared" si="1241"/>
      </c>
      <c r="W311" s="11" t="s">
        <f t="shared" si="1239"/>
      </c>
      <c r="X311" s="11" t="s">
        <f t="shared" si="1244"/>
      </c>
    </row>
    <row r="312" ht="12.50" customHeight="true">
      <c r="A312" s="10"/>
      <c r="B312" s="11"/>
      <c r="C312" s="11"/>
      <c r="D312" s="11"/>
      <c r="E312" s="11"/>
      <c r="F312" s="11"/>
      <c r="G312" s="11"/>
      <c r="H312" s="11"/>
      <c r="I312" s="11"/>
      <c r="J312" s="11"/>
      <c r="K312" s="11" t="s">
        <f>""</f>
      </c>
      <c r="L312" s="11" t="s">
        <f t="shared" si="1247"/>
      </c>
      <c r="M312" s="8" t="s">
        <f t="shared" si="1245"/>
      </c>
      <c r="N312" s="11"/>
      <c r="O312" s="10">
        <f ref="O312:P312" t="shared" si="910">A312</f>
        <v>0</v>
      </c>
      <c r="P312" s="11">
        <f t="shared" si="910"/>
        <v>0</v>
      </c>
      <c r="Q312" s="11" t="s">
        <f t="shared" si="1240"/>
      </c>
      <c r="R312" s="11">
        <f t="shared" si="1246"/>
        <v>0</v>
      </c>
      <c r="S312" s="11">
        <f ref="S312:U312" t="shared" si="911">E312</f>
        <v>0</v>
      </c>
      <c r="T312" s="11">
        <f t="shared" si="911"/>
        <v>0</v>
      </c>
      <c r="U312" s="11">
        <f t="shared" si="911"/>
        <v>0</v>
      </c>
      <c r="V312" s="11">
        <f t="shared" si="1241"/>
      </c>
      <c r="W312" s="11" t="s">
        <f t="shared" si="1239"/>
      </c>
      <c r="X312" s="11" t="s">
        <f t="shared" si="1244"/>
      </c>
    </row>
    <row r="313" ht="12.50" customHeight="true">
      <c r="A313" s="10"/>
      <c r="B313" s="11"/>
      <c r="C313" s="11"/>
      <c r="D313" s="11"/>
      <c r="E313" s="11"/>
      <c r="F313" s="11"/>
      <c r="G313" s="11"/>
      <c r="H313" s="11"/>
      <c r="I313" s="11"/>
      <c r="J313" s="11"/>
      <c r="K313" s="11" t="s">
        <f>""</f>
      </c>
      <c r="L313" s="11" t="s">
        <f t="shared" si="1247"/>
      </c>
      <c r="M313" s="8" t="s">
        <f t="shared" si="1245"/>
      </c>
      <c r="N313" s="11"/>
      <c r="O313" s="10">
        <f ref="O313:P313" t="shared" si="1915">A313</f>
        <v>0</v>
      </c>
      <c r="P313" s="11">
        <f t="shared" si="1915"/>
        <v>0</v>
      </c>
      <c r="Q313" s="11" t="s">
        <f t="shared" si="1240"/>
      </c>
      <c r="R313" s="11">
        <f t="shared" si="1246"/>
        <v>0</v>
      </c>
      <c r="S313" s="11">
        <f ref="S313:U313" t="shared" si="1914">E313</f>
        <v>0</v>
      </c>
      <c r="T313" s="11">
        <f t="shared" si="1914"/>
        <v>0</v>
      </c>
      <c r="U313" s="11">
        <f t="shared" si="1914"/>
        <v>0</v>
      </c>
      <c r="V313" s="11">
        <f t="shared" si="1241"/>
      </c>
      <c r="W313" s="11" t="s">
        <f t="shared" si="1239"/>
      </c>
      <c r="X313" s="11" t="s">
        <f t="shared" si="1244"/>
      </c>
    </row>
    <row r="314" ht="12.50" customHeight="true">
      <c r="A314" s="10"/>
      <c r="B314" s="11"/>
      <c r="C314" s="11"/>
      <c r="D314" s="11"/>
      <c r="E314" s="11"/>
      <c r="F314" s="11"/>
      <c r="G314" s="11"/>
      <c r="H314" s="11"/>
      <c r="I314" s="11"/>
      <c r="J314" s="11"/>
      <c r="K314" s="11" t="s">
        <f>""</f>
      </c>
      <c r="L314" s="11" t="s">
        <f t="shared" si="1247"/>
      </c>
      <c r="M314" s="8" t="s">
        <f t="shared" si="1245"/>
      </c>
      <c r="N314" s="11"/>
      <c r="O314" s="10">
        <f ref="O314:P314" t="shared" si="1109">A314</f>
        <v>0</v>
      </c>
      <c r="P314" s="11">
        <f t="shared" si="1109"/>
        <v>0</v>
      </c>
      <c r="Q314" s="11" t="s">
        <f t="shared" si="1240"/>
      </c>
      <c r="R314" s="11">
        <f t="shared" si="1246"/>
        <v>0</v>
      </c>
      <c r="S314" s="11">
        <f ref="S314:U314" t="shared" si="1110">E314</f>
        <v>0</v>
      </c>
      <c r="T314" s="11">
        <f t="shared" si="1110"/>
        <v>0</v>
      </c>
      <c r="U314" s="11">
        <f t="shared" si="1110"/>
        <v>0</v>
      </c>
      <c r="V314" s="11">
        <f t="shared" si="1241"/>
      </c>
      <c r="W314" s="11" t="s">
        <f t="shared" si="1239"/>
      </c>
      <c r="X314" s="11" t="s">
        <f t="shared" si="1244"/>
      </c>
    </row>
    <row r="315" ht="12.50" customHeight="true">
      <c r="A315" s="10"/>
      <c r="B315" s="11"/>
      <c r="C315" s="11"/>
      <c r="D315" s="11"/>
      <c r="E315" s="11"/>
      <c r="F315" s="11"/>
      <c r="G315" s="11"/>
      <c r="H315" s="11"/>
      <c r="I315" s="11"/>
      <c r="J315" s="11"/>
      <c r="K315" s="11" t="s">
        <f>""</f>
      </c>
      <c r="L315" s="11" t="s">
        <f t="shared" si="1247"/>
      </c>
      <c r="M315" s="8" t="s">
        <f t="shared" si="1245"/>
      </c>
      <c r="N315" s="11"/>
      <c r="O315" s="10">
        <f ref="O315:P315" t="shared" si="830">A315</f>
        <v>0</v>
      </c>
      <c r="P315" s="11">
        <f t="shared" si="830"/>
        <v>0</v>
      </c>
      <c r="Q315" s="11" t="s">
        <f t="shared" si="1240"/>
      </c>
      <c r="R315" s="11">
        <f t="shared" si="1246"/>
        <v>0</v>
      </c>
      <c r="S315" s="11">
        <f ref="S315:U315" t="shared" si="831">E315</f>
        <v>0</v>
      </c>
      <c r="T315" s="11">
        <f t="shared" si="831"/>
        <v>0</v>
      </c>
      <c r="U315" s="11">
        <f t="shared" si="831"/>
        <v>0</v>
      </c>
      <c r="V315" s="11">
        <f t="shared" si="1241"/>
      </c>
      <c r="W315" s="11" t="s">
        <f t="shared" si="1239"/>
      </c>
      <c r="X315" s="11" t="s">
        <f t="shared" si="1244"/>
      </c>
    </row>
    <row r="316" ht="12.50" customHeight="true">
      <c r="A316" s="10"/>
      <c r="B316" s="11"/>
      <c r="C316" s="11"/>
      <c r="D316" s="11"/>
      <c r="E316" s="11"/>
      <c r="F316" s="11"/>
      <c r="G316" s="11"/>
      <c r="H316" s="11"/>
      <c r="I316" s="11"/>
      <c r="J316" s="11"/>
      <c r="K316" s="11" t="s">
        <f>""</f>
      </c>
      <c r="L316" s="11" t="s">
        <f t="shared" si="1247"/>
      </c>
      <c r="M316" s="8" t="s">
        <f t="shared" si="1245"/>
      </c>
      <c r="N316" s="11"/>
      <c r="O316" s="10">
        <f ref="O316:P316" t="shared" si="1058">A316</f>
        <v>0</v>
      </c>
      <c r="P316" s="11">
        <f t="shared" si="1058"/>
        <v>0</v>
      </c>
      <c r="Q316" s="11" t="s">
        <f t="shared" si="1240"/>
      </c>
      <c r="R316" s="11">
        <f t="shared" si="1246"/>
        <v>0</v>
      </c>
      <c r="S316" s="11">
        <f ref="S316:U316" t="shared" si="1057">E316</f>
        <v>0</v>
      </c>
      <c r="T316" s="11">
        <f t="shared" si="1057"/>
        <v>0</v>
      </c>
      <c r="U316" s="11">
        <f t="shared" si="1057"/>
        <v>0</v>
      </c>
      <c r="V316" s="11">
        <f t="shared" si="1241"/>
      </c>
      <c r="W316" s="11" t="s">
        <f t="shared" si="1239"/>
      </c>
      <c r="X316" s="11" t="s">
        <f t="shared" si="1244"/>
      </c>
    </row>
    <row r="317" ht="12.50" customHeight="true">
      <c r="A317" s="10"/>
      <c r="B317" s="11"/>
      <c r="C317" s="11"/>
      <c r="D317" s="11"/>
      <c r="E317" s="11"/>
      <c r="F317" s="11"/>
      <c r="G317" s="11"/>
      <c r="H317" s="11"/>
      <c r="I317" s="11"/>
      <c r="J317" s="11"/>
      <c r="K317" s="11" t="s">
        <f>""</f>
      </c>
      <c r="L317" s="11" t="s">
        <f t="shared" si="1247"/>
      </c>
      <c r="M317" s="8" t="s">
        <f t="shared" si="1245"/>
      </c>
      <c r="N317" s="11"/>
      <c r="O317" s="10">
        <f ref="O317:P317" t="shared" si="819">A317</f>
        <v>0</v>
      </c>
      <c r="P317" s="11">
        <f t="shared" si="819"/>
        <v>0</v>
      </c>
      <c r="Q317" s="11" t="s">
        <f t="shared" si="1240"/>
      </c>
      <c r="R317" s="11">
        <f t="shared" si="1246"/>
        <v>0</v>
      </c>
      <c r="S317" s="11">
        <f ref="S317:U317" t="shared" si="818">E317</f>
        <v>0</v>
      </c>
      <c r="T317" s="11">
        <f t="shared" si="818"/>
        <v>0</v>
      </c>
      <c r="U317" s="11">
        <f t="shared" si="818"/>
        <v>0</v>
      </c>
      <c r="V317" s="11">
        <f t="shared" si="1241"/>
      </c>
      <c r="W317" s="11" t="s">
        <f t="shared" si="1239"/>
      </c>
      <c r="X317" s="11" t="s">
        <f t="shared" si="1244"/>
      </c>
    </row>
    <row r="318" ht="12.50" customHeight="true">
      <c r="A318" s="10"/>
      <c r="B318" s="11"/>
      <c r="C318" s="11"/>
      <c r="D318" s="11"/>
      <c r="E318" s="11"/>
      <c r="F318" s="11"/>
      <c r="G318" s="11"/>
      <c r="H318" s="11"/>
      <c r="I318" s="11"/>
      <c r="J318" s="11"/>
      <c r="K318" s="11" t="s">
        <f>""</f>
      </c>
      <c r="L318" s="11" t="s">
        <f t="shared" si="1247"/>
      </c>
      <c r="M318" s="8" t="s">
        <f t="shared" si="1245"/>
      </c>
      <c r="N318" s="11"/>
      <c r="O318" s="10">
        <f ref="O318:P318" t="shared" si="979">A318</f>
        <v>0</v>
      </c>
      <c r="P318" s="11">
        <f t="shared" si="979"/>
        <v>0</v>
      </c>
      <c r="Q318" s="11" t="s">
        <f t="shared" si="1240"/>
      </c>
      <c r="R318" s="11">
        <f t="shared" si="1246"/>
        <v>0</v>
      </c>
      <c r="S318" s="11">
        <f ref="S318:U318" t="shared" si="980">E318</f>
        <v>0</v>
      </c>
      <c r="T318" s="11">
        <f t="shared" si="980"/>
        <v>0</v>
      </c>
      <c r="U318" s="11">
        <f t="shared" si="980"/>
        <v>0</v>
      </c>
      <c r="V318" s="11">
        <f t="shared" si="1241"/>
      </c>
      <c r="W318" s="11" t="s">
        <f t="shared" si="1239"/>
      </c>
      <c r="X318" s="11" t="s">
        <f t="shared" si="1244"/>
      </c>
    </row>
    <row r="319" ht="12.50" customHeight="true">
      <c r="A319" s="10"/>
      <c r="B319" s="11"/>
      <c r="C319" s="11"/>
      <c r="D319" s="11"/>
      <c r="E319" s="11"/>
      <c r="F319" s="11"/>
      <c r="G319" s="11"/>
      <c r="H319" s="11"/>
      <c r="I319" s="11"/>
      <c r="J319" s="11"/>
      <c r="K319" s="11" t="s">
        <f>""</f>
      </c>
      <c r="L319" s="11" t="s">
        <f t="shared" si="1247"/>
      </c>
      <c r="M319" s="8" t="s">
        <f t="shared" si="1245"/>
      </c>
      <c r="N319" s="11"/>
      <c r="O319" s="10">
        <f ref="O319:P319" t="shared" si="1598">A319</f>
        <v>0</v>
      </c>
      <c r="P319" s="11">
        <f t="shared" si="1598"/>
        <v>0</v>
      </c>
      <c r="Q319" s="11" t="s">
        <f t="shared" si="1240"/>
      </c>
      <c r="R319" s="11">
        <f t="shared" si="1246"/>
        <v>0</v>
      </c>
      <c r="S319" s="11">
        <f ref="S319:U319" t="shared" si="1599">E319</f>
        <v>0</v>
      </c>
      <c r="T319" s="11">
        <f t="shared" si="1599"/>
        <v>0</v>
      </c>
      <c r="U319" s="11">
        <f t="shared" si="1599"/>
        <v>0</v>
      </c>
      <c r="V319" s="11">
        <f t="shared" si="1241"/>
      </c>
      <c r="W319" s="11" t="s">
        <f t="shared" si="1239"/>
      </c>
      <c r="X319" s="11" t="s">
        <f t="shared" si="1244"/>
      </c>
    </row>
    <row r="320" ht="12.50" customHeight="true">
      <c r="A320" s="10"/>
      <c r="B320" s="11"/>
      <c r="C320" s="11"/>
      <c r="D320" s="11"/>
      <c r="E320" s="11"/>
      <c r="F320" s="11"/>
      <c r="G320" s="11"/>
      <c r="H320" s="11"/>
      <c r="I320" s="11"/>
      <c r="J320" s="11"/>
      <c r="K320" s="11" t="s">
        <f>""</f>
      </c>
      <c r="L320" s="11" t="s">
        <f t="shared" si="1247"/>
      </c>
      <c r="M320" s="8" t="s">
        <f t="shared" si="1245"/>
      </c>
      <c r="N320" s="11"/>
      <c r="O320" s="10">
        <f ref="O320:P320" t="shared" si="746">A320</f>
        <v>0</v>
      </c>
      <c r="P320" s="11">
        <f t="shared" si="746"/>
        <v>0</v>
      </c>
      <c r="Q320" s="11" t="s">
        <f t="shared" si="1240"/>
      </c>
      <c r="R320" s="11">
        <f t="shared" si="1246"/>
        <v>0</v>
      </c>
      <c r="S320" s="11">
        <f ref="S320:U320" t="shared" si="747">E320</f>
        <v>0</v>
      </c>
      <c r="T320" s="11">
        <f t="shared" si="747"/>
        <v>0</v>
      </c>
      <c r="U320" s="11">
        <f t="shared" si="747"/>
        <v>0</v>
      </c>
      <c r="V320" s="11">
        <f t="shared" si="1241"/>
      </c>
      <c r="W320" s="11" t="s">
        <f t="shared" si="1239"/>
      </c>
      <c r="X320" s="11" t="s">
        <f t="shared" si="1244"/>
      </c>
    </row>
    <row r="321" ht="12.50" customHeight="true">
      <c r="A321" s="10"/>
      <c r="B321" s="11"/>
      <c r="C321" s="11"/>
      <c r="D321" s="11"/>
      <c r="E321" s="11"/>
      <c r="F321" s="11"/>
      <c r="G321" s="11"/>
      <c r="H321" s="11"/>
      <c r="I321" s="11"/>
      <c r="J321" s="11"/>
      <c r="K321" s="11" t="s">
        <f>""</f>
      </c>
      <c r="L321" s="11" t="s">
        <f t="shared" si="1247"/>
      </c>
      <c r="M321" s="8" t="s">
        <f t="shared" si="1245"/>
      </c>
      <c r="N321" s="11"/>
      <c r="O321" s="10">
        <f ref="O321:P321" t="shared" si="1623">A321</f>
        <v>0</v>
      </c>
      <c r="P321" s="11">
        <f t="shared" si="1623"/>
        <v>0</v>
      </c>
      <c r="Q321" s="11" t="s">
        <f t="shared" si="1240"/>
      </c>
      <c r="R321" s="11">
        <f t="shared" si="1246"/>
        <v>0</v>
      </c>
      <c r="S321" s="11">
        <f ref="S321:U321" t="shared" si="1622">E321</f>
        <v>0</v>
      </c>
      <c r="T321" s="11">
        <f t="shared" si="1622"/>
        <v>0</v>
      </c>
      <c r="U321" s="11">
        <f t="shared" si="1622"/>
        <v>0</v>
      </c>
      <c r="V321" s="11">
        <f t="shared" si="1241"/>
      </c>
      <c r="W321" s="11" t="s">
        <f t="shared" si="1239"/>
      </c>
      <c r="X321" s="11" t="s">
        <f t="shared" si="1244"/>
      </c>
    </row>
    <row r="322" ht="12.50" customHeight="true">
      <c r="A322" s="10"/>
      <c r="B322" s="11"/>
      <c r="C322" s="11"/>
      <c r="D322" s="11"/>
      <c r="E322" s="11"/>
      <c r="F322" s="11"/>
      <c r="G322" s="11"/>
      <c r="H322" s="11"/>
      <c r="I322" s="11"/>
      <c r="J322" s="11"/>
      <c r="K322" s="11" t="s">
        <f>""</f>
      </c>
      <c r="L322" s="11" t="s">
        <f t="shared" si="1247"/>
      </c>
      <c r="M322" s="8" t="s">
        <f t="shared" si="1245"/>
      </c>
      <c r="N322" s="11"/>
      <c r="O322" s="10">
        <f ref="O322:P322" t="shared" si="1204">A322</f>
        <v>0</v>
      </c>
      <c r="P322" s="11">
        <f t="shared" si="1204"/>
        <v>0</v>
      </c>
      <c r="Q322" s="11" t="s">
        <f t="shared" si="1240"/>
      </c>
      <c r="R322" s="11">
        <f t="shared" si="1246"/>
        <v>0</v>
      </c>
      <c r="S322" s="11">
        <f ref="S322:U322" t="shared" si="1203">E322</f>
        <v>0</v>
      </c>
      <c r="T322" s="11">
        <f t="shared" si="1203"/>
        <v>0</v>
      </c>
      <c r="U322" s="11">
        <f t="shared" si="1203"/>
        <v>0</v>
      </c>
      <c r="V322" s="11">
        <f t="shared" si="1241"/>
      </c>
      <c r="W322" s="11" t="s">
        <f t="shared" si="1239"/>
      </c>
      <c r="X322" s="11" t="s">
        <f t="shared" si="1244"/>
      </c>
    </row>
    <row r="323" ht="12.50" customHeight="true">
      <c r="A323" s="10"/>
      <c r="B323" s="11"/>
      <c r="C323" s="11"/>
      <c r="D323" s="11"/>
      <c r="E323" s="11"/>
      <c r="F323" s="11"/>
      <c r="G323" s="11"/>
      <c r="H323" s="11"/>
      <c r="I323" s="11"/>
      <c r="J323" s="11"/>
      <c r="K323" s="11" t="s">
        <f>""</f>
      </c>
      <c r="L323" s="11" t="s">
        <f t="shared" si="1247"/>
      </c>
      <c r="M323" s="8" t="s">
        <f t="shared" si="1245"/>
      </c>
      <c r="N323" s="11"/>
      <c r="O323" s="10">
        <f ref="O323:P323" t="shared" si="135">A323</f>
        <v>0</v>
      </c>
      <c r="P323" s="11">
        <f t="shared" si="135"/>
        <v>0</v>
      </c>
      <c r="Q323" s="11" t="s">
        <f t="shared" si="1240"/>
      </c>
      <c r="R323" s="11">
        <f t="shared" si="1246"/>
        <v>0</v>
      </c>
      <c r="S323" s="11">
        <f ref="S323:U323" t="shared" si="134">E323</f>
        <v>0</v>
      </c>
      <c r="T323" s="11">
        <f t="shared" si="134"/>
        <v>0</v>
      </c>
      <c r="U323" s="11">
        <f t="shared" si="134"/>
        <v>0</v>
      </c>
      <c r="V323" s="11">
        <f t="shared" si="1241"/>
      </c>
      <c r="W323" s="11" t="s">
        <f t="shared" si="1239"/>
      </c>
      <c r="X323" s="11" t="s">
        <f t="shared" si="1244"/>
      </c>
    </row>
    <row r="324" ht="12.50" customHeight="true">
      <c r="A324" s="10"/>
      <c r="B324" s="11"/>
      <c r="C324" s="11"/>
      <c r="D324" s="11"/>
      <c r="E324" s="11"/>
      <c r="F324" s="11"/>
      <c r="G324" s="11"/>
      <c r="H324" s="11"/>
      <c r="I324" s="11"/>
      <c r="J324" s="11"/>
      <c r="K324" s="11" t="s">
        <f>""</f>
      </c>
      <c r="L324" s="11" t="s">
        <f t="shared" si="1247"/>
      </c>
      <c r="M324" s="8" t="s">
        <f t="shared" si="1245"/>
      </c>
      <c r="N324" s="11"/>
      <c r="O324" s="10">
        <f ref="O324:P324" t="shared" si="1314">A324</f>
        <v>0</v>
      </c>
      <c r="P324" s="11">
        <f t="shared" si="1314"/>
        <v>0</v>
      </c>
      <c r="Q324" s="11" t="s">
        <f t="shared" si="1240"/>
      </c>
      <c r="R324" s="11">
        <f t="shared" si="1246"/>
        <v>0</v>
      </c>
      <c r="S324" s="11">
        <f ref="S324:U324" t="shared" si="1315">E324</f>
        <v>0</v>
      </c>
      <c r="T324" s="11">
        <f t="shared" si="1315"/>
        <v>0</v>
      </c>
      <c r="U324" s="11">
        <f t="shared" si="1315"/>
        <v>0</v>
      </c>
      <c r="V324" s="11">
        <f t="shared" si="1241"/>
      </c>
      <c r="W324" s="11" t="s">
        <f t="shared" si="1239"/>
      </c>
      <c r="X324" s="11" t="s">
        <f t="shared" si="1244"/>
      </c>
    </row>
    <row r="325" ht="12.50" customHeight="true">
      <c r="A325" s="10"/>
      <c r="B325" s="11"/>
      <c r="C325" s="11"/>
      <c r="D325" s="11"/>
      <c r="E325" s="11"/>
      <c r="F325" s="11"/>
      <c r="G325" s="11"/>
      <c r="H325" s="11"/>
      <c r="I325" s="11"/>
      <c r="J325" s="11"/>
      <c r="K325" s="11" t="s">
        <f>""</f>
      </c>
      <c r="L325" s="11" t="s">
        <f t="shared" si="1247"/>
      </c>
      <c r="M325" s="8" t="s">
        <f t="shared" si="1245"/>
      </c>
      <c r="N325" s="11"/>
      <c r="O325" s="10">
        <f ref="O325:P325" t="shared" si="1787">A325</f>
        <v>0</v>
      </c>
      <c r="P325" s="11">
        <f t="shared" si="1787"/>
        <v>0</v>
      </c>
      <c r="Q325" s="11" t="s">
        <f t="shared" si="1240"/>
      </c>
      <c r="R325" s="11">
        <f t="shared" si="1246"/>
        <v>0</v>
      </c>
      <c r="S325" s="11">
        <f ref="S325:U325" t="shared" si="1786">E325</f>
        <v>0</v>
      </c>
      <c r="T325" s="11">
        <f t="shared" si="1786"/>
        <v>0</v>
      </c>
      <c r="U325" s="11">
        <f t="shared" si="1786"/>
        <v>0</v>
      </c>
      <c r="V325" s="11">
        <f t="shared" si="1241"/>
      </c>
      <c r="W325" s="11" t="s">
        <f t="shared" si="1239"/>
      </c>
      <c r="X325" s="11" t="s">
        <f t="shared" si="1244"/>
      </c>
    </row>
    <row r="326" ht="12.50" customHeight="true">
      <c r="A326" s="10"/>
      <c r="B326" s="11"/>
      <c r="C326" s="11"/>
      <c r="D326" s="11"/>
      <c r="E326" s="11"/>
      <c r="F326" s="11"/>
      <c r="G326" s="11"/>
      <c r="H326" s="11"/>
      <c r="I326" s="11"/>
      <c r="J326" s="11"/>
      <c r="K326" s="11" t="s">
        <f>""</f>
      </c>
      <c r="L326" s="11" t="s">
        <f t="shared" si="1247"/>
      </c>
      <c r="M326" s="8" t="s">
        <f t="shared" si="1245"/>
      </c>
      <c r="N326" s="11"/>
      <c r="O326" s="10">
        <f ref="O326:P326" t="shared" si="1613">A326</f>
        <v>0</v>
      </c>
      <c r="P326" s="11">
        <f t="shared" si="1613"/>
        <v>0</v>
      </c>
      <c r="Q326" s="11" t="s">
        <f t="shared" si="1240"/>
      </c>
      <c r="R326" s="11">
        <f t="shared" si="1246"/>
        <v>0</v>
      </c>
      <c r="S326" s="11">
        <f ref="S326:U326" t="shared" si="1612">E326</f>
        <v>0</v>
      </c>
      <c r="T326" s="11">
        <f t="shared" si="1612"/>
        <v>0</v>
      </c>
      <c r="U326" s="11">
        <f t="shared" si="1612"/>
        <v>0</v>
      </c>
      <c r="V326" s="11">
        <f t="shared" si="1241"/>
      </c>
      <c r="W326" s="11" t="s">
        <f t="shared" si="1239"/>
      </c>
      <c r="X326" s="11" t="s">
        <f t="shared" si="1244"/>
      </c>
    </row>
    <row r="327" ht="12.50" customHeight="true">
      <c r="A327" s="10"/>
      <c r="B327" s="11"/>
      <c r="C327" s="11"/>
      <c r="D327" s="11"/>
      <c r="E327" s="11"/>
      <c r="F327" s="11"/>
      <c r="G327" s="11"/>
      <c r="H327" s="11"/>
      <c r="I327" s="11"/>
      <c r="J327" s="11"/>
      <c r="K327" s="11" t="s">
        <f>""</f>
      </c>
      <c r="L327" s="11" t="s">
        <f t="shared" si="1247"/>
      </c>
      <c r="M327" s="8" t="s">
        <f t="shared" si="1245"/>
      </c>
      <c r="N327" s="11"/>
      <c r="O327" s="10">
        <f ref="O327:P327" t="shared" si="1402">A327</f>
        <v>0</v>
      </c>
      <c r="P327" s="11">
        <f t="shared" si="1402"/>
        <v>0</v>
      </c>
      <c r="Q327" s="11" t="s">
        <f t="shared" si="1240"/>
      </c>
      <c r="R327" s="11">
        <f t="shared" si="1246"/>
        <v>0</v>
      </c>
      <c r="S327" s="11">
        <f ref="S327:U327" t="shared" si="1403">E327</f>
        <v>0</v>
      </c>
      <c r="T327" s="11">
        <f t="shared" si="1403"/>
        <v>0</v>
      </c>
      <c r="U327" s="11">
        <f t="shared" si="1403"/>
        <v>0</v>
      </c>
      <c r="V327" s="11">
        <f t="shared" si="1241"/>
      </c>
      <c r="W327" s="11" t="s">
        <f t="shared" si="1239"/>
      </c>
      <c r="X327" s="11" t="s">
        <f t="shared" si="1244"/>
      </c>
    </row>
    <row r="328" ht="12.50" customHeight="true">
      <c r="A328" s="10"/>
      <c r="B328" s="11"/>
      <c r="C328" s="11"/>
      <c r="D328" s="11"/>
      <c r="E328" s="11"/>
      <c r="F328" s="11"/>
      <c r="G328" s="11"/>
      <c r="H328" s="11"/>
      <c r="I328" s="11"/>
      <c r="J328" s="11"/>
      <c r="K328" s="11" t="s">
        <f>""</f>
      </c>
      <c r="L328" s="11" t="s">
        <f t="shared" si="1247"/>
      </c>
      <c r="M328" s="8" t="s">
        <f t="shared" si="1245"/>
      </c>
      <c r="N328" s="11"/>
      <c r="O328" s="10">
        <f ref="O328:P328" t="shared" si="1474">A328</f>
        <v>0</v>
      </c>
      <c r="P328" s="11">
        <f t="shared" si="1474"/>
        <v>0</v>
      </c>
      <c r="Q328" s="11" t="s">
        <f t="shared" si="1240"/>
      </c>
      <c r="R328" s="11">
        <f t="shared" si="1246"/>
        <v>0</v>
      </c>
      <c r="S328" s="11">
        <f ref="S328:U328" t="shared" si="1475">E328</f>
        <v>0</v>
      </c>
      <c r="T328" s="11">
        <f t="shared" si="1475"/>
        <v>0</v>
      </c>
      <c r="U328" s="11">
        <f t="shared" si="1475"/>
        <v>0</v>
      </c>
      <c r="V328" s="11">
        <f t="shared" si="1241"/>
      </c>
      <c r="W328" s="11" t="s">
        <f t="shared" si="1239"/>
      </c>
      <c r="X328" s="11" t="s">
        <f t="shared" si="1244"/>
      </c>
    </row>
    <row r="329" ht="12.50" customHeight="true">
      <c r="A329" s="10"/>
      <c r="B329" s="11"/>
      <c r="C329" s="11"/>
      <c r="D329" s="11"/>
      <c r="E329" s="11"/>
      <c r="F329" s="11"/>
      <c r="G329" s="11"/>
      <c r="H329" s="11"/>
      <c r="I329" s="11"/>
      <c r="J329" s="11"/>
      <c r="K329" s="11" t="s">
        <f>""</f>
      </c>
      <c r="L329" s="11" t="s">
        <f t="shared" si="1247"/>
      </c>
      <c r="M329" s="8" t="s">
        <f t="shared" si="1245"/>
      </c>
      <c r="N329" s="11"/>
      <c r="O329" s="10">
        <f ref="O329:P329" t="shared" si="630">A329</f>
        <v>0</v>
      </c>
      <c r="P329" s="11">
        <f t="shared" si="630"/>
        <v>0</v>
      </c>
      <c r="Q329" s="11" t="s">
        <f t="shared" si="1240"/>
      </c>
      <c r="R329" s="11">
        <f t="shared" si="1246"/>
        <v>0</v>
      </c>
      <c r="S329" s="11">
        <f ref="S329:U329" t="shared" si="631">E329</f>
        <v>0</v>
      </c>
      <c r="T329" s="11">
        <f t="shared" si="631"/>
        <v>0</v>
      </c>
      <c r="U329" s="11">
        <f t="shared" si="631"/>
        <v>0</v>
      </c>
      <c r="V329" s="11">
        <f t="shared" si="1241"/>
      </c>
      <c r="W329" s="11" t="s">
        <f t="shared" si="1239"/>
      </c>
      <c r="X329" s="11" t="s">
        <f t="shared" si="1244"/>
      </c>
    </row>
    <row r="330" ht="12.50" customHeight="true">
      <c r="A330" s="10"/>
      <c r="B330" s="11"/>
      <c r="C330" s="11"/>
      <c r="D330" s="11"/>
      <c r="E330" s="11"/>
      <c r="F330" s="11"/>
      <c r="G330" s="11"/>
      <c r="H330" s="11"/>
      <c r="I330" s="11"/>
      <c r="J330" s="11"/>
      <c r="K330" s="11" t="s">
        <f>""</f>
      </c>
      <c r="L330" s="11" t="s">
        <f t="shared" si="1247"/>
      </c>
      <c r="M330" s="8" t="s">
        <f t="shared" si="1245"/>
      </c>
      <c r="N330" s="11"/>
      <c r="O330" s="10">
        <f ref="O330:P330" t="shared" si="333">A330</f>
        <v>0</v>
      </c>
      <c r="P330" s="11">
        <f t="shared" si="333"/>
        <v>0</v>
      </c>
      <c r="Q330" s="11" t="s">
        <f t="shared" si="1240"/>
      </c>
      <c r="R330" s="11">
        <f t="shared" si="1246"/>
        <v>0</v>
      </c>
      <c r="S330" s="11">
        <f ref="S330:U330" t="shared" si="332">E330</f>
        <v>0</v>
      </c>
      <c r="T330" s="11">
        <f t="shared" si="332"/>
        <v>0</v>
      </c>
      <c r="U330" s="11">
        <f t="shared" si="332"/>
        <v>0</v>
      </c>
      <c r="V330" s="11">
        <f t="shared" si="1241"/>
      </c>
      <c r="W330" s="11" t="s">
        <f t="shared" si="1239"/>
      </c>
      <c r="X330" s="11" t="s">
        <f t="shared" si="1244"/>
      </c>
    </row>
    <row r="331" ht="12.50" customHeight="true">
      <c r="A331" s="10"/>
      <c r="B331" s="11"/>
      <c r="C331" s="11"/>
      <c r="D331" s="11"/>
      <c r="E331" s="11"/>
      <c r="F331" s="11"/>
      <c r="G331" s="11"/>
      <c r="H331" s="11"/>
      <c r="I331" s="11"/>
      <c r="J331" s="11"/>
      <c r="K331" s="11" t="s">
        <f>""</f>
      </c>
      <c r="L331" s="11" t="s">
        <f t="shared" si="1247"/>
      </c>
      <c r="M331" s="8" t="s">
        <f t="shared" si="1245"/>
      </c>
      <c r="N331" s="11"/>
      <c r="O331" s="10">
        <f ref="O331:P331" t="shared" si="368">A331</f>
        <v>0</v>
      </c>
      <c r="P331" s="11">
        <f t="shared" si="368"/>
        <v>0</v>
      </c>
      <c r="Q331" s="11" t="s">
        <f t="shared" si="1240"/>
      </c>
      <c r="R331" s="11">
        <f t="shared" si="1246"/>
        <v>0</v>
      </c>
      <c r="S331" s="11">
        <f ref="S331:U331" t="shared" si="369">E331</f>
        <v>0</v>
      </c>
      <c r="T331" s="11">
        <f t="shared" si="369"/>
        <v>0</v>
      </c>
      <c r="U331" s="11">
        <f t="shared" si="369"/>
        <v>0</v>
      </c>
      <c r="V331" s="11">
        <f t="shared" si="1241"/>
      </c>
      <c r="W331" s="11" t="s">
        <f t="shared" si="1239"/>
      </c>
      <c r="X331" s="11" t="s">
        <f t="shared" si="1244"/>
      </c>
    </row>
    <row r="332" ht="12.50" customHeight="true">
      <c r="A332" s="10"/>
      <c r="B332" s="11"/>
      <c r="C332" s="11"/>
      <c r="D332" s="11"/>
      <c r="E332" s="11"/>
      <c r="F332" s="11"/>
      <c r="G332" s="11"/>
      <c r="H332" s="11"/>
      <c r="I332" s="11"/>
      <c r="J332" s="11"/>
      <c r="K332" s="11" t="s">
        <f>""</f>
      </c>
      <c r="L332" s="11" t="s">
        <f t="shared" si="1247"/>
      </c>
      <c r="M332" s="8" t="s">
        <f t="shared" si="1245"/>
      </c>
      <c r="N332" s="11"/>
      <c r="O332" s="10">
        <f ref="O332:P332" t="shared" si="1652">A332</f>
        <v>0</v>
      </c>
      <c r="P332" s="11">
        <f t="shared" si="1652"/>
        <v>0</v>
      </c>
      <c r="Q332" s="11" t="s">
        <f t="shared" si="1240"/>
      </c>
      <c r="R332" s="11">
        <f t="shared" si="1246"/>
        <v>0</v>
      </c>
      <c r="S332" s="11">
        <f ref="S332:U332" t="shared" si="1653">E332</f>
        <v>0</v>
      </c>
      <c r="T332" s="11">
        <f t="shared" si="1653"/>
        <v>0</v>
      </c>
      <c r="U332" s="11">
        <f t="shared" si="1653"/>
        <v>0</v>
      </c>
      <c r="V332" s="11">
        <f t="shared" si="1241"/>
      </c>
      <c r="W332" s="11" t="s">
        <f t="shared" si="1239"/>
      </c>
      <c r="X332" s="11" t="s">
        <f t="shared" si="1244"/>
      </c>
    </row>
    <row r="333" ht="12.50" customHeight="true">
      <c r="A333" s="10"/>
      <c r="B333" s="11"/>
      <c r="C333" s="11"/>
      <c r="D333" s="11"/>
      <c r="E333" s="11"/>
      <c r="F333" s="11"/>
      <c r="G333" s="11"/>
      <c r="H333" s="11"/>
      <c r="I333" s="11"/>
      <c r="J333" s="11"/>
      <c r="K333" s="11" t="s">
        <f>""</f>
      </c>
      <c r="L333" s="11" t="s">
        <f t="shared" si="1247"/>
      </c>
      <c r="M333" s="8" t="s">
        <f t="shared" si="1245"/>
      </c>
      <c r="N333" s="11"/>
      <c r="O333" s="10">
        <f ref="O333:P333" t="shared" si="1535">A333</f>
        <v>0</v>
      </c>
      <c r="P333" s="11">
        <f t="shared" si="1535"/>
        <v>0</v>
      </c>
      <c r="Q333" s="11" t="s">
        <f t="shared" si="1240"/>
      </c>
      <c r="R333" s="11">
        <f t="shared" si="1246"/>
        <v>0</v>
      </c>
      <c r="S333" s="11">
        <f ref="S333:U333" t="shared" si="1534">E333</f>
        <v>0</v>
      </c>
      <c r="T333" s="11">
        <f t="shared" si="1534"/>
        <v>0</v>
      </c>
      <c r="U333" s="11">
        <f t="shared" si="1534"/>
        <v>0</v>
      </c>
      <c r="V333" s="11">
        <f t="shared" si="1241"/>
      </c>
      <c r="W333" s="11" t="s">
        <f t="shared" si="1239"/>
      </c>
      <c r="X333" s="11" t="s">
        <f t="shared" si="1244"/>
      </c>
    </row>
    <row r="334" ht="12.50" customHeight="true">
      <c r="A334" s="10"/>
      <c r="B334" s="11"/>
      <c r="C334" s="11"/>
      <c r="D334" s="11"/>
      <c r="E334" s="11"/>
      <c r="F334" s="11"/>
      <c r="G334" s="11"/>
      <c r="H334" s="11"/>
      <c r="I334" s="11"/>
      <c r="J334" s="11"/>
      <c r="K334" s="11" t="s">
        <f>""</f>
      </c>
      <c r="L334" s="11" t="s">
        <f t="shared" si="1247"/>
      </c>
      <c r="M334" s="8" t="s">
        <f t="shared" si="1245"/>
      </c>
      <c r="N334" s="11"/>
      <c r="O334" s="10">
        <f ref="O334:P334" t="shared" si="1981">A334</f>
        <v>0</v>
      </c>
      <c r="P334" s="11">
        <f t="shared" si="1981"/>
        <v>0</v>
      </c>
      <c r="Q334" s="11" t="s">
        <f t="shared" si="1240"/>
      </c>
      <c r="R334" s="11">
        <f t="shared" si="1246"/>
        <v>0</v>
      </c>
      <c r="S334" s="11">
        <f ref="S334:U334" t="shared" si="1980">E334</f>
        <v>0</v>
      </c>
      <c r="T334" s="11">
        <f t="shared" si="1980"/>
        <v>0</v>
      </c>
      <c r="U334" s="11">
        <f t="shared" si="1980"/>
        <v>0</v>
      </c>
      <c r="V334" s="11">
        <f t="shared" si="1241"/>
      </c>
      <c r="W334" s="11" t="s">
        <f t="shared" si="1239"/>
      </c>
      <c r="X334" s="11" t="s">
        <f t="shared" si="1244"/>
      </c>
    </row>
    <row r="335" ht="12.50" customHeight="true">
      <c r="A335" s="10"/>
      <c r="B335" s="11"/>
      <c r="C335" s="11"/>
      <c r="D335" s="11"/>
      <c r="E335" s="11"/>
      <c r="F335" s="11"/>
      <c r="G335" s="11"/>
      <c r="H335" s="11"/>
      <c r="I335" s="11"/>
      <c r="J335" s="11"/>
      <c r="K335" s="11" t="s">
        <f>""</f>
      </c>
      <c r="L335" s="11" t="s">
        <f t="shared" si="1247"/>
      </c>
      <c r="M335" s="8" t="s">
        <f t="shared" si="1245"/>
      </c>
      <c r="N335" s="11"/>
      <c r="O335" s="10">
        <f ref="O335:P335" t="shared" si="123">A335</f>
        <v>0</v>
      </c>
      <c r="P335" s="11">
        <f t="shared" si="123"/>
        <v>0</v>
      </c>
      <c r="Q335" s="11" t="s">
        <f t="shared" si="1240"/>
      </c>
      <c r="R335" s="11">
        <f t="shared" si="1246"/>
        <v>0</v>
      </c>
      <c r="S335" s="11">
        <f ref="S335:U335" t="shared" si="122">E335</f>
        <v>0</v>
      </c>
      <c r="T335" s="11">
        <f t="shared" si="122"/>
        <v>0</v>
      </c>
      <c r="U335" s="11">
        <f t="shared" si="122"/>
        <v>0</v>
      </c>
      <c r="V335" s="11">
        <f t="shared" si="1241"/>
      </c>
      <c r="W335" s="11" t="s">
        <f t="shared" si="1239"/>
      </c>
      <c r="X335" s="11" t="s">
        <f t="shared" si="1244"/>
      </c>
    </row>
    <row r="336" ht="12.50" customHeight="true">
      <c r="A336" s="10"/>
      <c r="B336" s="11"/>
      <c r="C336" s="11"/>
      <c r="D336" s="11"/>
      <c r="E336" s="11"/>
      <c r="F336" s="11"/>
      <c r="G336" s="11"/>
      <c r="H336" s="11"/>
      <c r="I336" s="11"/>
      <c r="J336" s="11"/>
      <c r="K336" s="11" t="s">
        <f>""</f>
      </c>
      <c r="L336" s="11" t="s">
        <f t="shared" si="1247"/>
      </c>
      <c r="M336" s="8" t="s">
        <f t="shared" si="1245"/>
      </c>
      <c r="N336" s="11"/>
      <c r="O336" s="10">
        <f ref="O336:P336" t="shared" si="437">A336</f>
        <v>0</v>
      </c>
      <c r="P336" s="11">
        <f t="shared" si="437"/>
        <v>0</v>
      </c>
      <c r="Q336" s="11" t="s">
        <f t="shared" si="1240"/>
      </c>
      <c r="R336" s="11">
        <f t="shared" si="1246"/>
        <v>0</v>
      </c>
      <c r="S336" s="11">
        <f ref="S336:U336" t="shared" si="436">E336</f>
        <v>0</v>
      </c>
      <c r="T336" s="11">
        <f t="shared" si="436"/>
        <v>0</v>
      </c>
      <c r="U336" s="11">
        <f t="shared" si="436"/>
        <v>0</v>
      </c>
      <c r="V336" s="11">
        <f t="shared" si="1241"/>
      </c>
      <c r="W336" s="11" t="s">
        <f t="shared" si="1239"/>
      </c>
      <c r="X336" s="11" t="s">
        <f t="shared" si="1244"/>
      </c>
    </row>
    <row r="337" ht="12.50" customHeight="true">
      <c r="A337" s="10"/>
      <c r="B337" s="11"/>
      <c r="C337" s="11"/>
      <c r="D337" s="11"/>
      <c r="E337" s="11"/>
      <c r="F337" s="11"/>
      <c r="G337" s="11"/>
      <c r="H337" s="11"/>
      <c r="I337" s="11"/>
      <c r="J337" s="11"/>
      <c r="K337" s="11" t="s">
        <f>""</f>
      </c>
      <c r="L337" s="11" t="s">
        <f t="shared" si="1247"/>
      </c>
      <c r="M337" s="8" t="s">
        <f t="shared" si="1245"/>
      </c>
      <c r="N337" s="11"/>
      <c r="O337" s="10">
        <f ref="O337:P337" t="shared" si="217">A337</f>
        <v>0</v>
      </c>
      <c r="P337" s="11">
        <f t="shared" si="217"/>
        <v>0</v>
      </c>
      <c r="Q337" s="11" t="s">
        <f t="shared" si="1240"/>
      </c>
      <c r="R337" s="11">
        <f t="shared" si="1246"/>
        <v>0</v>
      </c>
      <c r="S337" s="11">
        <f ref="S337:U337" t="shared" si="218">E337</f>
        <v>0</v>
      </c>
      <c r="T337" s="11">
        <f t="shared" si="218"/>
        <v>0</v>
      </c>
      <c r="U337" s="11">
        <f t="shared" si="218"/>
        <v>0</v>
      </c>
      <c r="V337" s="11">
        <f t="shared" si="1241"/>
      </c>
      <c r="W337" s="11" t="s">
        <f t="shared" si="1239"/>
      </c>
      <c r="X337" s="11" t="s">
        <f t="shared" si="1244"/>
      </c>
    </row>
    <row r="338" ht="12.50" customHeight="true">
      <c r="A338" s="10"/>
      <c r="B338" s="11"/>
      <c r="C338" s="11"/>
      <c r="D338" s="11"/>
      <c r="E338" s="11"/>
      <c r="F338" s="11"/>
      <c r="G338" s="11"/>
      <c r="H338" s="11"/>
      <c r="I338" s="11"/>
      <c r="J338" s="11"/>
      <c r="K338" s="11" t="s">
        <f>""</f>
      </c>
      <c r="L338" s="11" t="s">
        <f t="shared" si="1247"/>
      </c>
      <c r="M338" s="8" t="s">
        <f t="shared" si="1245"/>
      </c>
      <c r="N338" s="11"/>
      <c r="O338" s="10">
        <f ref="O338:P338" t="shared" si="875">A338</f>
        <v>0</v>
      </c>
      <c r="P338" s="11">
        <f t="shared" si="875"/>
        <v>0</v>
      </c>
      <c r="Q338" s="11" t="s">
        <f t="shared" si="1240"/>
      </c>
      <c r="R338" s="11">
        <f t="shared" si="1246"/>
        <v>0</v>
      </c>
      <c r="S338" s="11">
        <f ref="S338:U338" t="shared" si="874">E338</f>
        <v>0</v>
      </c>
      <c r="T338" s="11">
        <f t="shared" si="874"/>
        <v>0</v>
      </c>
      <c r="U338" s="11">
        <f t="shared" si="874"/>
        <v>0</v>
      </c>
      <c r="V338" s="11">
        <f t="shared" si="1241"/>
      </c>
      <c r="W338" s="11" t="s">
        <f t="shared" si="1239"/>
      </c>
      <c r="X338" s="11" t="s">
        <f t="shared" si="1244"/>
      </c>
    </row>
    <row r="339" ht="12.50" customHeight="true">
      <c r="A339" s="10"/>
      <c r="B339" s="11"/>
      <c r="C339" s="11"/>
      <c r="D339" s="11"/>
      <c r="E339" s="11"/>
      <c r="F339" s="11"/>
      <c r="G339" s="11"/>
      <c r="H339" s="11"/>
      <c r="I339" s="11"/>
      <c r="J339" s="11"/>
      <c r="K339" s="11" t="s">
        <f>""</f>
      </c>
      <c r="L339" s="11" t="s">
        <f t="shared" si="1247"/>
      </c>
      <c r="M339" s="8" t="s">
        <f t="shared" si="1245"/>
      </c>
      <c r="N339" s="11"/>
      <c r="O339" s="10">
        <f ref="O339:P339" t="shared" si="110">A339</f>
        <v>0</v>
      </c>
      <c r="P339" s="11">
        <f t="shared" si="110"/>
        <v>0</v>
      </c>
      <c r="Q339" s="11" t="s">
        <f t="shared" si="1240"/>
      </c>
      <c r="R339" s="11">
        <f t="shared" si="1246"/>
        <v>0</v>
      </c>
      <c r="S339" s="11">
        <f ref="S339:U339" t="shared" si="111">E339</f>
        <v>0</v>
      </c>
      <c r="T339" s="11">
        <f t="shared" si="111"/>
        <v>0</v>
      </c>
      <c r="U339" s="11">
        <f t="shared" si="111"/>
        <v>0</v>
      </c>
      <c r="V339" s="11">
        <f t="shared" si="1241"/>
      </c>
      <c r="W339" s="11" t="s">
        <f t="shared" si="1239"/>
      </c>
      <c r="X339" s="11" t="s">
        <f t="shared" si="1244"/>
      </c>
    </row>
    <row r="340" ht="12.50" customHeight="true">
      <c r="A340" s="10"/>
      <c r="B340" s="11"/>
      <c r="C340" s="11"/>
      <c r="D340" s="11"/>
      <c r="E340" s="11"/>
      <c r="F340" s="11"/>
      <c r="G340" s="11"/>
      <c r="H340" s="11"/>
      <c r="I340" s="11"/>
      <c r="J340" s="11"/>
      <c r="K340" s="11" t="s">
        <f>""</f>
      </c>
      <c r="L340" s="11" t="s">
        <f t="shared" si="1247"/>
      </c>
      <c r="M340" s="8" t="s">
        <f t="shared" si="1245"/>
      </c>
      <c r="N340" s="11"/>
      <c r="O340" s="10">
        <f ref="O340:P340" t="shared" si="1053">A340</f>
        <v>0</v>
      </c>
      <c r="P340" s="11">
        <f t="shared" si="1053"/>
        <v>0</v>
      </c>
      <c r="Q340" s="11" t="s">
        <f t="shared" si="1240"/>
      </c>
      <c r="R340" s="11">
        <f t="shared" si="1246"/>
        <v>0</v>
      </c>
      <c r="S340" s="11">
        <f ref="S340:U340" t="shared" si="1054">E340</f>
        <v>0</v>
      </c>
      <c r="T340" s="11">
        <f t="shared" si="1054"/>
        <v>0</v>
      </c>
      <c r="U340" s="11">
        <f t="shared" si="1054"/>
        <v>0</v>
      </c>
      <c r="V340" s="11">
        <f t="shared" si="1241"/>
      </c>
      <c r="W340" s="11" t="s">
        <f t="shared" si="1239"/>
      </c>
      <c r="X340" s="11" t="s">
        <f t="shared" si="1244"/>
      </c>
    </row>
    <row r="341" ht="12.50" customHeight="true">
      <c r="A341" s="10"/>
      <c r="B341" s="11"/>
      <c r="C341" s="11"/>
      <c r="D341" s="11"/>
      <c r="E341" s="11"/>
      <c r="F341" s="11"/>
      <c r="G341" s="11"/>
      <c r="H341" s="11"/>
      <c r="I341" s="11"/>
      <c r="J341" s="11"/>
      <c r="K341" s="11" t="s">
        <f>""</f>
      </c>
      <c r="L341" s="11" t="s">
        <f t="shared" si="1247"/>
      </c>
      <c r="M341" s="8" t="s">
        <f t="shared" si="1245"/>
      </c>
      <c r="N341" s="11"/>
      <c r="O341" s="10">
        <f ref="O341:P341" t="shared" si="1845">A341</f>
        <v>0</v>
      </c>
      <c r="P341" s="11">
        <f t="shared" si="1845"/>
        <v>0</v>
      </c>
      <c r="Q341" s="11" t="s">
        <f t="shared" si="1240"/>
      </c>
      <c r="R341" s="11">
        <f t="shared" si="1246"/>
        <v>0</v>
      </c>
      <c r="S341" s="11">
        <f ref="S341:U341" t="shared" si="1844">E341</f>
        <v>0</v>
      </c>
      <c r="T341" s="11">
        <f t="shared" si="1844"/>
        <v>0</v>
      </c>
      <c r="U341" s="11">
        <f t="shared" si="1844"/>
        <v>0</v>
      </c>
      <c r="V341" s="11">
        <f t="shared" si="1241"/>
      </c>
      <c r="W341" s="11" t="s">
        <f t="shared" si="1239"/>
      </c>
      <c r="X341" s="11" t="s">
        <f t="shared" si="1244"/>
      </c>
    </row>
    <row r="342" ht="12.50" customHeight="true">
      <c r="A342" s="10"/>
      <c r="B342" s="11"/>
      <c r="C342" s="11"/>
      <c r="D342" s="11"/>
      <c r="E342" s="11"/>
      <c r="F342" s="11"/>
      <c r="G342" s="11"/>
      <c r="H342" s="11"/>
      <c r="I342" s="11"/>
      <c r="J342" s="11"/>
      <c r="K342" s="11" t="s">
        <f>""</f>
      </c>
      <c r="L342" s="11" t="s">
        <f t="shared" si="1247"/>
      </c>
      <c r="M342" s="8" t="s">
        <f t="shared" si="1245"/>
      </c>
      <c r="N342" s="11"/>
      <c r="O342" s="10">
        <f ref="O342:P342" t="shared" si="16">A342</f>
        <v>0</v>
      </c>
      <c r="P342" s="11">
        <f t="shared" si="16"/>
        <v>0</v>
      </c>
      <c r="Q342" s="11" t="s">
        <f t="shared" si="1240"/>
      </c>
      <c r="R342" s="11">
        <f t="shared" si="1246"/>
        <v>0</v>
      </c>
      <c r="S342" s="11">
        <f ref="S342:U342" t="shared" si="17">E342</f>
        <v>0</v>
      </c>
      <c r="T342" s="11">
        <f t="shared" si="17"/>
        <v>0</v>
      </c>
      <c r="U342" s="11">
        <f t="shared" si="17"/>
        <v>0</v>
      </c>
      <c r="V342" s="11">
        <f t="shared" si="1241"/>
      </c>
      <c r="W342" s="11" t="s">
        <f t="shared" si="1239"/>
      </c>
      <c r="X342" s="11" t="s">
        <f t="shared" si="1244"/>
      </c>
    </row>
    <row r="343" ht="12.50" customHeight="true">
      <c r="A343" s="10"/>
      <c r="B343" s="11"/>
      <c r="C343" s="11"/>
      <c r="D343" s="11"/>
      <c r="E343" s="11"/>
      <c r="F343" s="11"/>
      <c r="G343" s="11"/>
      <c r="H343" s="11"/>
      <c r="I343" s="11"/>
      <c r="J343" s="11"/>
      <c r="K343" s="11" t="s">
        <f>""</f>
      </c>
      <c r="L343" s="11" t="s">
        <f t="shared" si="1247"/>
      </c>
      <c r="M343" s="8" t="s">
        <f t="shared" si="1245"/>
      </c>
      <c r="N343" s="11"/>
      <c r="O343" s="10">
        <f ref="O343:P343" t="shared" si="1267">A343</f>
        <v>0</v>
      </c>
      <c r="P343" s="11">
        <f t="shared" si="1267"/>
        <v>0</v>
      </c>
      <c r="Q343" s="11" t="s">
        <f t="shared" si="1240"/>
      </c>
      <c r="R343" s="11">
        <f t="shared" si="1246"/>
        <v>0</v>
      </c>
      <c r="S343" s="11">
        <f ref="S343:U343" t="shared" si="1266">E343</f>
        <v>0</v>
      </c>
      <c r="T343" s="11">
        <f t="shared" si="1266"/>
        <v>0</v>
      </c>
      <c r="U343" s="11">
        <f t="shared" si="1266"/>
        <v>0</v>
      </c>
      <c r="V343" s="11">
        <f t="shared" si="1241"/>
      </c>
      <c r="W343" s="11" t="s">
        <f t="shared" si="1239"/>
      </c>
      <c r="X343" s="11" t="s">
        <f t="shared" si="1244"/>
      </c>
    </row>
    <row r="344" ht="12.50" customHeight="true">
      <c r="A344" s="10"/>
      <c r="B344" s="11"/>
      <c r="C344" s="11"/>
      <c r="D344" s="11"/>
      <c r="E344" s="11"/>
      <c r="F344" s="11"/>
      <c r="G344" s="11"/>
      <c r="H344" s="11"/>
      <c r="I344" s="11"/>
      <c r="J344" s="11"/>
      <c r="K344" s="11" t="s">
        <f>""</f>
      </c>
      <c r="L344" s="11" t="s">
        <f t="shared" si="1247"/>
      </c>
      <c r="M344" s="8" t="s">
        <f t="shared" si="1245"/>
      </c>
      <c r="N344" s="11"/>
      <c r="O344" s="10">
        <f ref="O344:P344" t="shared" si="1840">A344</f>
        <v>0</v>
      </c>
      <c r="P344" s="11">
        <f t="shared" si="1840"/>
        <v>0</v>
      </c>
      <c r="Q344" s="11" t="s">
        <f t="shared" si="1240"/>
      </c>
      <c r="R344" s="11">
        <f t="shared" si="1246"/>
        <v>0</v>
      </c>
      <c r="S344" s="11">
        <f ref="S344:U344" t="shared" si="1841">E344</f>
        <v>0</v>
      </c>
      <c r="T344" s="11">
        <f t="shared" si="1841"/>
        <v>0</v>
      </c>
      <c r="U344" s="11">
        <f t="shared" si="1841"/>
        <v>0</v>
      </c>
      <c r="V344" s="11">
        <f t="shared" si="1241"/>
      </c>
      <c r="W344" s="11" t="s">
        <f t="shared" si="1239"/>
      </c>
      <c r="X344" s="11" t="s">
        <f t="shared" si="1244"/>
      </c>
    </row>
    <row r="345" ht="12.50" customHeight="true">
      <c r="A345" s="10"/>
      <c r="B345" s="11"/>
      <c r="C345" s="11"/>
      <c r="D345" s="11"/>
      <c r="E345" s="11"/>
      <c r="F345" s="11"/>
      <c r="G345" s="11"/>
      <c r="H345" s="11"/>
      <c r="I345" s="11"/>
      <c r="J345" s="11"/>
      <c r="K345" s="11" t="s">
        <f>""</f>
      </c>
      <c r="L345" s="11" t="s">
        <f t="shared" si="1247"/>
      </c>
      <c r="M345" s="8" t="s">
        <f t="shared" si="1245"/>
      </c>
      <c r="N345" s="11"/>
      <c r="O345" s="10">
        <f ref="O345:P345" t="shared" si="772">A345</f>
        <v>0</v>
      </c>
      <c r="P345" s="11">
        <f t="shared" si="772"/>
        <v>0</v>
      </c>
      <c r="Q345" s="11" t="s">
        <f t="shared" si="1240"/>
      </c>
      <c r="R345" s="11">
        <f t="shared" si="1246"/>
        <v>0</v>
      </c>
      <c r="S345" s="11">
        <f ref="S345:U345" t="shared" si="773">E345</f>
        <v>0</v>
      </c>
      <c r="T345" s="11">
        <f t="shared" si="773"/>
        <v>0</v>
      </c>
      <c r="U345" s="11">
        <f t="shared" si="773"/>
        <v>0</v>
      </c>
      <c r="V345" s="11">
        <f t="shared" si="1241"/>
      </c>
      <c r="W345" s="11" t="s">
        <f t="shared" si="1239"/>
      </c>
      <c r="X345" s="11" t="s">
        <f t="shared" si="1244"/>
      </c>
    </row>
    <row r="346" ht="12.50" customHeight="true">
      <c r="A346" s="10"/>
      <c r="B346" s="11"/>
      <c r="C346" s="11"/>
      <c r="D346" s="11"/>
      <c r="E346" s="11"/>
      <c r="F346" s="11"/>
      <c r="G346" s="11"/>
      <c r="H346" s="11"/>
      <c r="I346" s="11"/>
      <c r="J346" s="11"/>
      <c r="K346" s="11" t="s">
        <f>""</f>
      </c>
      <c r="L346" s="11" t="s">
        <f t="shared" si="1247"/>
      </c>
      <c r="M346" s="8" t="s">
        <f t="shared" si="1245"/>
      </c>
      <c r="N346" s="11"/>
      <c r="O346" s="10">
        <f ref="O346:P346" t="shared" si="1391">A346</f>
        <v>0</v>
      </c>
      <c r="P346" s="11">
        <f t="shared" si="1391"/>
        <v>0</v>
      </c>
      <c r="Q346" s="11" t="s">
        <f t="shared" si="1240"/>
      </c>
      <c r="R346" s="11">
        <f t="shared" si="1246"/>
        <v>0</v>
      </c>
      <c r="S346" s="11">
        <f ref="S346:U346" t="shared" si="1390">E346</f>
        <v>0</v>
      </c>
      <c r="T346" s="11">
        <f t="shared" si="1390"/>
        <v>0</v>
      </c>
      <c r="U346" s="11">
        <f t="shared" si="1390"/>
        <v>0</v>
      </c>
      <c r="V346" s="11">
        <f t="shared" si="1241"/>
      </c>
      <c r="W346" s="11" t="s">
        <f t="shared" si="1239"/>
      </c>
      <c r="X346" s="11" t="s">
        <f t="shared" si="1244"/>
      </c>
    </row>
    <row r="347" ht="12.50" customHeight="true">
      <c r="A347" s="10"/>
      <c r="B347" s="11"/>
      <c r="C347" s="11"/>
      <c r="D347" s="11"/>
      <c r="E347" s="11"/>
      <c r="F347" s="11"/>
      <c r="G347" s="11"/>
      <c r="H347" s="11"/>
      <c r="I347" s="11"/>
      <c r="J347" s="11"/>
      <c r="K347" s="11" t="s">
        <f>""</f>
      </c>
      <c r="L347" s="11" t="s">
        <f t="shared" si="1247"/>
      </c>
      <c r="M347" s="8" t="s">
        <f t="shared" si="1245"/>
      </c>
      <c r="N347" s="11"/>
      <c r="O347" s="10">
        <f ref="O347:P347" t="shared" si="1362">A347</f>
        <v>0</v>
      </c>
      <c r="P347" s="11">
        <f t="shared" si="1362"/>
        <v>0</v>
      </c>
      <c r="Q347" s="11" t="s">
        <f t="shared" si="1240"/>
      </c>
      <c r="R347" s="11">
        <f t="shared" si="1246"/>
        <v>0</v>
      </c>
      <c r="S347" s="11">
        <f ref="S347:U347" t="shared" si="1363">E347</f>
        <v>0</v>
      </c>
      <c r="T347" s="11">
        <f t="shared" si="1363"/>
        <v>0</v>
      </c>
      <c r="U347" s="11">
        <f t="shared" si="1363"/>
        <v>0</v>
      </c>
      <c r="V347" s="11">
        <f t="shared" si="1241"/>
      </c>
      <c r="W347" s="11" t="s">
        <f t="shared" si="1239"/>
      </c>
      <c r="X347" s="11" t="s">
        <f t="shared" si="1244"/>
      </c>
    </row>
    <row r="348" ht="12.50" customHeight="true">
      <c r="A348" s="10"/>
      <c r="B348" s="11"/>
      <c r="C348" s="11"/>
      <c r="D348" s="11"/>
      <c r="E348" s="11"/>
      <c r="F348" s="11"/>
      <c r="G348" s="11"/>
      <c r="H348" s="11"/>
      <c r="I348" s="11"/>
      <c r="J348" s="11"/>
      <c r="K348" s="11" t="s">
        <f>""</f>
      </c>
      <c r="L348" s="11" t="s">
        <f t="shared" si="1247"/>
      </c>
      <c r="M348" s="8" t="s">
        <f t="shared" si="1245"/>
      </c>
      <c r="N348" s="11"/>
      <c r="O348" s="10">
        <f ref="O348:P348" t="shared" si="1526">A348</f>
        <v>0</v>
      </c>
      <c r="P348" s="11">
        <f t="shared" si="1526"/>
        <v>0</v>
      </c>
      <c r="Q348" s="11" t="s">
        <f t="shared" si="1240"/>
      </c>
      <c r="R348" s="11">
        <f t="shared" si="1246"/>
        <v>0</v>
      </c>
      <c r="S348" s="11">
        <f ref="S348:U348" t="shared" si="1527">E348</f>
        <v>0</v>
      </c>
      <c r="T348" s="11">
        <f t="shared" si="1527"/>
        <v>0</v>
      </c>
      <c r="U348" s="11">
        <f t="shared" si="1527"/>
        <v>0</v>
      </c>
      <c r="V348" s="11">
        <f t="shared" si="1241"/>
      </c>
      <c r="W348" s="11" t="s">
        <f t="shared" si="1239"/>
      </c>
      <c r="X348" s="11" t="s">
        <f t="shared" si="1244"/>
      </c>
    </row>
    <row r="349" ht="12.50" customHeight="true">
      <c r="A349" s="10"/>
      <c r="B349" s="11"/>
      <c r="C349" s="11"/>
      <c r="D349" s="11"/>
      <c r="E349" s="11"/>
      <c r="F349" s="11"/>
      <c r="G349" s="11"/>
      <c r="H349" s="11"/>
      <c r="I349" s="11"/>
      <c r="J349" s="11"/>
      <c r="K349" s="11" t="s">
        <f>""</f>
      </c>
      <c r="L349" s="11" t="s">
        <f t="shared" si="1247"/>
      </c>
      <c r="M349" s="8" t="s">
        <f t="shared" si="1245"/>
      </c>
      <c r="N349" s="11"/>
      <c r="O349" s="10">
        <f ref="O349:P349" t="shared" si="392">A349</f>
        <v>0</v>
      </c>
      <c r="P349" s="11">
        <f t="shared" si="392"/>
        <v>0</v>
      </c>
      <c r="Q349" s="11" t="s">
        <f t="shared" si="1240"/>
      </c>
      <c r="R349" s="11">
        <f t="shared" si="1246"/>
        <v>0</v>
      </c>
      <c r="S349" s="11">
        <f ref="S349:U349" t="shared" si="393">E349</f>
        <v>0</v>
      </c>
      <c r="T349" s="11">
        <f t="shared" si="393"/>
        <v>0</v>
      </c>
      <c r="U349" s="11">
        <f t="shared" si="393"/>
        <v>0</v>
      </c>
      <c r="V349" s="11">
        <f t="shared" si="1241"/>
      </c>
      <c r="W349" s="11" t="s">
        <f t="shared" si="1239"/>
      </c>
      <c r="X349" s="11" t="s">
        <f t="shared" si="1244"/>
      </c>
    </row>
    <row r="350" ht="12.50" customHeight="true">
      <c r="A350" s="10"/>
      <c r="B350" s="11"/>
      <c r="C350" s="11"/>
      <c r="D350" s="11"/>
      <c r="E350" s="11"/>
      <c r="F350" s="11"/>
      <c r="G350" s="11"/>
      <c r="H350" s="11"/>
      <c r="I350" s="11"/>
      <c r="J350" s="11"/>
      <c r="K350" s="11" t="s">
        <f>""</f>
      </c>
      <c r="L350" s="11" t="s">
        <f t="shared" si="1247"/>
      </c>
      <c r="M350" s="8" t="s">
        <f t="shared" si="1245"/>
      </c>
      <c r="N350" s="11"/>
      <c r="O350" s="10">
        <f ref="O350:P350" t="shared" si="46">A350</f>
        <v>0</v>
      </c>
      <c r="P350" s="11">
        <f t="shared" si="46"/>
        <v>0</v>
      </c>
      <c r="Q350" s="11" t="s">
        <f t="shared" si="1240"/>
      </c>
      <c r="R350" s="11">
        <f t="shared" si="1246"/>
        <v>0</v>
      </c>
      <c r="S350" s="11">
        <f ref="S350:U350" t="shared" si="47">E350</f>
        <v>0</v>
      </c>
      <c r="T350" s="11">
        <f t="shared" si="47"/>
        <v>0</v>
      </c>
      <c r="U350" s="11">
        <f t="shared" si="47"/>
        <v>0</v>
      </c>
      <c r="V350" s="11">
        <f t="shared" si="1241"/>
      </c>
      <c r="W350" s="11" t="s">
        <f t="shared" si="1239"/>
      </c>
      <c r="X350" s="11" t="s">
        <f t="shared" si="1244"/>
      </c>
    </row>
    <row r="351" ht="12.50" customHeight="true">
      <c r="A351" s="10"/>
      <c r="B351" s="11"/>
      <c r="C351" s="11"/>
      <c r="D351" s="11"/>
      <c r="E351" s="11"/>
      <c r="F351" s="11"/>
      <c r="G351" s="11"/>
      <c r="H351" s="11"/>
      <c r="I351" s="11"/>
      <c r="J351" s="11"/>
      <c r="K351" s="11" t="s">
        <f>""</f>
      </c>
      <c r="L351" s="11" t="s">
        <f t="shared" si="1247"/>
      </c>
      <c r="M351" s="8" t="s">
        <f t="shared" si="1245"/>
      </c>
      <c r="N351" s="11"/>
      <c r="O351" s="10">
        <f ref="O351:P351" t="shared" si="649">A351</f>
        <v>0</v>
      </c>
      <c r="P351" s="11">
        <f t="shared" si="649"/>
        <v>0</v>
      </c>
      <c r="Q351" s="11" t="s">
        <f t="shared" si="1240"/>
      </c>
      <c r="R351" s="11">
        <f t="shared" si="1246"/>
        <v>0</v>
      </c>
      <c r="S351" s="11">
        <f ref="S351:U351" t="shared" si="648">E351</f>
        <v>0</v>
      </c>
      <c r="T351" s="11">
        <f t="shared" si="648"/>
        <v>0</v>
      </c>
      <c r="U351" s="11">
        <f t="shared" si="648"/>
        <v>0</v>
      </c>
      <c r="V351" s="11">
        <f t="shared" si="1241"/>
      </c>
      <c r="W351" s="11" t="s">
        <f t="shared" si="1239"/>
      </c>
      <c r="X351" s="11" t="s">
        <f t="shared" si="1244"/>
      </c>
    </row>
    <row r="352" ht="12.50" customHeight="true">
      <c r="A352" s="10"/>
      <c r="B352" s="11"/>
      <c r="C352" s="11"/>
      <c r="D352" s="11"/>
      <c r="E352" s="11"/>
      <c r="F352" s="11"/>
      <c r="G352" s="11"/>
      <c r="H352" s="11"/>
      <c r="I352" s="11"/>
      <c r="J352" s="11"/>
      <c r="K352" s="11" t="s">
        <f>""</f>
      </c>
      <c r="L352" s="11" t="s">
        <f t="shared" si="1247"/>
      </c>
      <c r="M352" s="8" t="s">
        <f t="shared" si="1245"/>
      </c>
      <c r="N352" s="11"/>
      <c r="O352" s="10">
        <f ref="O352:P352" t="shared" si="75">A352</f>
        <v>0</v>
      </c>
      <c r="P352" s="11">
        <f t="shared" si="75"/>
        <v>0</v>
      </c>
      <c r="Q352" s="11" t="s">
        <f t="shared" si="1240"/>
      </c>
      <c r="R352" s="11">
        <f t="shared" si="1246"/>
        <v>0</v>
      </c>
      <c r="S352" s="11">
        <f ref="S352:U352" t="shared" si="74">E352</f>
        <v>0</v>
      </c>
      <c r="T352" s="11">
        <f t="shared" si="74"/>
        <v>0</v>
      </c>
      <c r="U352" s="11">
        <f t="shared" si="74"/>
        <v>0</v>
      </c>
      <c r="V352" s="11">
        <f t="shared" si="1241"/>
      </c>
      <c r="W352" s="11" t="s">
        <f t="shared" si="1239"/>
      </c>
      <c r="X352" s="11" t="s">
        <f t="shared" si="1244"/>
      </c>
    </row>
    <row r="353" ht="12.50" customHeight="true">
      <c r="A353" s="10"/>
      <c r="B353" s="11"/>
      <c r="C353" s="11"/>
      <c r="D353" s="11"/>
      <c r="E353" s="11"/>
      <c r="F353" s="11"/>
      <c r="G353" s="11"/>
      <c r="H353" s="11"/>
      <c r="I353" s="11"/>
      <c r="J353" s="11"/>
      <c r="K353" s="11" t="s">
        <f>""</f>
      </c>
      <c r="L353" s="11" t="s">
        <f t="shared" si="1247"/>
      </c>
      <c r="M353" s="8" t="s">
        <f t="shared" si="1245"/>
      </c>
      <c r="N353" s="11"/>
      <c r="O353" s="10">
        <f ref="O353:P353" t="shared" si="1009">A353</f>
        <v>0</v>
      </c>
      <c r="P353" s="11">
        <f t="shared" si="1009"/>
        <v>0</v>
      </c>
      <c r="Q353" s="11" t="s">
        <f t="shared" si="1240"/>
      </c>
      <c r="R353" s="11">
        <f t="shared" si="1246"/>
        <v>0</v>
      </c>
      <c r="S353" s="11">
        <f ref="S353:U353" t="shared" si="1010">E353</f>
        <v>0</v>
      </c>
      <c r="T353" s="11">
        <f t="shared" si="1010"/>
        <v>0</v>
      </c>
      <c r="U353" s="11">
        <f t="shared" si="1010"/>
        <v>0</v>
      </c>
      <c r="V353" s="11">
        <f t="shared" si="1241"/>
      </c>
      <c r="W353" s="11" t="s">
        <f t="shared" si="1239"/>
      </c>
      <c r="X353" s="11" t="s">
        <f t="shared" si="1244"/>
      </c>
    </row>
    <row r="354" ht="12.50" customHeight="true">
      <c r="A354" s="10"/>
      <c r="B354" s="11"/>
      <c r="C354" s="11"/>
      <c r="D354" s="11"/>
      <c r="E354" s="11"/>
      <c r="F354" s="11"/>
      <c r="G354" s="11"/>
      <c r="H354" s="11"/>
      <c r="I354" s="11"/>
      <c r="J354" s="11"/>
      <c r="K354" s="11" t="s">
        <f>""</f>
      </c>
      <c r="L354" s="11" t="s">
        <f t="shared" si="1247"/>
      </c>
      <c r="M354" s="8" t="s">
        <f t="shared" si="1245"/>
      </c>
      <c r="N354" s="11"/>
      <c r="O354" s="10">
        <f ref="O354:P354" t="shared" si="341">A354</f>
        <v>0</v>
      </c>
      <c r="P354" s="11">
        <f t="shared" si="341"/>
        <v>0</v>
      </c>
      <c r="Q354" s="11" t="s">
        <f t="shared" si="1240"/>
      </c>
      <c r="R354" s="11">
        <f t="shared" si="1246"/>
        <v>0</v>
      </c>
      <c r="S354" s="11">
        <f ref="S354:U354" t="shared" si="340">E354</f>
        <v>0</v>
      </c>
      <c r="T354" s="11">
        <f t="shared" si="340"/>
        <v>0</v>
      </c>
      <c r="U354" s="11">
        <f t="shared" si="340"/>
        <v>0</v>
      </c>
      <c r="V354" s="11">
        <f t="shared" si="1241"/>
      </c>
      <c r="W354" s="11" t="s">
        <f t="shared" si="1239"/>
      </c>
      <c r="X354" s="11" t="s">
        <f t="shared" si="1244"/>
      </c>
    </row>
    <row r="355" ht="12.50" customHeight="true">
      <c r="A355" s="10"/>
      <c r="B355" s="11"/>
      <c r="C355" s="11"/>
      <c r="D355" s="11"/>
      <c r="E355" s="11"/>
      <c r="F355" s="11"/>
      <c r="G355" s="11"/>
      <c r="H355" s="11"/>
      <c r="I355" s="11"/>
      <c r="J355" s="11"/>
      <c r="K355" s="11" t="s">
        <f>""</f>
      </c>
      <c r="L355" s="11" t="s">
        <f t="shared" si="1247"/>
      </c>
      <c r="M355" s="8" t="s">
        <f t="shared" si="1245"/>
      </c>
      <c r="N355" s="11"/>
      <c r="O355" s="10">
        <f ref="O355:P355" t="shared" si="454">A355</f>
        <v>0</v>
      </c>
      <c r="P355" s="11">
        <f t="shared" si="454"/>
        <v>0</v>
      </c>
      <c r="Q355" s="11" t="s">
        <f t="shared" si="1240"/>
      </c>
      <c r="R355" s="11">
        <f t="shared" si="1246"/>
        <v>0</v>
      </c>
      <c r="S355" s="11">
        <f ref="S355:U355" t="shared" si="455">E355</f>
        <v>0</v>
      </c>
      <c r="T355" s="11">
        <f t="shared" si="455"/>
        <v>0</v>
      </c>
      <c r="U355" s="11">
        <f t="shared" si="455"/>
        <v>0</v>
      </c>
      <c r="V355" s="11">
        <f t="shared" si="1241"/>
      </c>
      <c r="W355" s="11" t="s">
        <f t="shared" si="1239"/>
      </c>
      <c r="X355" s="11" t="s">
        <f t="shared" si="1244"/>
      </c>
    </row>
    <row r="356" ht="12.50" customHeight="true">
      <c r="A356" s="10"/>
      <c r="B356" s="11"/>
      <c r="C356" s="11"/>
      <c r="D356" s="11"/>
      <c r="E356" s="11"/>
      <c r="F356" s="11"/>
      <c r="G356" s="11"/>
      <c r="H356" s="11"/>
      <c r="I356" s="11"/>
      <c r="J356" s="11"/>
      <c r="K356" s="11" t="s">
        <f>""</f>
      </c>
      <c r="L356" s="11" t="s">
        <f t="shared" si="1247"/>
      </c>
      <c r="M356" s="8" t="s">
        <f t="shared" si="1245"/>
      </c>
      <c r="N356" s="11"/>
      <c r="O356" s="10">
        <f ref="O356:P356" t="shared" si="100">A356</f>
        <v>0</v>
      </c>
      <c r="P356" s="11">
        <f t="shared" si="100"/>
        <v>0</v>
      </c>
      <c r="Q356" s="11" t="s">
        <f t="shared" si="1240"/>
      </c>
      <c r="R356" s="11">
        <f t="shared" si="1246"/>
        <v>0</v>
      </c>
      <c r="S356" s="11">
        <f ref="S356:U356" t="shared" si="101">E356</f>
        <v>0</v>
      </c>
      <c r="T356" s="11">
        <f t="shared" si="101"/>
        <v>0</v>
      </c>
      <c r="U356" s="11">
        <f t="shared" si="101"/>
        <v>0</v>
      </c>
      <c r="V356" s="11">
        <f t="shared" si="1241"/>
      </c>
      <c r="W356" s="11" t="s">
        <f t="shared" si="1239"/>
      </c>
      <c r="X356" s="11" t="s">
        <f t="shared" si="1244"/>
      </c>
    </row>
    <row r="357" ht="12.50" customHeight="true">
      <c r="A357" s="10"/>
      <c r="B357" s="11"/>
      <c r="C357" s="11"/>
      <c r="D357" s="11"/>
      <c r="E357" s="11"/>
      <c r="F357" s="11"/>
      <c r="G357" s="11"/>
      <c r="H357" s="11"/>
      <c r="I357" s="11"/>
      <c r="J357" s="11"/>
      <c r="K357" s="11" t="s">
        <f>""</f>
      </c>
      <c r="L357" s="11" t="s">
        <f t="shared" si="1247"/>
      </c>
      <c r="M357" s="8" t="s">
        <f t="shared" si="1245"/>
      </c>
      <c r="N357" s="11"/>
      <c r="O357" s="10">
        <f ref="O357:P357" t="shared" si="1864">A357</f>
        <v>0</v>
      </c>
      <c r="P357" s="11">
        <f t="shared" si="1864"/>
        <v>0</v>
      </c>
      <c r="Q357" s="11" t="s">
        <f t="shared" si="1240"/>
      </c>
      <c r="R357" s="11">
        <f t="shared" si="1246"/>
        <v>0</v>
      </c>
      <c r="S357" s="11">
        <f ref="S357:U357" t="shared" si="1865">E357</f>
        <v>0</v>
      </c>
      <c r="T357" s="11">
        <f t="shared" si="1865"/>
        <v>0</v>
      </c>
      <c r="U357" s="11">
        <f t="shared" si="1865"/>
        <v>0</v>
      </c>
      <c r="V357" s="11">
        <f t="shared" si="1241"/>
      </c>
      <c r="W357" s="11" t="s">
        <f t="shared" si="1239"/>
      </c>
      <c r="X357" s="11" t="s">
        <f t="shared" si="1244"/>
      </c>
    </row>
    <row r="358" ht="12.50" customHeight="true">
      <c r="A358" s="10"/>
      <c r="B358" s="11"/>
      <c r="C358" s="11"/>
      <c r="D358" s="11"/>
      <c r="E358" s="11"/>
      <c r="F358" s="11"/>
      <c r="G358" s="11"/>
      <c r="H358" s="11"/>
      <c r="I358" s="11"/>
      <c r="J358" s="11"/>
      <c r="K358" s="11" t="s">
        <f>""</f>
      </c>
      <c r="L358" s="11" t="s">
        <f t="shared" si="1247"/>
      </c>
      <c r="M358" s="8" t="s">
        <f t="shared" si="1245"/>
      </c>
      <c r="N358" s="11"/>
      <c r="O358" s="10">
        <f ref="O358:P358" t="shared" si="1087">A358</f>
        <v>0</v>
      </c>
      <c r="P358" s="11">
        <f t="shared" si="1087"/>
        <v>0</v>
      </c>
      <c r="Q358" s="11" t="s">
        <f t="shared" si="1240"/>
      </c>
      <c r="R358" s="11">
        <f t="shared" si="1246"/>
        <v>0</v>
      </c>
      <c r="S358" s="11">
        <f ref="S358:U358" t="shared" si="1088">E358</f>
        <v>0</v>
      </c>
      <c r="T358" s="11">
        <f t="shared" si="1088"/>
        <v>0</v>
      </c>
      <c r="U358" s="11">
        <f t="shared" si="1088"/>
        <v>0</v>
      </c>
      <c r="V358" s="11">
        <f t="shared" si="1241"/>
      </c>
      <c r="W358" s="11" t="s">
        <f t="shared" si="1239"/>
      </c>
      <c r="X358" s="11" t="s">
        <f t="shared" si="1244"/>
      </c>
    </row>
    <row r="359" ht="12.50" customHeight="true">
      <c r="A359" s="10"/>
      <c r="B359" s="11"/>
      <c r="C359" s="11"/>
      <c r="D359" s="11"/>
      <c r="E359" s="11"/>
      <c r="F359" s="11"/>
      <c r="G359" s="11"/>
      <c r="H359" s="11"/>
      <c r="I359" s="11"/>
      <c r="J359" s="11"/>
      <c r="K359" s="11" t="s">
        <f>""</f>
      </c>
      <c r="L359" s="11" t="s">
        <f t="shared" si="1247"/>
      </c>
      <c r="M359" s="8" t="s">
        <f t="shared" si="1245"/>
      </c>
      <c r="N359" s="11"/>
      <c r="O359" s="10">
        <f ref="O359:P359" t="shared" si="131">A359</f>
        <v>0</v>
      </c>
      <c r="P359" s="11">
        <f t="shared" si="131"/>
        <v>0</v>
      </c>
      <c r="Q359" s="11" t="s">
        <f t="shared" si="1240"/>
      </c>
      <c r="R359" s="11">
        <f t="shared" si="1246"/>
        <v>0</v>
      </c>
      <c r="S359" s="11">
        <f ref="S359:U359" t="shared" si="130">E359</f>
        <v>0</v>
      </c>
      <c r="T359" s="11">
        <f t="shared" si="130"/>
        <v>0</v>
      </c>
      <c r="U359" s="11">
        <f t="shared" si="130"/>
        <v>0</v>
      </c>
      <c r="V359" s="11">
        <f t="shared" si="1241"/>
      </c>
      <c r="W359" s="11" t="s">
        <f t="shared" si="1239"/>
      </c>
      <c r="X359" s="11" t="s">
        <f t="shared" si="1244"/>
      </c>
    </row>
    <row r="360" ht="12.50" customHeight="true">
      <c r="A360" s="10"/>
      <c r="B360" s="11"/>
      <c r="C360" s="11"/>
      <c r="D360" s="11"/>
      <c r="E360" s="11"/>
      <c r="F360" s="11"/>
      <c r="G360" s="11"/>
      <c r="H360" s="11"/>
      <c r="I360" s="11"/>
      <c r="J360" s="11"/>
      <c r="K360" s="11" t="s">
        <f>""</f>
      </c>
      <c r="L360" s="11" t="s">
        <f t="shared" si="1247"/>
      </c>
      <c r="M360" s="8" t="s">
        <f t="shared" si="1245"/>
      </c>
      <c r="N360" s="11"/>
      <c r="O360" s="10">
        <f ref="O360:P360" t="shared" si="1145">A360</f>
        <v>0</v>
      </c>
      <c r="P360" s="11">
        <f t="shared" si="1145"/>
        <v>0</v>
      </c>
      <c r="Q360" s="11" t="s">
        <f t="shared" si="1240"/>
      </c>
      <c r="R360" s="11">
        <f t="shared" si="1246"/>
        <v>0</v>
      </c>
      <c r="S360" s="11">
        <f ref="S360:U360" t="shared" si="1146">E360</f>
        <v>0</v>
      </c>
      <c r="T360" s="11">
        <f t="shared" si="1146"/>
        <v>0</v>
      </c>
      <c r="U360" s="11">
        <f t="shared" si="1146"/>
        <v>0</v>
      </c>
      <c r="V360" s="11">
        <f t="shared" si="1241"/>
      </c>
      <c r="W360" s="11" t="s">
        <f t="shared" si="1239"/>
      </c>
      <c r="X360" s="11" t="s">
        <f t="shared" si="1244"/>
      </c>
    </row>
    <row r="361" ht="12.50" customHeight="true">
      <c r="A361" s="10"/>
      <c r="B361" s="11"/>
      <c r="C361" s="11"/>
      <c r="D361" s="11"/>
      <c r="E361" s="11"/>
      <c r="F361" s="11"/>
      <c r="G361" s="11"/>
      <c r="H361" s="11"/>
      <c r="I361" s="11"/>
      <c r="J361" s="11"/>
      <c r="K361" s="11" t="s">
        <f>""</f>
      </c>
      <c r="L361" s="11" t="s">
        <f t="shared" si="1247"/>
      </c>
      <c r="M361" s="8" t="s">
        <f t="shared" si="1245"/>
      </c>
      <c r="N361" s="11"/>
      <c r="O361" s="10">
        <f ref="O361:P361" t="shared" si="1589">A361</f>
        <v>0</v>
      </c>
      <c r="P361" s="11">
        <f t="shared" si="1589"/>
        <v>0</v>
      </c>
      <c r="Q361" s="11" t="s">
        <f t="shared" si="1240"/>
      </c>
      <c r="R361" s="11">
        <f t="shared" si="1246"/>
        <v>0</v>
      </c>
      <c r="S361" s="11">
        <f ref="S361:U361" t="shared" si="1588">E361</f>
        <v>0</v>
      </c>
      <c r="T361" s="11">
        <f t="shared" si="1588"/>
        <v>0</v>
      </c>
      <c r="U361" s="11">
        <f t="shared" si="1588"/>
        <v>0</v>
      </c>
      <c r="V361" s="11">
        <f t="shared" si="1241"/>
      </c>
      <c r="W361" s="11" t="s">
        <f t="shared" si="1239"/>
      </c>
      <c r="X361" s="11" t="s">
        <f t="shared" si="1244"/>
      </c>
    </row>
    <row r="362" ht="12.50" customHeight="true">
      <c r="A362" s="10"/>
      <c r="B362" s="11"/>
      <c r="C362" s="11"/>
      <c r="D362" s="11"/>
      <c r="E362" s="11"/>
      <c r="F362" s="11"/>
      <c r="G362" s="11"/>
      <c r="H362" s="11"/>
      <c r="I362" s="11"/>
      <c r="J362" s="11"/>
      <c r="K362" s="11" t="s">
        <f>""</f>
      </c>
      <c r="L362" s="11" t="s">
        <f t="shared" si="1247"/>
      </c>
      <c r="M362" s="8" t="s">
        <f t="shared" si="1245"/>
      </c>
      <c r="N362" s="11"/>
      <c r="O362" s="10">
        <f ref="O362:P362" t="shared" si="1806">A362</f>
        <v>0</v>
      </c>
      <c r="P362" s="11">
        <f t="shared" si="1806"/>
        <v>0</v>
      </c>
      <c r="Q362" s="11" t="s">
        <f t="shared" si="1240"/>
      </c>
      <c r="R362" s="11">
        <f t="shared" si="1246"/>
        <v>0</v>
      </c>
      <c r="S362" s="11">
        <f ref="S362:U362" t="shared" si="1807">E362</f>
        <v>0</v>
      </c>
      <c r="T362" s="11">
        <f t="shared" si="1807"/>
        <v>0</v>
      </c>
      <c r="U362" s="11">
        <f t="shared" si="1807"/>
        <v>0</v>
      </c>
      <c r="V362" s="11">
        <f t="shared" si="1241"/>
      </c>
      <c r="W362" s="11" t="s">
        <f t="shared" si="1239"/>
      </c>
      <c r="X362" s="11" t="s">
        <f t="shared" si="1244"/>
      </c>
    </row>
    <row r="363" ht="12.50" customHeight="true">
      <c r="A363" s="10"/>
      <c r="B363" s="11"/>
      <c r="C363" s="11"/>
      <c r="D363" s="11"/>
      <c r="E363" s="11"/>
      <c r="F363" s="11"/>
      <c r="G363" s="11"/>
      <c r="H363" s="11"/>
      <c r="I363" s="11"/>
      <c r="J363" s="11"/>
      <c r="K363" s="11" t="s">
        <f>""</f>
      </c>
      <c r="L363" s="11" t="s">
        <f t="shared" si="1247"/>
      </c>
      <c r="M363" s="8" t="s">
        <f t="shared" si="1245"/>
      </c>
      <c r="N363" s="11"/>
      <c r="O363" s="10">
        <f ref="O363:P363" t="shared" si="30">A363</f>
        <v>0</v>
      </c>
      <c r="P363" s="11">
        <f t="shared" si="30"/>
        <v>0</v>
      </c>
      <c r="Q363" s="11" t="s">
        <f t="shared" si="1240"/>
      </c>
      <c r="R363" s="11">
        <f t="shared" si="1246"/>
        <v>0</v>
      </c>
      <c r="S363" s="11">
        <f ref="S363:U363" t="shared" si="31">E363</f>
        <v>0</v>
      </c>
      <c r="T363" s="11">
        <f t="shared" si="31"/>
        <v>0</v>
      </c>
      <c r="U363" s="11">
        <f t="shared" si="31"/>
        <v>0</v>
      </c>
      <c r="V363" s="11">
        <f t="shared" si="1241"/>
      </c>
      <c r="W363" s="11" t="s">
        <f t="shared" si="1239"/>
      </c>
      <c r="X363" s="11" t="s">
        <f t="shared" si="1244"/>
      </c>
    </row>
    <row r="364" ht="12.50" customHeight="true">
      <c r="A364" s="10"/>
      <c r="B364" s="11"/>
      <c r="C364" s="11"/>
      <c r="D364" s="11"/>
      <c r="E364" s="11"/>
      <c r="F364" s="11"/>
      <c r="G364" s="11"/>
      <c r="H364" s="11"/>
      <c r="I364" s="11"/>
      <c r="J364" s="11"/>
      <c r="K364" s="11" t="s">
        <f>""</f>
      </c>
      <c r="L364" s="11" t="s">
        <f t="shared" si="1247"/>
      </c>
      <c r="M364" s="8" t="s">
        <f t="shared" si="1245"/>
      </c>
      <c r="N364" s="11"/>
      <c r="O364" s="10">
        <f ref="O364:P364" t="shared" si="787">A364</f>
        <v>0</v>
      </c>
      <c r="P364" s="11">
        <f t="shared" si="787"/>
        <v>0</v>
      </c>
      <c r="Q364" s="11" t="s">
        <f t="shared" si="1240"/>
      </c>
      <c r="R364" s="11">
        <f t="shared" si="1246"/>
        <v>0</v>
      </c>
      <c r="S364" s="11">
        <f ref="S364:U364" t="shared" si="786">E364</f>
        <v>0</v>
      </c>
      <c r="T364" s="11">
        <f t="shared" si="786"/>
        <v>0</v>
      </c>
      <c r="U364" s="11">
        <f t="shared" si="786"/>
        <v>0</v>
      </c>
      <c r="V364" s="11">
        <f t="shared" si="1241"/>
      </c>
      <c r="W364" s="11" t="s">
        <f t="shared" si="1239"/>
      </c>
      <c r="X364" s="11" t="s">
        <f t="shared" si="1244"/>
      </c>
    </row>
    <row r="365" ht="12.50" customHeight="true">
      <c r="A365" s="10"/>
      <c r="B365" s="11"/>
      <c r="C365" s="11"/>
      <c r="D365" s="11"/>
      <c r="E365" s="11"/>
      <c r="F365" s="11"/>
      <c r="G365" s="11"/>
      <c r="H365" s="11"/>
      <c r="I365" s="11"/>
      <c r="J365" s="11"/>
      <c r="K365" s="11" t="s">
        <f>""</f>
      </c>
      <c r="L365" s="11" t="s">
        <f t="shared" si="1247"/>
      </c>
      <c r="M365" s="8" t="s">
        <f t="shared" si="1245"/>
      </c>
      <c r="N365" s="11"/>
      <c r="O365" s="10">
        <f ref="O365:P365" t="shared" si="1274">A365</f>
        <v>0</v>
      </c>
      <c r="P365" s="11">
        <f t="shared" si="1274"/>
        <v>0</v>
      </c>
      <c r="Q365" s="11" t="s">
        <f t="shared" si="1240"/>
      </c>
      <c r="R365" s="11">
        <f t="shared" si="1246"/>
        <v>0</v>
      </c>
      <c r="S365" s="11">
        <f ref="S365:U365" t="shared" si="1275">E365</f>
        <v>0</v>
      </c>
      <c r="T365" s="11">
        <f t="shared" si="1275"/>
        <v>0</v>
      </c>
      <c r="U365" s="11">
        <f t="shared" si="1275"/>
        <v>0</v>
      </c>
      <c r="V365" s="11">
        <f t="shared" si="1241"/>
      </c>
      <c r="W365" s="11" t="s">
        <f t="shared" si="1239"/>
      </c>
      <c r="X365" s="11" t="s">
        <f t="shared" si="1244"/>
      </c>
    </row>
    <row r="366" ht="12.50" customHeight="true">
      <c r="A366" s="10"/>
      <c r="B366" s="11"/>
      <c r="C366" s="11"/>
      <c r="D366" s="11"/>
      <c r="E366" s="11"/>
      <c r="F366" s="11"/>
      <c r="G366" s="11"/>
      <c r="H366" s="11"/>
      <c r="I366" s="11"/>
      <c r="J366" s="11"/>
      <c r="K366" s="11" t="s">
        <f>""</f>
      </c>
      <c r="L366" s="11" t="s">
        <f t="shared" si="1247"/>
      </c>
      <c r="M366" s="8" t="s">
        <f t="shared" si="1245"/>
      </c>
      <c r="N366" s="11"/>
      <c r="O366" s="10">
        <f ref="O366:P366" t="shared" si="1868">A366</f>
        <v>0</v>
      </c>
      <c r="P366" s="11">
        <f t="shared" si="1868"/>
        <v>0</v>
      </c>
      <c r="Q366" s="11" t="s">
        <f t="shared" si="1240"/>
      </c>
      <c r="R366" s="11">
        <f t="shared" si="1246"/>
        <v>0</v>
      </c>
      <c r="S366" s="11">
        <f ref="S366:U366" t="shared" si="1869">E366</f>
        <v>0</v>
      </c>
      <c r="T366" s="11">
        <f t="shared" si="1869"/>
        <v>0</v>
      </c>
      <c r="U366" s="11">
        <f t="shared" si="1869"/>
        <v>0</v>
      </c>
      <c r="V366" s="11">
        <f t="shared" si="1241"/>
      </c>
      <c r="W366" s="11" t="s">
        <f t="shared" si="1239"/>
      </c>
      <c r="X366" s="11" t="s">
        <f t="shared" si="1244"/>
      </c>
    </row>
    <row r="367" ht="12.50" customHeight="true">
      <c r="A367" s="10"/>
      <c r="B367" s="11"/>
      <c r="C367" s="11"/>
      <c r="D367" s="11"/>
      <c r="E367" s="11"/>
      <c r="F367" s="11"/>
      <c r="G367" s="11"/>
      <c r="H367" s="11"/>
      <c r="I367" s="11"/>
      <c r="J367" s="11"/>
      <c r="K367" s="11" t="s">
        <f>""</f>
      </c>
      <c r="L367" s="11" t="s">
        <f t="shared" si="1247"/>
      </c>
      <c r="M367" s="8" t="s">
        <f t="shared" si="1245"/>
      </c>
      <c r="N367" s="11"/>
      <c r="O367" s="10">
        <f ref="O367:P367" t="shared" si="1744">A367</f>
        <v>0</v>
      </c>
      <c r="P367" s="11">
        <f t="shared" si="1744"/>
        <v>0</v>
      </c>
      <c r="Q367" s="11" t="s">
        <f t="shared" si="1240"/>
      </c>
      <c r="R367" s="11">
        <f t="shared" si="1246"/>
        <v>0</v>
      </c>
      <c r="S367" s="11">
        <f ref="S367:U367" t="shared" si="1745">E367</f>
        <v>0</v>
      </c>
      <c r="T367" s="11">
        <f t="shared" si="1745"/>
        <v>0</v>
      </c>
      <c r="U367" s="11">
        <f t="shared" si="1745"/>
        <v>0</v>
      </c>
      <c r="V367" s="11">
        <f t="shared" si="1241"/>
      </c>
      <c r="W367" s="11" t="s">
        <f t="shared" si="1239"/>
      </c>
      <c r="X367" s="11" t="s">
        <f t="shared" si="1244"/>
      </c>
    </row>
    <row r="368" ht="12.50" customHeight="true">
      <c r="A368" s="10"/>
      <c r="B368" s="11"/>
      <c r="C368" s="11"/>
      <c r="D368" s="11"/>
      <c r="E368" s="11"/>
      <c r="F368" s="11"/>
      <c r="G368" s="11"/>
      <c r="H368" s="11"/>
      <c r="I368" s="11"/>
      <c r="J368" s="11"/>
      <c r="K368" s="11" t="s">
        <f>""</f>
      </c>
      <c r="L368" s="11" t="s">
        <f t="shared" si="1247"/>
      </c>
      <c r="M368" s="8" t="s">
        <f t="shared" si="1245"/>
      </c>
      <c r="N368" s="11"/>
      <c r="O368" s="10">
        <f ref="O368:P368" t="shared" si="954">A368</f>
        <v>0</v>
      </c>
      <c r="P368" s="11">
        <f t="shared" si="954"/>
        <v>0</v>
      </c>
      <c r="Q368" s="11" t="s">
        <f t="shared" si="1240"/>
      </c>
      <c r="R368" s="11">
        <f t="shared" si="1246"/>
        <v>0</v>
      </c>
      <c r="S368" s="11">
        <f ref="S368:U368" t="shared" si="953">E368</f>
        <v>0</v>
      </c>
      <c r="T368" s="11">
        <f t="shared" si="953"/>
        <v>0</v>
      </c>
      <c r="U368" s="11">
        <f t="shared" si="953"/>
        <v>0</v>
      </c>
      <c r="V368" s="11">
        <f t="shared" si="1241"/>
      </c>
      <c r="W368" s="11" t="s">
        <f t="shared" si="1239"/>
      </c>
      <c r="X368" s="11" t="s">
        <f t="shared" si="1244"/>
      </c>
    </row>
    <row r="369" ht="12.50" customHeight="true">
      <c r="A369" s="10"/>
      <c r="B369" s="11"/>
      <c r="C369" s="11"/>
      <c r="D369" s="11"/>
      <c r="E369" s="11"/>
      <c r="F369" s="11"/>
      <c r="G369" s="11"/>
      <c r="H369" s="11"/>
      <c r="I369" s="11"/>
      <c r="J369" s="11"/>
      <c r="K369" s="11" t="s">
        <f>""</f>
      </c>
      <c r="L369" s="11" t="s">
        <f t="shared" si="1247"/>
      </c>
      <c r="M369" s="8" t="s">
        <f t="shared" si="1245"/>
      </c>
      <c r="N369" s="11"/>
      <c r="O369" s="10">
        <f ref="O369:P369" t="shared" si="1946">A369</f>
        <v>0</v>
      </c>
      <c r="P369" s="11">
        <f t="shared" si="1946"/>
        <v>0</v>
      </c>
      <c r="Q369" s="11" t="s">
        <f t="shared" si="1240"/>
      </c>
      <c r="R369" s="11">
        <f t="shared" si="1246"/>
        <v>0</v>
      </c>
      <c r="S369" s="11">
        <f ref="S369:U369" t="shared" si="1947">E369</f>
        <v>0</v>
      </c>
      <c r="T369" s="11">
        <f t="shared" si="1947"/>
        <v>0</v>
      </c>
      <c r="U369" s="11">
        <f t="shared" si="1947"/>
        <v>0</v>
      </c>
      <c r="V369" s="11">
        <f t="shared" si="1241"/>
      </c>
      <c r="W369" s="11" t="s">
        <f t="shared" si="1239"/>
      </c>
      <c r="X369" s="11" t="s">
        <f t="shared" si="1244"/>
      </c>
    </row>
    <row r="370" ht="12.50" customHeight="true">
      <c r="A370" s="10"/>
      <c r="B370" s="11"/>
      <c r="C370" s="11"/>
      <c r="D370" s="11"/>
      <c r="E370" s="11"/>
      <c r="F370" s="11"/>
      <c r="G370" s="11"/>
      <c r="H370" s="11"/>
      <c r="I370" s="11"/>
      <c r="J370" s="11"/>
      <c r="K370" s="11" t="s">
        <f>""</f>
      </c>
      <c r="L370" s="11" t="s">
        <f t="shared" si="1247"/>
      </c>
      <c r="M370" s="8" t="s">
        <f t="shared" si="1245"/>
      </c>
      <c r="N370" s="11"/>
      <c r="O370" s="10">
        <f ref="O370:P370" t="shared" si="852">A370</f>
        <v>0</v>
      </c>
      <c r="P370" s="11">
        <f t="shared" si="852"/>
        <v>0</v>
      </c>
      <c r="Q370" s="11" t="s">
        <f t="shared" si="1240"/>
      </c>
      <c r="R370" s="11">
        <f t="shared" si="1246"/>
        <v>0</v>
      </c>
      <c r="S370" s="11">
        <f ref="S370:U370" t="shared" si="853">E370</f>
        <v>0</v>
      </c>
      <c r="T370" s="11">
        <f t="shared" si="853"/>
        <v>0</v>
      </c>
      <c r="U370" s="11">
        <f t="shared" si="853"/>
        <v>0</v>
      </c>
      <c r="V370" s="11">
        <f t="shared" si="1241"/>
      </c>
      <c r="W370" s="11" t="s">
        <f t="shared" si="1239"/>
      </c>
      <c r="X370" s="11" t="s">
        <f t="shared" si="1244"/>
      </c>
    </row>
    <row r="371" ht="12.50" customHeight="true">
      <c r="A371" s="10"/>
      <c r="B371" s="11"/>
      <c r="C371" s="11"/>
      <c r="D371" s="11"/>
      <c r="E371" s="11"/>
      <c r="F371" s="11"/>
      <c r="G371" s="11"/>
      <c r="H371" s="11"/>
      <c r="I371" s="11"/>
      <c r="J371" s="11"/>
      <c r="K371" s="11" t="s">
        <f>""</f>
      </c>
      <c r="L371" s="11" t="s">
        <f t="shared" si="1247"/>
      </c>
      <c r="M371" s="8" t="s">
        <f t="shared" si="1245"/>
      </c>
      <c r="N371" s="11"/>
      <c r="O371" s="10">
        <f ref="O371:P371" t="shared" si="326">A371</f>
        <v>0</v>
      </c>
      <c r="P371" s="11">
        <f t="shared" si="326"/>
        <v>0</v>
      </c>
      <c r="Q371" s="11" t="s">
        <f t="shared" si="1240"/>
      </c>
      <c r="R371" s="11">
        <f t="shared" si="1246"/>
        <v>0</v>
      </c>
      <c r="S371" s="11">
        <f ref="S371:U371" t="shared" si="327">E371</f>
        <v>0</v>
      </c>
      <c r="T371" s="11">
        <f t="shared" si="327"/>
        <v>0</v>
      </c>
      <c r="U371" s="11">
        <f t="shared" si="327"/>
        <v>0</v>
      </c>
      <c r="V371" s="11">
        <f t="shared" si="1241"/>
      </c>
      <c r="W371" s="11" t="s">
        <f t="shared" si="1239"/>
      </c>
      <c r="X371" s="11" t="s">
        <f t="shared" si="1244"/>
      </c>
    </row>
    <row r="372" ht="12.50" customHeight="true">
      <c r="A372" s="10"/>
      <c r="B372" s="11"/>
      <c r="C372" s="11"/>
      <c r="D372" s="11"/>
      <c r="E372" s="11"/>
      <c r="F372" s="11"/>
      <c r="G372" s="11"/>
      <c r="H372" s="11"/>
      <c r="I372" s="11"/>
      <c r="J372" s="11"/>
      <c r="K372" s="11" t="s">
        <f>""</f>
      </c>
      <c r="L372" s="11" t="s">
        <f t="shared" si="1247"/>
      </c>
      <c r="M372" s="8" t="s">
        <f t="shared" si="1245"/>
      </c>
      <c r="N372" s="11"/>
      <c r="O372" s="10">
        <f ref="O372:P372" t="shared" si="1329">A372</f>
        <v>0</v>
      </c>
      <c r="P372" s="11">
        <f t="shared" si="1329"/>
        <v>0</v>
      </c>
      <c r="Q372" s="11" t="s">
        <f t="shared" si="1240"/>
      </c>
      <c r="R372" s="11">
        <f t="shared" si="1246"/>
        <v>0</v>
      </c>
      <c r="S372" s="11">
        <f ref="S372:U372" t="shared" si="1328">E372</f>
        <v>0</v>
      </c>
      <c r="T372" s="11">
        <f t="shared" si="1328"/>
        <v>0</v>
      </c>
      <c r="U372" s="11">
        <f t="shared" si="1328"/>
        <v>0</v>
      </c>
      <c r="V372" s="11">
        <f t="shared" si="1241"/>
      </c>
      <c r="W372" s="11" t="s">
        <f t="shared" si="1239"/>
      </c>
      <c r="X372" s="11" t="s">
        <f t="shared" si="1244"/>
      </c>
    </row>
    <row r="373" ht="12.50" customHeight="true">
      <c r="A373" s="10"/>
      <c r="B373" s="11"/>
      <c r="C373" s="11"/>
      <c r="D373" s="11"/>
      <c r="E373" s="11"/>
      <c r="F373" s="11"/>
      <c r="G373" s="11"/>
      <c r="H373" s="11"/>
      <c r="I373" s="11"/>
      <c r="J373" s="11"/>
      <c r="K373" s="11" t="s">
        <f>""</f>
      </c>
      <c r="L373" s="11" t="s">
        <f t="shared" si="1247"/>
      </c>
      <c r="M373" s="8" t="s">
        <f t="shared" si="1245"/>
      </c>
      <c r="N373" s="11"/>
      <c r="O373" s="10">
        <f ref="O373:P373" t="shared" si="1916">A373</f>
        <v>0</v>
      </c>
      <c r="P373" s="11">
        <f t="shared" si="1916"/>
        <v>0</v>
      </c>
      <c r="Q373" s="11" t="s">
        <f t="shared" si="1240"/>
      </c>
      <c r="R373" s="11">
        <f t="shared" si="1246"/>
        <v>0</v>
      </c>
      <c r="S373" s="11">
        <f ref="S373:U373" t="shared" si="1917">E373</f>
        <v>0</v>
      </c>
      <c r="T373" s="11">
        <f t="shared" si="1917"/>
        <v>0</v>
      </c>
      <c r="U373" s="11">
        <f t="shared" si="1917"/>
        <v>0</v>
      </c>
      <c r="V373" s="11">
        <f t="shared" si="1241"/>
      </c>
      <c r="W373" s="11" t="s">
        <f t="shared" si="1239"/>
      </c>
      <c r="X373" s="11" t="s">
        <f t="shared" si="1244"/>
      </c>
    </row>
    <row r="374" ht="12.50" customHeight="true">
      <c r="A374" s="10"/>
      <c r="B374" s="11"/>
      <c r="C374" s="11"/>
      <c r="D374" s="11"/>
      <c r="E374" s="11"/>
      <c r="F374" s="11"/>
      <c r="G374" s="11"/>
      <c r="H374" s="11"/>
      <c r="I374" s="11"/>
      <c r="J374" s="11"/>
      <c r="K374" s="11" t="s">
        <f>""</f>
      </c>
      <c r="L374" s="11" t="s">
        <f t="shared" si="1247"/>
      </c>
      <c r="M374" s="8" t="s">
        <f t="shared" si="1245"/>
      </c>
      <c r="N374" s="11"/>
      <c r="O374" s="10">
        <f ref="O374:P374" t="shared" si="868">A374</f>
        <v>0</v>
      </c>
      <c r="P374" s="11">
        <f t="shared" si="868"/>
        <v>0</v>
      </c>
      <c r="Q374" s="11" t="s">
        <f t="shared" si="1240"/>
      </c>
      <c r="R374" s="11">
        <f t="shared" si="1246"/>
        <v>0</v>
      </c>
      <c r="S374" s="11">
        <f ref="S374:U374" t="shared" si="869">E374</f>
        <v>0</v>
      </c>
      <c r="T374" s="11">
        <f t="shared" si="869"/>
        <v>0</v>
      </c>
      <c r="U374" s="11">
        <f t="shared" si="869"/>
        <v>0</v>
      </c>
      <c r="V374" s="11">
        <f t="shared" si="1241"/>
      </c>
      <c r="W374" s="11" t="s">
        <f t="shared" si="1239"/>
      </c>
      <c r="X374" s="11" t="s">
        <f t="shared" si="1244"/>
      </c>
    </row>
    <row r="375" ht="12.50" customHeight="true">
      <c r="A375" s="10"/>
      <c r="B375" s="11"/>
      <c r="C375" s="11"/>
      <c r="D375" s="11"/>
      <c r="E375" s="11"/>
      <c r="F375" s="11"/>
      <c r="G375" s="11"/>
      <c r="H375" s="11"/>
      <c r="I375" s="11"/>
      <c r="J375" s="11"/>
      <c r="K375" s="11" t="s">
        <f>""</f>
      </c>
      <c r="L375" s="11" t="s">
        <f t="shared" si="1247"/>
      </c>
      <c r="M375" s="8" t="s">
        <f t="shared" si="1245"/>
      </c>
      <c r="N375" s="11"/>
      <c r="O375" s="10">
        <f ref="O375:P375" t="shared" si="499">A375</f>
        <v>0</v>
      </c>
      <c r="P375" s="11">
        <f t="shared" si="499"/>
        <v>0</v>
      </c>
      <c r="Q375" s="11" t="s">
        <f t="shared" si="1240"/>
      </c>
      <c r="R375" s="11">
        <f t="shared" si="1246"/>
        <v>0</v>
      </c>
      <c r="S375" s="11">
        <f ref="S375:U375" t="shared" si="498">E375</f>
        <v>0</v>
      </c>
      <c r="T375" s="11">
        <f t="shared" si="498"/>
        <v>0</v>
      </c>
      <c r="U375" s="11">
        <f t="shared" si="498"/>
        <v>0</v>
      </c>
      <c r="V375" s="11">
        <f t="shared" si="1241"/>
      </c>
      <c r="W375" s="11" t="s">
        <f t="shared" si="1239"/>
      </c>
      <c r="X375" s="11" t="s">
        <f t="shared" si="1244"/>
      </c>
    </row>
    <row r="376" ht="12.50" customHeight="true">
      <c r="A376" s="10"/>
      <c r="B376" s="11"/>
      <c r="C376" s="11"/>
      <c r="D376" s="11"/>
      <c r="E376" s="11"/>
      <c r="F376" s="11"/>
      <c r="G376" s="11"/>
      <c r="H376" s="11"/>
      <c r="I376" s="11"/>
      <c r="J376" s="11"/>
      <c r="K376" s="11" t="s">
        <f>""</f>
      </c>
      <c r="L376" s="11" t="s">
        <f t="shared" si="1247"/>
      </c>
      <c r="M376" s="8" t="s">
        <f t="shared" si="1245"/>
      </c>
      <c r="N376" s="11"/>
      <c r="O376" s="10">
        <f ref="O376:P376" t="shared" si="837">A376</f>
        <v>0</v>
      </c>
      <c r="P376" s="11">
        <f t="shared" si="837"/>
        <v>0</v>
      </c>
      <c r="Q376" s="11" t="s">
        <f t="shared" si="1240"/>
      </c>
      <c r="R376" s="11">
        <f t="shared" si="1246"/>
        <v>0</v>
      </c>
      <c r="S376" s="11">
        <f ref="S376:U376" t="shared" si="836">E376</f>
        <v>0</v>
      </c>
      <c r="T376" s="11">
        <f t="shared" si="836"/>
        <v>0</v>
      </c>
      <c r="U376" s="11">
        <f t="shared" si="836"/>
        <v>0</v>
      </c>
      <c r="V376" s="11">
        <f t="shared" si="1241"/>
      </c>
      <c r="W376" s="11" t="s">
        <f t="shared" si="1239"/>
      </c>
      <c r="X376" s="11" t="s">
        <f t="shared" si="1244"/>
      </c>
    </row>
    <row r="377" ht="12.50" customHeight="true">
      <c r="A377" s="10"/>
      <c r="B377" s="11"/>
      <c r="C377" s="11"/>
      <c r="D377" s="11"/>
      <c r="E377" s="11"/>
      <c r="F377" s="11"/>
      <c r="G377" s="11"/>
      <c r="H377" s="11"/>
      <c r="I377" s="11"/>
      <c r="J377" s="11"/>
      <c r="K377" s="11" t="s">
        <f>""</f>
      </c>
      <c r="L377" s="11" t="s">
        <f t="shared" si="1247"/>
      </c>
      <c r="M377" s="8" t="s">
        <f t="shared" si="1245"/>
      </c>
      <c r="N377" s="11"/>
      <c r="O377" s="10">
        <f ref="O377:P377" t="shared" si="1834">A377</f>
        <v>0</v>
      </c>
      <c r="P377" s="11">
        <f t="shared" si="1834"/>
        <v>0</v>
      </c>
      <c r="Q377" s="11" t="s">
        <f t="shared" si="1240"/>
      </c>
      <c r="R377" s="11">
        <f t="shared" si="1246"/>
        <v>0</v>
      </c>
      <c r="S377" s="11">
        <f ref="S377:U377" t="shared" si="1835">E377</f>
        <v>0</v>
      </c>
      <c r="T377" s="11">
        <f t="shared" si="1835"/>
        <v>0</v>
      </c>
      <c r="U377" s="11">
        <f t="shared" si="1835"/>
        <v>0</v>
      </c>
      <c r="V377" s="11">
        <f t="shared" si="1241"/>
      </c>
      <c r="W377" s="11" t="s">
        <f t="shared" si="1239"/>
      </c>
      <c r="X377" s="11" t="s">
        <f t="shared" si="1244"/>
      </c>
    </row>
    <row r="378" ht="12.50" customHeight="true">
      <c r="A378" s="10"/>
      <c r="B378" s="11"/>
      <c r="C378" s="11"/>
      <c r="D378" s="11"/>
      <c r="E378" s="11"/>
      <c r="F378" s="11"/>
      <c r="G378" s="11"/>
      <c r="H378" s="11"/>
      <c r="I378" s="11"/>
      <c r="J378" s="11"/>
      <c r="K378" s="11" t="s">
        <f>""</f>
      </c>
      <c r="L378" s="11" t="s">
        <f t="shared" si="1247"/>
      </c>
      <c r="M378" s="8" t="s">
        <f t="shared" si="1245"/>
      </c>
      <c r="N378" s="11"/>
      <c r="O378" s="10">
        <f ref="O378:P378" t="shared" si="1672">A378</f>
        <v>0</v>
      </c>
      <c r="P378" s="11">
        <f t="shared" si="1672"/>
        <v>0</v>
      </c>
      <c r="Q378" s="11" t="s">
        <f t="shared" si="1240"/>
      </c>
      <c r="R378" s="11">
        <f t="shared" si="1246"/>
        <v>0</v>
      </c>
      <c r="S378" s="11">
        <f ref="S378:U378" t="shared" si="1673">E378</f>
        <v>0</v>
      </c>
      <c r="T378" s="11">
        <f t="shared" si="1673"/>
        <v>0</v>
      </c>
      <c r="U378" s="11">
        <f t="shared" si="1673"/>
        <v>0</v>
      </c>
      <c r="V378" s="11">
        <f t="shared" si="1241"/>
      </c>
      <c r="W378" s="11" t="s">
        <f t="shared" si="1239"/>
      </c>
      <c r="X378" s="11" t="s">
        <f t="shared" si="1244"/>
      </c>
    </row>
    <row r="379" ht="12.50" customHeight="true">
      <c r="A379" s="10"/>
      <c r="B379" s="11"/>
      <c r="C379" s="11"/>
      <c r="D379" s="11"/>
      <c r="E379" s="11"/>
      <c r="F379" s="11"/>
      <c r="G379" s="11"/>
      <c r="H379" s="11"/>
      <c r="I379" s="11"/>
      <c r="J379" s="11"/>
      <c r="K379" s="11" t="s">
        <f>""</f>
      </c>
      <c r="L379" s="11" t="s">
        <f t="shared" si="1247"/>
      </c>
      <c r="M379" s="8" t="s">
        <f t="shared" si="1245"/>
      </c>
      <c r="N379" s="11"/>
      <c r="O379" s="10">
        <f ref="O379:P379" t="shared" si="1888">A379</f>
        <v>0</v>
      </c>
      <c r="P379" s="11">
        <f t="shared" si="1888"/>
        <v>0</v>
      </c>
      <c r="Q379" s="11" t="s">
        <f t="shared" si="1240"/>
      </c>
      <c r="R379" s="11">
        <f t="shared" si="1246"/>
        <v>0</v>
      </c>
      <c r="S379" s="11">
        <f ref="S379:U379" t="shared" si="1889">E379</f>
        <v>0</v>
      </c>
      <c r="T379" s="11">
        <f t="shared" si="1889"/>
        <v>0</v>
      </c>
      <c r="U379" s="11">
        <f t="shared" si="1889"/>
        <v>0</v>
      </c>
      <c r="V379" s="11">
        <f t="shared" si="1241"/>
      </c>
      <c r="W379" s="11" t="s">
        <f t="shared" si="1239"/>
      </c>
      <c r="X379" s="11" t="s">
        <f t="shared" si="1244"/>
      </c>
    </row>
    <row r="380" ht="12.50" customHeight="true">
      <c r="A380" s="10"/>
      <c r="B380" s="11"/>
      <c r="C380" s="11"/>
      <c r="D380" s="11"/>
      <c r="E380" s="11"/>
      <c r="F380" s="11"/>
      <c r="G380" s="11"/>
      <c r="H380" s="11"/>
      <c r="I380" s="11"/>
      <c r="J380" s="11"/>
      <c r="K380" s="11" t="s">
        <f>""</f>
      </c>
      <c r="L380" s="11" t="s">
        <f t="shared" si="1247"/>
      </c>
      <c r="M380" s="8" t="s">
        <f t="shared" si="1245"/>
      </c>
      <c r="N380" s="11"/>
      <c r="O380" s="10">
        <f ref="O380:P380" t="shared" si="408">A380</f>
        <v>0</v>
      </c>
      <c r="P380" s="11">
        <f t="shared" si="408"/>
        <v>0</v>
      </c>
      <c r="Q380" s="11" t="s">
        <f t="shared" si="1240"/>
      </c>
      <c r="R380" s="11">
        <f t="shared" si="1246"/>
        <v>0</v>
      </c>
      <c r="S380" s="11">
        <f ref="S380:U380" t="shared" si="409">E380</f>
        <v>0</v>
      </c>
      <c r="T380" s="11">
        <f t="shared" si="409"/>
        <v>0</v>
      </c>
      <c r="U380" s="11">
        <f t="shared" si="409"/>
        <v>0</v>
      </c>
      <c r="V380" s="11">
        <f t="shared" si="1241"/>
      </c>
      <c r="W380" s="11" t="s">
        <f t="shared" si="1239"/>
      </c>
      <c r="X380" s="11" t="s">
        <f t="shared" si="1244"/>
      </c>
    </row>
    <row r="381" ht="12.50" customHeight="true">
      <c r="A381" s="10"/>
      <c r="B381" s="11"/>
      <c r="C381" s="11"/>
      <c r="D381" s="11"/>
      <c r="E381" s="11"/>
      <c r="F381" s="11"/>
      <c r="G381" s="11"/>
      <c r="H381" s="11"/>
      <c r="I381" s="11"/>
      <c r="J381" s="11"/>
      <c r="K381" s="11" t="s">
        <f>""</f>
      </c>
      <c r="L381" s="11" t="s">
        <f t="shared" si="1247"/>
      </c>
      <c r="M381" s="8" t="s">
        <f t="shared" si="1245"/>
      </c>
      <c r="N381" s="11"/>
      <c r="O381" s="10">
        <f ref="O381:P381" t="shared" si="1903">A381</f>
        <v>0</v>
      </c>
      <c r="P381" s="11">
        <f t="shared" si="1903"/>
        <v>0</v>
      </c>
      <c r="Q381" s="11" t="s">
        <f t="shared" si="1240"/>
      </c>
      <c r="R381" s="11">
        <f t="shared" si="1246"/>
        <v>0</v>
      </c>
      <c r="S381" s="11">
        <f ref="S381:U381" t="shared" si="1902">E381</f>
        <v>0</v>
      </c>
      <c r="T381" s="11">
        <f t="shared" si="1902"/>
        <v>0</v>
      </c>
      <c r="U381" s="11">
        <f t="shared" si="1902"/>
        <v>0</v>
      </c>
      <c r="V381" s="11">
        <f t="shared" si="1241"/>
      </c>
      <c r="W381" s="11" t="s">
        <f t="shared" si="1239"/>
      </c>
      <c r="X381" s="11" t="s">
        <f t="shared" si="1244"/>
      </c>
    </row>
    <row r="382" ht="12.50" customHeight="true">
      <c r="A382" s="10"/>
      <c r="B382" s="11"/>
      <c r="C382" s="11"/>
      <c r="D382" s="11"/>
      <c r="E382" s="11"/>
      <c r="F382" s="11"/>
      <c r="G382" s="11"/>
      <c r="H382" s="11"/>
      <c r="I382" s="11"/>
      <c r="J382" s="11"/>
      <c r="K382" s="11" t="s">
        <f>""</f>
      </c>
      <c r="L382" s="11" t="s">
        <f t="shared" si="1247"/>
      </c>
      <c r="M382" s="8" t="s">
        <f t="shared" si="1245"/>
      </c>
      <c r="N382" s="11"/>
      <c r="O382" s="10">
        <f ref="O382:P382" t="shared" si="1279">A382</f>
        <v>0</v>
      </c>
      <c r="P382" s="11">
        <f t="shared" si="1279"/>
        <v>0</v>
      </c>
      <c r="Q382" s="11" t="s">
        <f t="shared" si="1240"/>
      </c>
      <c r="R382" s="11">
        <f t="shared" si="1246"/>
        <v>0</v>
      </c>
      <c r="S382" s="11">
        <f ref="S382:U382" t="shared" si="1278">E382</f>
        <v>0</v>
      </c>
      <c r="T382" s="11">
        <f t="shared" si="1278"/>
        <v>0</v>
      </c>
      <c r="U382" s="11">
        <f t="shared" si="1278"/>
        <v>0</v>
      </c>
      <c r="V382" s="11">
        <f t="shared" si="1241"/>
      </c>
      <c r="W382" s="11" t="s">
        <f t="shared" si="1239"/>
      </c>
      <c r="X382" s="11" t="s">
        <f t="shared" si="1244"/>
      </c>
    </row>
    <row r="383" ht="12.50" customHeight="true">
      <c r="A383" s="10"/>
      <c r="B383" s="11"/>
      <c r="C383" s="11"/>
      <c r="D383" s="11"/>
      <c r="E383" s="11"/>
      <c r="F383" s="11"/>
      <c r="G383" s="11"/>
      <c r="H383" s="11"/>
      <c r="I383" s="11"/>
      <c r="J383" s="11"/>
      <c r="K383" s="11" t="s">
        <f>""</f>
      </c>
      <c r="L383" s="11" t="s">
        <f t="shared" si="1247"/>
      </c>
      <c r="M383" s="8" t="s">
        <f t="shared" si="1245"/>
      </c>
      <c r="N383" s="11"/>
      <c r="O383" s="10">
        <f ref="O383:P383" t="shared" si="1709">A383</f>
        <v>0</v>
      </c>
      <c r="P383" s="11">
        <f t="shared" si="1709"/>
        <v>0</v>
      </c>
      <c r="Q383" s="11" t="s">
        <f t="shared" si="1240"/>
      </c>
      <c r="R383" s="11">
        <f t="shared" si="1246"/>
        <v>0</v>
      </c>
      <c r="S383" s="11">
        <f ref="S383:U383" t="shared" si="1708">E383</f>
        <v>0</v>
      </c>
      <c r="T383" s="11">
        <f t="shared" si="1708"/>
        <v>0</v>
      </c>
      <c r="U383" s="11">
        <f t="shared" si="1708"/>
        <v>0</v>
      </c>
      <c r="V383" s="11">
        <f t="shared" si="1241"/>
      </c>
      <c r="W383" s="11" t="s">
        <f t="shared" si="1239"/>
      </c>
      <c r="X383" s="11" t="s">
        <f t="shared" si="1244"/>
      </c>
    </row>
    <row r="384" ht="12.50" customHeight="true">
      <c r="A384" s="10"/>
      <c r="B384" s="11"/>
      <c r="C384" s="11"/>
      <c r="D384" s="11"/>
      <c r="E384" s="11"/>
      <c r="F384" s="11"/>
      <c r="G384" s="11"/>
      <c r="H384" s="11"/>
      <c r="I384" s="11"/>
      <c r="J384" s="11"/>
      <c r="K384" s="11" t="s">
        <f>""</f>
      </c>
      <c r="L384" s="11" t="s">
        <f t="shared" si="1247"/>
      </c>
      <c r="M384" s="8" t="s">
        <f t="shared" si="1245"/>
      </c>
      <c r="N384" s="11"/>
      <c r="O384" s="10">
        <f ref="O384:P384" t="shared" si="1113">A384</f>
        <v>0</v>
      </c>
      <c r="P384" s="11">
        <f t="shared" si="1113"/>
        <v>0</v>
      </c>
      <c r="Q384" s="11" t="s">
        <f t="shared" si="1240"/>
      </c>
      <c r="R384" s="11">
        <f t="shared" si="1246"/>
        <v>0</v>
      </c>
      <c r="S384" s="11">
        <f ref="S384:U384" t="shared" si="1114">E384</f>
        <v>0</v>
      </c>
      <c r="T384" s="11">
        <f t="shared" si="1114"/>
        <v>0</v>
      </c>
      <c r="U384" s="11">
        <f t="shared" si="1114"/>
        <v>0</v>
      </c>
      <c r="V384" s="11">
        <f t="shared" si="1241"/>
      </c>
      <c r="W384" s="11" t="s">
        <f t="shared" si="1239"/>
      </c>
      <c r="X384" s="11" t="s">
        <f t="shared" si="1244"/>
      </c>
    </row>
    <row r="385" ht="12.50" customHeight="true">
      <c r="A385" s="10"/>
      <c r="B385" s="11"/>
      <c r="C385" s="11"/>
      <c r="D385" s="11"/>
      <c r="E385" s="11"/>
      <c r="F385" s="11"/>
      <c r="G385" s="11"/>
      <c r="H385" s="11"/>
      <c r="I385" s="11"/>
      <c r="J385" s="11"/>
      <c r="K385" s="11" t="s">
        <f>""</f>
      </c>
      <c r="L385" s="11" t="s">
        <f t="shared" si="1247"/>
      </c>
      <c r="M385" s="8" t="s">
        <f t="shared" si="1245"/>
      </c>
      <c r="N385" s="11"/>
      <c r="O385" s="10">
        <f ref="O385:P385" t="shared" si="226">A385</f>
        <v>0</v>
      </c>
      <c r="P385" s="11">
        <f t="shared" si="226"/>
        <v>0</v>
      </c>
      <c r="Q385" s="11" t="s">
        <f t="shared" si="1240"/>
      </c>
      <c r="R385" s="11">
        <f t="shared" si="1246"/>
        <v>0</v>
      </c>
      <c r="S385" s="11">
        <f ref="S385:U385" t="shared" si="225">E385</f>
        <v>0</v>
      </c>
      <c r="T385" s="11">
        <f t="shared" si="225"/>
        <v>0</v>
      </c>
      <c r="U385" s="11">
        <f t="shared" si="225"/>
        <v>0</v>
      </c>
      <c r="V385" s="11">
        <f t="shared" si="1241"/>
      </c>
      <c r="W385" s="11" t="s">
        <f t="shared" si="1239"/>
      </c>
      <c r="X385" s="11" t="s">
        <f t="shared" si="1244"/>
      </c>
    </row>
    <row r="386" ht="12.50" customHeight="true">
      <c r="A386" s="10"/>
      <c r="B386" s="11"/>
      <c r="C386" s="11"/>
      <c r="D386" s="11"/>
      <c r="E386" s="11"/>
      <c r="F386" s="11"/>
      <c r="G386" s="11"/>
      <c r="H386" s="11"/>
      <c r="I386" s="11"/>
      <c r="J386" s="11"/>
      <c r="K386" s="11" t="s">
        <f>""</f>
      </c>
      <c r="L386" s="11" t="s">
        <f t="shared" si="1247"/>
      </c>
      <c r="M386" s="8" t="s">
        <f t="shared" si="1245"/>
      </c>
      <c r="N386" s="11"/>
      <c r="O386" s="10">
        <f ref="O386:P386" t="shared" si="753">A386</f>
        <v>0</v>
      </c>
      <c r="P386" s="11">
        <f t="shared" si="753"/>
        <v>0</v>
      </c>
      <c r="Q386" s="11" t="s">
        <f t="shared" si="1240"/>
      </c>
      <c r="R386" s="11">
        <f t="shared" si="1246"/>
        <v>0</v>
      </c>
      <c r="S386" s="11">
        <f ref="S386:U386" t="shared" si="752">E386</f>
        <v>0</v>
      </c>
      <c r="T386" s="11">
        <f t="shared" si="752"/>
        <v>0</v>
      </c>
      <c r="U386" s="11">
        <f t="shared" si="752"/>
        <v>0</v>
      </c>
      <c r="V386" s="11">
        <f t="shared" si="1241"/>
      </c>
      <c r="W386" s="11" t="s">
        <f t="shared" si="1239"/>
      </c>
      <c r="X386" s="11" t="s">
        <f t="shared" si="1244"/>
      </c>
    </row>
    <row r="387" ht="12.50" customHeight="true">
      <c r="A387" s="10"/>
      <c r="B387" s="11"/>
      <c r="C387" s="11"/>
      <c r="D387" s="11"/>
      <c r="E387" s="11"/>
      <c r="F387" s="11"/>
      <c r="G387" s="11"/>
      <c r="H387" s="11"/>
      <c r="I387" s="11"/>
      <c r="J387" s="11"/>
      <c r="K387" s="11" t="s">
        <f>""</f>
      </c>
      <c r="L387" s="11" t="s">
        <f t="shared" si="1247"/>
      </c>
      <c r="M387" s="8" t="s">
        <f t="shared" si="1245"/>
      </c>
      <c r="N387" s="11"/>
      <c r="O387" s="10">
        <f ref="O387:P387" t="shared" si="1430">A387</f>
        <v>0</v>
      </c>
      <c r="P387" s="11">
        <f t="shared" si="1430"/>
        <v>0</v>
      </c>
      <c r="Q387" s="11" t="s">
        <f t="shared" si="1240"/>
      </c>
      <c r="R387" s="11">
        <f t="shared" si="1246"/>
        <v>0</v>
      </c>
      <c r="S387" s="11">
        <f ref="S387:U387" t="shared" si="1431">E387</f>
        <v>0</v>
      </c>
      <c r="T387" s="11">
        <f t="shared" si="1431"/>
        <v>0</v>
      </c>
      <c r="U387" s="11">
        <f t="shared" si="1431"/>
        <v>0</v>
      </c>
      <c r="V387" s="11">
        <f t="shared" si="1241"/>
      </c>
      <c r="W387" s="11" t="s">
        <f t="shared" si="1239"/>
      </c>
      <c r="X387" s="11" t="s">
        <f t="shared" si="1244"/>
      </c>
    </row>
    <row r="388" ht="12.50" customHeight="true">
      <c r="A388" s="10"/>
      <c r="B388" s="11"/>
      <c r="C388" s="11"/>
      <c r="D388" s="11"/>
      <c r="E388" s="11"/>
      <c r="F388" s="11"/>
      <c r="G388" s="11"/>
      <c r="H388" s="11"/>
      <c r="I388" s="11"/>
      <c r="J388" s="11"/>
      <c r="K388" s="11" t="s">
        <f>""</f>
      </c>
      <c r="L388" s="11" t="s">
        <f t="shared" si="1247"/>
      </c>
      <c r="M388" s="8" t="s">
        <f t="shared" si="1245"/>
      </c>
      <c r="N388" s="11"/>
      <c r="O388" s="10">
        <f ref="O388:P388" t="shared" si="684">A388</f>
        <v>0</v>
      </c>
      <c r="P388" s="11">
        <f t="shared" si="684"/>
        <v>0</v>
      </c>
      <c r="Q388" s="11" t="s">
        <f t="shared" si="1240"/>
      </c>
      <c r="R388" s="11">
        <f t="shared" si="1246"/>
        <v>0</v>
      </c>
      <c r="S388" s="11">
        <f ref="S388:U388" t="shared" si="685">E388</f>
        <v>0</v>
      </c>
      <c r="T388" s="11">
        <f t="shared" si="685"/>
        <v>0</v>
      </c>
      <c r="U388" s="11">
        <f t="shared" si="685"/>
        <v>0</v>
      </c>
      <c r="V388" s="11">
        <f t="shared" si="1241"/>
      </c>
      <c r="W388" s="11" t="s">
        <f t="shared" si="1239"/>
      </c>
      <c r="X388" s="11" t="s">
        <f t="shared" si="1244"/>
      </c>
    </row>
    <row r="389" ht="12.50" customHeight="true">
      <c r="A389" s="10"/>
      <c r="B389" s="11"/>
      <c r="C389" s="11"/>
      <c r="D389" s="11"/>
      <c r="E389" s="11"/>
      <c r="F389" s="11"/>
      <c r="G389" s="11"/>
      <c r="H389" s="11"/>
      <c r="I389" s="11"/>
      <c r="J389" s="11"/>
      <c r="K389" s="11" t="s">
        <f>""</f>
      </c>
      <c r="L389" s="11" t="s">
        <f t="shared" si="1247"/>
      </c>
      <c r="M389" s="8" t="s">
        <f t="shared" si="1245"/>
      </c>
      <c r="N389" s="11"/>
      <c r="O389" s="10">
        <f ref="O389:P389" t="shared" si="1138">A389</f>
        <v>0</v>
      </c>
      <c r="P389" s="11">
        <f t="shared" si="1138"/>
        <v>0</v>
      </c>
      <c r="Q389" s="11" t="s">
        <f t="shared" si="1240"/>
      </c>
      <c r="R389" s="11">
        <f t="shared" si="1246"/>
        <v>0</v>
      </c>
      <c r="S389" s="11">
        <f ref="S389:U389" t="shared" si="1137">E389</f>
        <v>0</v>
      </c>
      <c r="T389" s="11">
        <f t="shared" si="1137"/>
        <v>0</v>
      </c>
      <c r="U389" s="11">
        <f t="shared" si="1137"/>
        <v>0</v>
      </c>
      <c r="V389" s="11">
        <f t="shared" si="1241"/>
      </c>
      <c r="W389" s="11" t="s">
        <f t="shared" si="1239"/>
      </c>
      <c r="X389" s="11" t="s">
        <f t="shared" si="1244"/>
      </c>
    </row>
    <row r="390" ht="12.50" customHeight="true">
      <c r="A390" s="10"/>
      <c r="B390" s="11"/>
      <c r="C390" s="11"/>
      <c r="D390" s="11"/>
      <c r="E390" s="11"/>
      <c r="F390" s="11"/>
      <c r="G390" s="11"/>
      <c r="H390" s="11"/>
      <c r="I390" s="11"/>
      <c r="J390" s="11"/>
      <c r="K390" s="11" t="s">
        <f>""</f>
      </c>
      <c r="L390" s="11" t="s">
        <f t="shared" si="1247"/>
      </c>
      <c r="M390" s="8" t="s">
        <f t="shared" si="1245"/>
      </c>
      <c r="N390" s="11"/>
      <c r="O390" s="10">
        <f ref="O390:P390" t="shared" si="1298">A390</f>
        <v>0</v>
      </c>
      <c r="P390" s="11">
        <f t="shared" si="1298"/>
        <v>0</v>
      </c>
      <c r="Q390" s="11" t="s">
        <f t="shared" si="1240"/>
      </c>
      <c r="R390" s="11">
        <f t="shared" si="1246"/>
        <v>0</v>
      </c>
      <c r="S390" s="11">
        <f ref="S390:U390" t="shared" si="1299">E390</f>
        <v>0</v>
      </c>
      <c r="T390" s="11">
        <f t="shared" si="1299"/>
        <v>0</v>
      </c>
      <c r="U390" s="11">
        <f t="shared" si="1299"/>
        <v>0</v>
      </c>
      <c r="V390" s="11">
        <f t="shared" si="1241"/>
      </c>
      <c r="W390" s="11" t="s">
        <f t="shared" si="1239"/>
      </c>
      <c r="X390" s="11" t="s">
        <f t="shared" si="1244"/>
      </c>
    </row>
    <row r="391" ht="12.50" customHeight="true">
      <c r="A391" s="10"/>
      <c r="B391" s="11"/>
      <c r="C391" s="11"/>
      <c r="D391" s="11"/>
      <c r="E391" s="11"/>
      <c r="F391" s="11"/>
      <c r="G391" s="11"/>
      <c r="H391" s="11"/>
      <c r="I391" s="11"/>
      <c r="J391" s="11"/>
      <c r="K391" s="11" t="s">
        <f>""</f>
      </c>
      <c r="L391" s="11" t="s">
        <f t="shared" si="1247"/>
      </c>
      <c r="M391" s="8" t="s">
        <f t="shared" si="1245"/>
      </c>
      <c r="N391" s="11"/>
      <c r="O391" s="10">
        <f ref="O391:P391" t="shared" si="762">A391</f>
        <v>0</v>
      </c>
      <c r="P391" s="11">
        <f t="shared" si="762"/>
        <v>0</v>
      </c>
      <c r="Q391" s="11" t="s">
        <f t="shared" si="1240"/>
      </c>
      <c r="R391" s="11">
        <f t="shared" si="1246"/>
        <v>0</v>
      </c>
      <c r="S391" s="11">
        <f ref="S391:U391" t="shared" si="763">E391</f>
        <v>0</v>
      </c>
      <c r="T391" s="11">
        <f t="shared" si="763"/>
        <v>0</v>
      </c>
      <c r="U391" s="11">
        <f t="shared" si="763"/>
        <v>0</v>
      </c>
      <c r="V391" s="11">
        <f t="shared" si="1241"/>
      </c>
      <c r="W391" s="11" t="s">
        <f t="shared" si="1239"/>
      </c>
      <c r="X391" s="11" t="s">
        <f t="shared" si="1244"/>
      </c>
    </row>
    <row r="392" ht="12.50" customHeight="true">
      <c r="A392" s="10"/>
      <c r="B392" s="11"/>
      <c r="C392" s="11"/>
      <c r="D392" s="11"/>
      <c r="E392" s="11"/>
      <c r="F392" s="11"/>
      <c r="G392" s="11"/>
      <c r="H392" s="11"/>
      <c r="I392" s="11"/>
      <c r="J392" s="11"/>
      <c r="K392" s="11" t="s">
        <f>""</f>
      </c>
      <c r="L392" s="11" t="s">
        <f t="shared" si="1247"/>
      </c>
      <c r="M392" s="8" t="s">
        <f t="shared" si="1245"/>
      </c>
      <c r="N392" s="11"/>
      <c r="O392" s="10">
        <f ref="O392:P392" t="shared" si="1816">A392</f>
        <v>0</v>
      </c>
      <c r="P392" s="11">
        <f t="shared" si="1816"/>
        <v>0</v>
      </c>
      <c r="Q392" s="11" t="s">
        <f t="shared" si="1240"/>
      </c>
      <c r="R392" s="11">
        <f t="shared" si="1246"/>
        <v>0</v>
      </c>
      <c r="S392" s="11">
        <f ref="S392:U392" t="shared" si="1817">E392</f>
        <v>0</v>
      </c>
      <c r="T392" s="11">
        <f t="shared" si="1817"/>
        <v>0</v>
      </c>
      <c r="U392" s="11">
        <f t="shared" si="1817"/>
        <v>0</v>
      </c>
      <c r="V392" s="11">
        <f t="shared" si="1241"/>
      </c>
      <c r="W392" s="11" t="s">
        <f t="shared" si="1239"/>
      </c>
      <c r="X392" s="11" t="s">
        <f t="shared" si="1244"/>
      </c>
    </row>
    <row r="393" ht="12.50" customHeight="true">
      <c r="A393" s="10"/>
      <c r="B393" s="11"/>
      <c r="C393" s="11"/>
      <c r="D393" s="11"/>
      <c r="E393" s="11"/>
      <c r="F393" s="11"/>
      <c r="G393" s="11"/>
      <c r="H393" s="11"/>
      <c r="I393" s="11"/>
      <c r="J393" s="11"/>
      <c r="K393" s="11" t="s">
        <f>""</f>
      </c>
      <c r="L393" s="11" t="s">
        <f t="shared" si="1247"/>
      </c>
      <c r="M393" s="8" t="s">
        <f t="shared" si="1245"/>
      </c>
      <c r="N393" s="11"/>
      <c r="O393" s="10">
        <f ref="O393:P393" t="shared" si="2011">A393</f>
        <v>0</v>
      </c>
      <c r="P393" s="11">
        <f t="shared" si="2011"/>
        <v>0</v>
      </c>
      <c r="Q393" s="11" t="s">
        <f t="shared" si="1240"/>
      </c>
      <c r="R393" s="11">
        <f t="shared" si="1246"/>
        <v>0</v>
      </c>
      <c r="S393" s="11">
        <f ref="S393:U393" t="shared" si="2010">E393</f>
        <v>0</v>
      </c>
      <c r="T393" s="11">
        <f t="shared" si="2010"/>
        <v>0</v>
      </c>
      <c r="U393" s="11">
        <f t="shared" si="2010"/>
        <v>0</v>
      </c>
      <c r="V393" s="11">
        <f t="shared" si="1241"/>
      </c>
      <c r="W393" s="11" t="s">
        <f t="shared" si="1239"/>
      </c>
      <c r="X393" s="11" t="s">
        <f t="shared" si="1244"/>
      </c>
    </row>
    <row r="394" ht="12.50" customHeight="true">
      <c r="A394" s="10"/>
      <c r="B394" s="11"/>
      <c r="C394" s="11"/>
      <c r="D394" s="11"/>
      <c r="E394" s="11"/>
      <c r="F394" s="11"/>
      <c r="G394" s="11"/>
      <c r="H394" s="11"/>
      <c r="I394" s="11"/>
      <c r="J394" s="11"/>
      <c r="K394" s="11" t="s">
        <f>""</f>
      </c>
      <c r="L394" s="11" t="s">
        <f t="shared" si="1247"/>
      </c>
      <c r="M394" s="8" t="s">
        <f t="shared" si="1245"/>
      </c>
      <c r="N394" s="11"/>
      <c r="O394" s="10">
        <f ref="O394:P394" t="shared" si="1553">A394</f>
        <v>0</v>
      </c>
      <c r="P394" s="11">
        <f t="shared" si="1553"/>
        <v>0</v>
      </c>
      <c r="Q394" s="11" t="s">
        <f t="shared" si="1240"/>
      </c>
      <c r="R394" s="11">
        <f t="shared" si="1246"/>
        <v>0</v>
      </c>
      <c r="S394" s="11">
        <f ref="S394:U394" t="shared" si="1552">E394</f>
        <v>0</v>
      </c>
      <c r="T394" s="11">
        <f t="shared" si="1552"/>
        <v>0</v>
      </c>
      <c r="U394" s="11">
        <f t="shared" si="1552"/>
        <v>0</v>
      </c>
      <c r="V394" s="11">
        <f t="shared" si="1241"/>
      </c>
      <c r="W394" s="11" t="s">
        <f t="shared" si="1239"/>
      </c>
      <c r="X394" s="11" t="s">
        <f t="shared" si="1244"/>
      </c>
    </row>
    <row r="395" ht="12.50" customHeight="true">
      <c r="A395" s="10"/>
      <c r="B395" s="11"/>
      <c r="C395" s="11"/>
      <c r="D395" s="11"/>
      <c r="E395" s="11"/>
      <c r="F395" s="11"/>
      <c r="G395" s="11"/>
      <c r="H395" s="11"/>
      <c r="I395" s="11"/>
      <c r="J395" s="11"/>
      <c r="K395" s="11" t="s">
        <f>""</f>
      </c>
      <c r="L395" s="11" t="s">
        <f t="shared" si="1247"/>
      </c>
      <c r="M395" s="8" t="s">
        <f t="shared" si="1245"/>
      </c>
      <c r="N395" s="11"/>
      <c r="O395" s="10">
        <f ref="O395:P395" t="shared" si="594">A395</f>
        <v>0</v>
      </c>
      <c r="P395" s="11">
        <f t="shared" si="594"/>
        <v>0</v>
      </c>
      <c r="Q395" s="11" t="s">
        <f t="shared" si="1240"/>
      </c>
      <c r="R395" s="11">
        <f t="shared" si="1246"/>
        <v>0</v>
      </c>
      <c r="S395" s="11">
        <f ref="S395:U395" t="shared" si="595">E395</f>
        <v>0</v>
      </c>
      <c r="T395" s="11">
        <f t="shared" si="595"/>
        <v>0</v>
      </c>
      <c r="U395" s="11">
        <f t="shared" si="595"/>
        <v>0</v>
      </c>
      <c r="V395" s="11">
        <f t="shared" si="1241"/>
      </c>
      <c r="W395" s="11" t="s">
        <f t="shared" si="1239"/>
      </c>
      <c r="X395" s="11" t="s">
        <f t="shared" si="1244"/>
      </c>
    </row>
    <row r="396" ht="12.50" customHeight="true">
      <c r="A396" s="10"/>
      <c r="B396" s="11"/>
      <c r="C396" s="11"/>
      <c r="D396" s="11"/>
      <c r="E396" s="11"/>
      <c r="F396" s="11"/>
      <c r="G396" s="11"/>
      <c r="H396" s="11"/>
      <c r="I396" s="11"/>
      <c r="J396" s="11"/>
      <c r="K396" s="11" t="s">
        <f>""</f>
      </c>
      <c r="L396" s="11" t="s">
        <f t="shared" si="1247"/>
      </c>
      <c r="M396" s="8" t="s">
        <f t="shared" si="1245"/>
      </c>
      <c r="N396" s="11"/>
      <c r="O396" s="10">
        <f ref="O396:P396" t="shared" si="929">A396</f>
        <v>0</v>
      </c>
      <c r="P396" s="11">
        <f t="shared" si="929"/>
        <v>0</v>
      </c>
      <c r="Q396" s="11" t="s">
        <f t="shared" si="1240"/>
      </c>
      <c r="R396" s="11">
        <f t="shared" si="1246"/>
        <v>0</v>
      </c>
      <c r="S396" s="11">
        <f ref="S396:U396" t="shared" si="928">E396</f>
        <v>0</v>
      </c>
      <c r="T396" s="11">
        <f t="shared" si="928"/>
        <v>0</v>
      </c>
      <c r="U396" s="11">
        <f t="shared" si="928"/>
        <v>0</v>
      </c>
      <c r="V396" s="11">
        <f t="shared" si="1241"/>
      </c>
      <c r="W396" s="11" t="s">
        <f t="shared" si="1239"/>
      </c>
      <c r="X396" s="11" t="s">
        <f t="shared" si="1244"/>
      </c>
    </row>
    <row r="397" ht="12.50" customHeight="true">
      <c r="A397" s="10"/>
      <c r="B397" s="11"/>
      <c r="C397" s="11"/>
      <c r="D397" s="11"/>
      <c r="E397" s="11"/>
      <c r="F397" s="11"/>
      <c r="G397" s="11"/>
      <c r="H397" s="11"/>
      <c r="I397" s="11"/>
      <c r="J397" s="11"/>
      <c r="K397" s="11" t="s">
        <f>""</f>
      </c>
      <c r="L397" s="11" t="s">
        <f t="shared" si="1247"/>
      </c>
      <c r="M397" s="8" t="s">
        <f t="shared" si="1245"/>
      </c>
      <c r="N397" s="11"/>
      <c r="O397" s="10">
        <f ref="O397:P397" t="shared" si="680">A397</f>
        <v>0</v>
      </c>
      <c r="P397" s="11">
        <f t="shared" si="680"/>
        <v>0</v>
      </c>
      <c r="Q397" s="11" t="s">
        <f t="shared" si="1240"/>
      </c>
      <c r="R397" s="11">
        <f t="shared" si="1246"/>
        <v>0</v>
      </c>
      <c r="S397" s="11">
        <f ref="S397:U397" t="shared" si="681">E397</f>
        <v>0</v>
      </c>
      <c r="T397" s="11">
        <f t="shared" si="681"/>
        <v>0</v>
      </c>
      <c r="U397" s="11">
        <f t="shared" si="681"/>
        <v>0</v>
      </c>
      <c r="V397" s="11">
        <f t="shared" si="1241"/>
      </c>
      <c r="W397" s="11" t="s">
        <f t="shared" si="1239"/>
      </c>
      <c r="X397" s="11" t="s">
        <f t="shared" si="1244"/>
      </c>
    </row>
    <row r="398" ht="12.50" customHeight="true">
      <c r="A398" s="10"/>
      <c r="B398" s="11"/>
      <c r="C398" s="11"/>
      <c r="D398" s="11"/>
      <c r="E398" s="11"/>
      <c r="F398" s="11"/>
      <c r="G398" s="11"/>
      <c r="H398" s="11"/>
      <c r="I398" s="11"/>
      <c r="J398" s="11"/>
      <c r="K398" s="11" t="s">
        <f>""</f>
      </c>
      <c r="L398" s="11" t="s">
        <f t="shared" si="1247"/>
      </c>
      <c r="M398" s="8" t="s">
        <f t="shared" si="1245"/>
      </c>
      <c r="N398" s="11"/>
      <c r="O398" s="10">
        <f ref="O398:P398" t="shared" si="1820">A398</f>
        <v>0</v>
      </c>
      <c r="P398" s="11">
        <f t="shared" si="1820"/>
        <v>0</v>
      </c>
      <c r="Q398" s="11" t="s">
        <f t="shared" si="1240"/>
      </c>
      <c r="R398" s="11">
        <f t="shared" si="1246"/>
        <v>0</v>
      </c>
      <c r="S398" s="11">
        <f ref="S398:U398" t="shared" si="1821">E398</f>
        <v>0</v>
      </c>
      <c r="T398" s="11">
        <f t="shared" si="1821"/>
        <v>0</v>
      </c>
      <c r="U398" s="11">
        <f t="shared" si="1821"/>
        <v>0</v>
      </c>
      <c r="V398" s="11">
        <f t="shared" si="1241"/>
      </c>
      <c r="W398" s="11" t="s">
        <f t="shared" si="1239"/>
      </c>
      <c r="X398" s="11" t="s">
        <f t="shared" si="1244"/>
      </c>
    </row>
    <row r="399" ht="12.50" customHeight="true">
      <c r="A399" s="10"/>
      <c r="B399" s="11"/>
      <c r="C399" s="11"/>
      <c r="D399" s="11"/>
      <c r="E399" s="11"/>
      <c r="F399" s="11"/>
      <c r="G399" s="11"/>
      <c r="H399" s="11"/>
      <c r="I399" s="11"/>
      <c r="J399" s="11"/>
      <c r="K399" s="11" t="s">
        <f>""</f>
      </c>
      <c r="L399" s="11" t="s">
        <f t="shared" si="1247"/>
      </c>
      <c r="M399" s="8" t="s">
        <f t="shared" si="1245"/>
      </c>
      <c r="N399" s="11"/>
      <c r="O399" s="10">
        <f ref="O399:P399" t="shared" si="859">A399</f>
        <v>0</v>
      </c>
      <c r="P399" s="11">
        <f t="shared" si="859"/>
        <v>0</v>
      </c>
      <c r="Q399" s="11" t="s">
        <f t="shared" si="1240"/>
      </c>
      <c r="R399" s="11">
        <f t="shared" si="1246"/>
        <v>0</v>
      </c>
      <c r="S399" s="11">
        <f ref="S399:U399" t="shared" si="858">E399</f>
        <v>0</v>
      </c>
      <c r="T399" s="11">
        <f t="shared" si="858"/>
        <v>0</v>
      </c>
      <c r="U399" s="11">
        <f t="shared" si="858"/>
        <v>0</v>
      </c>
      <c r="V399" s="11">
        <f t="shared" si="1241"/>
      </c>
      <c r="W399" s="11" t="s">
        <f t="shared" si="1239"/>
      </c>
      <c r="X399" s="11" t="s">
        <f t="shared" si="1244"/>
      </c>
    </row>
    <row r="400" ht="12.50" customHeight="true">
      <c r="A400" s="10"/>
      <c r="B400" s="11"/>
      <c r="C400" s="11"/>
      <c r="D400" s="11"/>
      <c r="E400" s="11"/>
      <c r="F400" s="11"/>
      <c r="G400" s="11"/>
      <c r="H400" s="11"/>
      <c r="I400" s="11"/>
      <c r="J400" s="11"/>
      <c r="K400" s="11" t="s">
        <f>""</f>
      </c>
      <c r="L400" s="11" t="s">
        <f t="shared" si="1247"/>
      </c>
      <c r="M400" s="8" t="s">
        <f t="shared" si="1245"/>
      </c>
      <c r="N400" s="11"/>
      <c r="O400" s="10">
        <f ref="O400:P400" t="shared" si="898">A400</f>
        <v>0</v>
      </c>
      <c r="P400" s="11">
        <f t="shared" si="898"/>
        <v>0</v>
      </c>
      <c r="Q400" s="11" t="s">
        <f t="shared" si="1240"/>
      </c>
      <c r="R400" s="11">
        <f t="shared" si="1246"/>
        <v>0</v>
      </c>
      <c r="S400" s="11">
        <f ref="S400:U400" t="shared" si="899">E400</f>
        <v>0</v>
      </c>
      <c r="T400" s="11">
        <f t="shared" si="899"/>
        <v>0</v>
      </c>
      <c r="U400" s="11">
        <f t="shared" si="899"/>
        <v>0</v>
      </c>
      <c r="V400" s="11">
        <f t="shared" si="1241"/>
      </c>
      <c r="W400" s="11" t="s">
        <f t="shared" si="1239"/>
      </c>
      <c r="X400" s="11" t="s">
        <f t="shared" si="1244"/>
      </c>
    </row>
    <row r="401" ht="12.50" customHeight="true">
      <c r="A401" s="10"/>
      <c r="B401" s="11"/>
      <c r="C401" s="11"/>
      <c r="D401" s="11"/>
      <c r="E401" s="11"/>
      <c r="F401" s="11"/>
      <c r="G401" s="11"/>
      <c r="H401" s="11"/>
      <c r="I401" s="11"/>
      <c r="J401" s="11"/>
      <c r="K401" s="11" t="s">
        <f>""</f>
      </c>
      <c r="L401" s="11" t="s">
        <f t="shared" si="1247"/>
      </c>
      <c r="M401" s="8" t="s">
        <f t="shared" si="1245"/>
      </c>
      <c r="N401" s="11"/>
      <c r="O401" s="10">
        <f ref="O401:P401" t="shared" si="273">A401</f>
        <v>0</v>
      </c>
      <c r="P401" s="11">
        <f t="shared" si="273"/>
        <v>0</v>
      </c>
      <c r="Q401" s="11" t="s">
        <f t="shared" si="1240"/>
      </c>
      <c r="R401" s="11">
        <f t="shared" si="1246"/>
        <v>0</v>
      </c>
      <c r="S401" s="11">
        <f ref="S401:U401" t="shared" si="272">E401</f>
        <v>0</v>
      </c>
      <c r="T401" s="11">
        <f t="shared" si="272"/>
        <v>0</v>
      </c>
      <c r="U401" s="11">
        <f t="shared" si="272"/>
        <v>0</v>
      </c>
      <c r="V401" s="11">
        <f t="shared" si="1241"/>
      </c>
      <c r="W401" s="11" t="s">
        <f t="shared" si="1239"/>
      </c>
      <c r="X401" s="11" t="s">
        <f t="shared" si="1244"/>
      </c>
    </row>
    <row r="402" ht="12.50" customHeight="true">
      <c r="A402" s="10"/>
      <c r="B402" s="11"/>
      <c r="C402" s="11"/>
      <c r="D402" s="11"/>
      <c r="E402" s="11"/>
      <c r="F402" s="11"/>
      <c r="G402" s="11"/>
      <c r="H402" s="11"/>
      <c r="I402" s="11"/>
      <c r="J402" s="11"/>
      <c r="K402" s="11" t="s">
        <f>""</f>
      </c>
      <c r="L402" s="11" t="s">
        <f t="shared" si="1247"/>
      </c>
      <c r="M402" s="8" t="s">
        <f t="shared" si="1245"/>
      </c>
      <c r="N402" s="11"/>
      <c r="O402" s="10">
        <f ref="O402:P402" t="shared" si="1558">A402</f>
        <v>0</v>
      </c>
      <c r="P402" s="11">
        <f t="shared" si="1558"/>
        <v>0</v>
      </c>
      <c r="Q402" s="11" t="s">
        <f t="shared" si="1240"/>
      </c>
      <c r="R402" s="11">
        <f t="shared" si="1246"/>
        <v>0</v>
      </c>
      <c r="S402" s="11">
        <f ref="S402:U402" t="shared" si="1559">E402</f>
        <v>0</v>
      </c>
      <c r="T402" s="11">
        <f t="shared" si="1559"/>
        <v>0</v>
      </c>
      <c r="U402" s="11">
        <f t="shared" si="1559"/>
        <v>0</v>
      </c>
      <c r="V402" s="11">
        <f t="shared" si="1241"/>
      </c>
      <c r="W402" s="11" t="s">
        <f t="shared" si="1239"/>
      </c>
      <c r="X402" s="11" t="s">
        <f t="shared" si="1244"/>
      </c>
    </row>
    <row r="403" ht="12.50" customHeight="true">
      <c r="A403" s="10"/>
      <c r="B403" s="11"/>
      <c r="C403" s="11"/>
      <c r="D403" s="11"/>
      <c r="E403" s="11"/>
      <c r="F403" s="11"/>
      <c r="G403" s="11"/>
      <c r="H403" s="11"/>
      <c r="I403" s="11"/>
      <c r="J403" s="11"/>
      <c r="K403" s="11" t="s">
        <f>""</f>
      </c>
      <c r="L403" s="11" t="s">
        <f t="shared" si="1247"/>
      </c>
      <c r="M403" s="8" t="s">
        <f t="shared" si="1245"/>
      </c>
      <c r="N403" s="11"/>
      <c r="O403" s="10">
        <f ref="O403:P403" t="shared" si="1219">A403</f>
        <v>0</v>
      </c>
      <c r="P403" s="11">
        <f t="shared" si="1219"/>
        <v>0</v>
      </c>
      <c r="Q403" s="11" t="s">
        <f t="shared" si="1240"/>
      </c>
      <c r="R403" s="11">
        <f t="shared" si="1246"/>
        <v>0</v>
      </c>
      <c r="S403" s="11">
        <f ref="S403:U403" t="shared" si="1220">E403</f>
        <v>0</v>
      </c>
      <c r="T403" s="11">
        <f t="shared" si="1220"/>
        <v>0</v>
      </c>
      <c r="U403" s="11">
        <f t="shared" si="1220"/>
        <v>0</v>
      </c>
      <c r="V403" s="11">
        <f t="shared" si="1241"/>
      </c>
      <c r="W403" s="11" t="s">
        <f t="shared" si="1239"/>
      </c>
      <c r="X403" s="11" t="s">
        <f t="shared" si="1244"/>
      </c>
    </row>
    <row r="404" ht="12.50" customHeight="true">
      <c r="A404" s="10"/>
      <c r="B404" s="11"/>
      <c r="C404" s="11"/>
      <c r="D404" s="11"/>
      <c r="E404" s="11"/>
      <c r="F404" s="11"/>
      <c r="G404" s="11"/>
      <c r="H404" s="11"/>
      <c r="I404" s="11"/>
      <c r="J404" s="11"/>
      <c r="K404" s="11" t="s">
        <f>""</f>
      </c>
      <c r="L404" s="11" t="s">
        <f t="shared" si="1247"/>
      </c>
      <c r="M404" s="8" t="s">
        <f t="shared" si="1245"/>
      </c>
      <c r="N404" s="11"/>
      <c r="O404" s="10">
        <f ref="O404:P404" t="shared" si="422">A404</f>
        <v>0</v>
      </c>
      <c r="P404" s="11">
        <f t="shared" si="422"/>
        <v>0</v>
      </c>
      <c r="Q404" s="11" t="s">
        <f t="shared" si="1240"/>
      </c>
      <c r="R404" s="11">
        <f t="shared" si="1246"/>
        <v>0</v>
      </c>
      <c r="S404" s="11">
        <f ref="S404:U404" t="shared" si="423">E404</f>
        <v>0</v>
      </c>
      <c r="T404" s="11">
        <f t="shared" si="423"/>
        <v>0</v>
      </c>
      <c r="U404" s="11">
        <f t="shared" si="423"/>
        <v>0</v>
      </c>
      <c r="V404" s="11">
        <f t="shared" si="1241"/>
      </c>
      <c r="W404" s="11" t="s">
        <f t="shared" si="1239"/>
      </c>
      <c r="X404" s="11" t="s">
        <f t="shared" si="1244"/>
      </c>
    </row>
    <row r="405" ht="12.50" customHeight="true">
      <c r="A405" s="10"/>
      <c r="B405" s="11"/>
      <c r="C405" s="11"/>
      <c r="D405" s="11"/>
      <c r="E405" s="11"/>
      <c r="F405" s="11"/>
      <c r="G405" s="11"/>
      <c r="H405" s="11"/>
      <c r="I405" s="11"/>
      <c r="J405" s="11"/>
      <c r="K405" s="11" t="s">
        <f>""</f>
      </c>
      <c r="L405" s="11" t="s">
        <f t="shared" si="1247"/>
      </c>
      <c r="M405" s="8" t="s">
        <f t="shared" si="1245"/>
      </c>
      <c r="N405" s="11"/>
      <c r="O405" s="10">
        <f ref="O405:P405" t="shared" si="1663">A405</f>
        <v>0</v>
      </c>
      <c r="P405" s="11">
        <f t="shared" si="1663"/>
        <v>0</v>
      </c>
      <c r="Q405" s="11" t="s">
        <f t="shared" si="1240"/>
      </c>
      <c r="R405" s="11">
        <f t="shared" si="1246"/>
        <v>0</v>
      </c>
      <c r="S405" s="11">
        <f ref="S405:U405" t="shared" si="1662">E405</f>
        <v>0</v>
      </c>
      <c r="T405" s="11">
        <f t="shared" si="1662"/>
        <v>0</v>
      </c>
      <c r="U405" s="11">
        <f t="shared" si="1662"/>
        <v>0</v>
      </c>
      <c r="V405" s="11">
        <f t="shared" si="1241"/>
      </c>
      <c r="W405" s="11" t="s">
        <f t="shared" si="1239"/>
      </c>
      <c r="X405" s="11" t="s">
        <f t="shared" si="1244"/>
      </c>
    </row>
    <row r="406" ht="12.50" customHeight="true">
      <c r="A406" s="10"/>
      <c r="B406" s="11"/>
      <c r="C406" s="11"/>
      <c r="D406" s="11"/>
      <c r="E406" s="11"/>
      <c r="F406" s="11"/>
      <c r="G406" s="11"/>
      <c r="H406" s="11"/>
      <c r="I406" s="11"/>
      <c r="J406" s="11"/>
      <c r="K406" s="11" t="s">
        <f>""</f>
      </c>
      <c r="L406" s="11" t="s">
        <f t="shared" si="1247"/>
      </c>
      <c r="M406" s="8" t="s">
        <f t="shared" si="1245"/>
      </c>
      <c r="N406" s="11"/>
      <c r="O406" s="10">
        <f ref="O406:P406" t="shared" si="2020">A406</f>
        <v>0</v>
      </c>
      <c r="P406" s="11">
        <f t="shared" si="2020"/>
        <v>0</v>
      </c>
      <c r="Q406" s="11" t="s">
        <f t="shared" si="1240"/>
      </c>
      <c r="R406" s="11">
        <f t="shared" si="1246"/>
        <v>0</v>
      </c>
      <c r="S406" s="11">
        <f ref="S406:U406" t="shared" si="2021">E406</f>
        <v>0</v>
      </c>
      <c r="T406" s="11">
        <f t="shared" si="2021"/>
        <v>0</v>
      </c>
      <c r="U406" s="11">
        <f t="shared" si="2021"/>
        <v>0</v>
      </c>
      <c r="V406" s="11">
        <f t="shared" si="1241"/>
      </c>
      <c r="W406" s="11" t="s">
        <f t="shared" si="1239"/>
      </c>
      <c r="X406" s="11" t="s">
        <f t="shared" si="1244"/>
      </c>
    </row>
    <row r="407" ht="12.50" customHeight="true">
      <c r="A407" s="10"/>
      <c r="B407" s="11"/>
      <c r="C407" s="11"/>
      <c r="D407" s="11"/>
      <c r="E407" s="11"/>
      <c r="F407" s="11"/>
      <c r="G407" s="11"/>
      <c r="H407" s="11"/>
      <c r="I407" s="11"/>
      <c r="J407" s="11"/>
      <c r="K407" s="11" t="s">
        <f>""</f>
      </c>
      <c r="L407" s="11" t="s">
        <f t="shared" si="1247"/>
      </c>
      <c r="M407" s="8" t="s">
        <f t="shared" si="1245"/>
      </c>
      <c r="N407" s="11"/>
      <c r="O407" s="10">
        <f ref="O407:P407" t="shared" si="1252">A407</f>
        <v>0</v>
      </c>
      <c r="P407" s="11">
        <f t="shared" si="1252"/>
        <v>0</v>
      </c>
      <c r="Q407" s="11" t="s">
        <f t="shared" si="1240"/>
      </c>
      <c r="R407" s="11">
        <f t="shared" si="1246"/>
        <v>0</v>
      </c>
      <c r="S407" s="11">
        <f ref="S407:U407" t="shared" si="1253">E407</f>
        <v>0</v>
      </c>
      <c r="T407" s="11">
        <f t="shared" si="1253"/>
        <v>0</v>
      </c>
      <c r="U407" s="11">
        <f t="shared" si="1253"/>
        <v>0</v>
      </c>
      <c r="V407" s="11">
        <f t="shared" si="1241"/>
      </c>
      <c r="W407" s="11" t="s">
        <f t="shared" si="1239"/>
      </c>
      <c r="X407" s="11" t="s">
        <f t="shared" si="1244"/>
      </c>
    </row>
    <row r="408" ht="12.50" customHeight="true">
      <c r="A408" s="10"/>
      <c r="B408" s="11"/>
      <c r="C408" s="11"/>
      <c r="D408" s="11"/>
      <c r="E408" s="11"/>
      <c r="F408" s="11"/>
      <c r="G408" s="11"/>
      <c r="H408" s="11"/>
      <c r="I408" s="11"/>
      <c r="J408" s="11"/>
      <c r="K408" s="11" t="s">
        <f>""</f>
      </c>
      <c r="L408" s="11" t="s">
        <f t="shared" si="1247"/>
      </c>
      <c r="M408" s="8" t="s">
        <f t="shared" si="1245"/>
      </c>
      <c r="N408" s="11"/>
      <c r="O408" s="10">
        <f ref="O408:P408" t="shared" si="1606">A408</f>
        <v>0</v>
      </c>
      <c r="P408" s="11">
        <f t="shared" si="1606"/>
        <v>0</v>
      </c>
      <c r="Q408" s="11" t="s">
        <f t="shared" si="1240"/>
      </c>
      <c r="R408" s="11">
        <f t="shared" si="1246"/>
        <v>0</v>
      </c>
      <c r="S408" s="11">
        <f ref="S408:U408" t="shared" si="1607">E408</f>
        <v>0</v>
      </c>
      <c r="T408" s="11">
        <f t="shared" si="1607"/>
        <v>0</v>
      </c>
      <c r="U408" s="11">
        <f t="shared" si="1607"/>
        <v>0</v>
      </c>
      <c r="V408" s="11">
        <f t="shared" si="1241"/>
      </c>
      <c r="W408" s="11" t="s">
        <f t="shared" si="1239"/>
      </c>
      <c r="X408" s="11" t="s">
        <f t="shared" si="1244"/>
      </c>
    </row>
    <row r="409" ht="12.50" customHeight="true">
      <c r="A409" s="10"/>
      <c r="B409" s="11"/>
      <c r="C409" s="11"/>
      <c r="D409" s="11"/>
      <c r="E409" s="11"/>
      <c r="F409" s="11"/>
      <c r="G409" s="11"/>
      <c r="H409" s="11"/>
      <c r="I409" s="11"/>
      <c r="J409" s="11"/>
      <c r="K409" s="11" t="s">
        <f>""</f>
      </c>
      <c r="L409" s="11" t="s">
        <f t="shared" si="1247"/>
      </c>
      <c r="M409" s="8" t="s">
        <f t="shared" si="1245"/>
      </c>
      <c r="N409" s="11"/>
      <c r="O409" s="10">
        <f ref="O409:P409" t="shared" si="796">A409</f>
        <v>0</v>
      </c>
      <c r="P409" s="11">
        <f t="shared" si="796"/>
        <v>0</v>
      </c>
      <c r="Q409" s="11" t="s">
        <f t="shared" si="1240"/>
      </c>
      <c r="R409" s="11">
        <f t="shared" si="1246"/>
        <v>0</v>
      </c>
      <c r="S409" s="11">
        <f ref="S409:U409" t="shared" si="797">E409</f>
        <v>0</v>
      </c>
      <c r="T409" s="11">
        <f t="shared" si="797"/>
        <v>0</v>
      </c>
      <c r="U409" s="11">
        <f t="shared" si="797"/>
        <v>0</v>
      </c>
      <c r="V409" s="11">
        <f t="shared" si="1241"/>
      </c>
      <c r="W409" s="11" t="s">
        <f t="shared" si="1239"/>
      </c>
      <c r="X409" s="11" t="s">
        <f t="shared" si="1244"/>
      </c>
    </row>
    <row r="410" ht="12.50" customHeight="true">
      <c r="A410" s="10"/>
      <c r="B410" s="11"/>
      <c r="C410" s="11"/>
      <c r="D410" s="11"/>
      <c r="E410" s="11"/>
      <c r="F410" s="11"/>
      <c r="G410" s="11"/>
      <c r="H410" s="11"/>
      <c r="I410" s="11"/>
      <c r="J410" s="11"/>
      <c r="K410" s="11" t="s">
        <f>""</f>
      </c>
      <c r="L410" s="11" t="s">
        <f t="shared" si="1247"/>
      </c>
      <c r="M410" s="8" t="s">
        <f t="shared" si="1245"/>
      </c>
      <c r="N410" s="11"/>
      <c r="O410" s="10">
        <f ref="O410:P410" t="shared" si="476">A410</f>
        <v>0</v>
      </c>
      <c r="P410" s="11">
        <f t="shared" si="476"/>
        <v>0</v>
      </c>
      <c r="Q410" s="11" t="s">
        <f t="shared" si="1240"/>
      </c>
      <c r="R410" s="11">
        <f t="shared" si="1246"/>
        <v>0</v>
      </c>
      <c r="S410" s="11">
        <f ref="S410:U410" t="shared" si="477">E410</f>
        <v>0</v>
      </c>
      <c r="T410" s="11">
        <f t="shared" si="477"/>
        <v>0</v>
      </c>
      <c r="U410" s="11">
        <f t="shared" si="477"/>
        <v>0</v>
      </c>
      <c r="V410" s="11">
        <f t="shared" si="1241"/>
      </c>
      <c r="W410" s="11" t="s">
        <f t="shared" si="1239"/>
      </c>
      <c r="X410" s="11" t="s">
        <f t="shared" si="1244"/>
      </c>
    </row>
    <row r="411" ht="12.50" customHeight="true">
      <c r="A411" s="10"/>
      <c r="B411" s="11"/>
      <c r="C411" s="11"/>
      <c r="D411" s="11"/>
      <c r="E411" s="11"/>
      <c r="F411" s="11"/>
      <c r="G411" s="11"/>
      <c r="H411" s="11"/>
      <c r="I411" s="11"/>
      <c r="J411" s="11"/>
      <c r="K411" s="11" t="s">
        <f>""</f>
      </c>
      <c r="L411" s="11" t="s">
        <f t="shared" si="1247"/>
      </c>
      <c r="M411" s="8" t="s">
        <f t="shared" si="1245"/>
      </c>
      <c r="N411" s="11"/>
      <c r="O411" s="10">
        <f ref="O411:P411" t="shared" si="85">A411</f>
        <v>0</v>
      </c>
      <c r="P411" s="11">
        <f t="shared" si="85"/>
        <v>0</v>
      </c>
      <c r="Q411" s="11" t="s">
        <f t="shared" si="1240"/>
      </c>
      <c r="R411" s="11">
        <f t="shared" si="1246"/>
        <v>0</v>
      </c>
      <c r="S411" s="11">
        <f ref="S411:U411" t="shared" si="84">E411</f>
        <v>0</v>
      </c>
      <c r="T411" s="11">
        <f t="shared" si="84"/>
        <v>0</v>
      </c>
      <c r="U411" s="11">
        <f t="shared" si="84"/>
        <v>0</v>
      </c>
      <c r="V411" s="11">
        <f t="shared" si="1241"/>
      </c>
      <c r="W411" s="11" t="s">
        <f t="shared" si="1239"/>
      </c>
      <c r="X411" s="11" t="s">
        <f t="shared" si="1244"/>
      </c>
    </row>
    <row r="412" ht="12.50" customHeight="true">
      <c r="A412" s="10"/>
      <c r="B412" s="11"/>
      <c r="C412" s="11"/>
      <c r="D412" s="11"/>
      <c r="E412" s="11"/>
      <c r="F412" s="11"/>
      <c r="G412" s="11"/>
      <c r="H412" s="11"/>
      <c r="I412" s="11"/>
      <c r="J412" s="11"/>
      <c r="K412" s="11" t="s">
        <f>""</f>
      </c>
      <c r="L412" s="11" t="s">
        <f t="shared" si="1247"/>
      </c>
      <c r="M412" s="8" t="s">
        <f t="shared" si="1245"/>
      </c>
      <c r="N412" s="11"/>
      <c r="O412" s="10">
        <f ref="O412:P412" t="shared" si="1151">A412</f>
        <v>0</v>
      </c>
      <c r="P412" s="11">
        <f t="shared" si="1151"/>
        <v>0</v>
      </c>
      <c r="Q412" s="11" t="s">
        <f t="shared" si="1240"/>
      </c>
      <c r="R412" s="11">
        <f t="shared" si="1246"/>
        <v>0</v>
      </c>
      <c r="S412" s="11">
        <f ref="S412:U412" t="shared" si="1152">E412</f>
        <v>0</v>
      </c>
      <c r="T412" s="11">
        <f t="shared" si="1152"/>
        <v>0</v>
      </c>
      <c r="U412" s="11">
        <f t="shared" si="1152"/>
        <v>0</v>
      </c>
      <c r="V412" s="11">
        <f t="shared" si="1241"/>
      </c>
      <c r="W412" s="11" t="s">
        <f t="shared" si="1239"/>
      </c>
      <c r="X412" s="11" t="s">
        <f t="shared" si="1244"/>
      </c>
    </row>
    <row r="413" ht="12.50" customHeight="true">
      <c r="A413" s="10"/>
      <c r="B413" s="11"/>
      <c r="C413" s="11"/>
      <c r="D413" s="11"/>
      <c r="E413" s="11"/>
      <c r="F413" s="11"/>
      <c r="G413" s="11"/>
      <c r="H413" s="11"/>
      <c r="I413" s="11"/>
      <c r="J413" s="11"/>
      <c r="K413" s="11" t="s">
        <f>""</f>
      </c>
      <c r="L413" s="11" t="s">
        <f t="shared" si="1247"/>
      </c>
      <c r="M413" s="8" t="s">
        <f t="shared" si="1245"/>
      </c>
      <c r="N413" s="11"/>
      <c r="O413" s="10">
        <f ref="O413:P413" t="shared" si="1509">A413</f>
        <v>0</v>
      </c>
      <c r="P413" s="11">
        <f t="shared" si="1509"/>
        <v>0</v>
      </c>
      <c r="Q413" s="11" t="s">
        <f t="shared" si="1240"/>
      </c>
      <c r="R413" s="11">
        <f t="shared" si="1246"/>
        <v>0</v>
      </c>
      <c r="S413" s="11">
        <f ref="S413:U413" t="shared" si="1508">E413</f>
        <v>0</v>
      </c>
      <c r="T413" s="11">
        <f t="shared" si="1508"/>
        <v>0</v>
      </c>
      <c r="U413" s="11">
        <f t="shared" si="1508"/>
        <v>0</v>
      </c>
      <c r="V413" s="11">
        <f t="shared" si="1241"/>
      </c>
      <c r="W413" s="11" t="s">
        <f t="shared" si="1239"/>
      </c>
      <c r="X413" s="11" t="s">
        <f t="shared" si="1244"/>
      </c>
    </row>
    <row r="414" ht="12.50" customHeight="true">
      <c r="A414" s="10"/>
      <c r="B414" s="11"/>
      <c r="C414" s="11"/>
      <c r="D414" s="11"/>
      <c r="E414" s="11"/>
      <c r="F414" s="11"/>
      <c r="G414" s="11"/>
      <c r="H414" s="11"/>
      <c r="I414" s="11"/>
      <c r="J414" s="11"/>
      <c r="K414" s="11" t="s">
        <f>""</f>
      </c>
      <c r="L414" s="11" t="s">
        <f t="shared" si="1247"/>
      </c>
      <c r="M414" s="8" t="s">
        <f t="shared" si="1245"/>
      </c>
      <c r="N414" s="11"/>
      <c r="O414" s="10">
        <f ref="O414:P414" t="shared" si="303">A414</f>
        <v>0</v>
      </c>
      <c r="P414" s="11">
        <f t="shared" si="303"/>
        <v>0</v>
      </c>
      <c r="Q414" s="11" t="s">
        <f t="shared" si="1240"/>
      </c>
      <c r="R414" s="11">
        <f t="shared" si="1246"/>
        <v>0</v>
      </c>
      <c r="S414" s="11">
        <f ref="S414:U414" t="shared" si="302">E414</f>
        <v>0</v>
      </c>
      <c r="T414" s="11">
        <f t="shared" si="302"/>
        <v>0</v>
      </c>
      <c r="U414" s="11">
        <f t="shared" si="302"/>
        <v>0</v>
      </c>
      <c r="V414" s="11">
        <f t="shared" si="1241"/>
      </c>
      <c r="W414" s="11" t="s">
        <f t="shared" si="1239"/>
      </c>
      <c r="X414" s="11" t="s">
        <f t="shared" si="1244"/>
      </c>
    </row>
    <row r="415" ht="12.50" customHeight="true">
      <c r="A415" s="10"/>
      <c r="B415" s="11"/>
      <c r="C415" s="11"/>
      <c r="D415" s="11"/>
      <c r="E415" s="11"/>
      <c r="F415" s="11"/>
      <c r="G415" s="11"/>
      <c r="H415" s="11"/>
      <c r="I415" s="11"/>
      <c r="J415" s="11"/>
      <c r="K415" s="11" t="s">
        <f>""</f>
      </c>
      <c r="L415" s="11" t="s">
        <f t="shared" si="1247"/>
      </c>
      <c r="M415" s="8" t="s">
        <f t="shared" si="1245"/>
      </c>
      <c r="N415" s="11"/>
      <c r="O415" s="10">
        <f ref="O415:P415" t="shared" si="1490">A415</f>
        <v>0</v>
      </c>
      <c r="P415" s="11">
        <f t="shared" si="1490"/>
        <v>0</v>
      </c>
      <c r="Q415" s="11" t="s">
        <f t="shared" si="1240"/>
      </c>
      <c r="R415" s="11">
        <f t="shared" si="1246"/>
        <v>0</v>
      </c>
      <c r="S415" s="11">
        <f ref="S415:U415" t="shared" si="1491">E415</f>
        <v>0</v>
      </c>
      <c r="T415" s="11">
        <f t="shared" si="1491"/>
        <v>0</v>
      </c>
      <c r="U415" s="11">
        <f t="shared" si="1491"/>
        <v>0</v>
      </c>
      <c r="V415" s="11">
        <f t="shared" si="1241"/>
      </c>
      <c r="W415" s="11" t="s">
        <f t="shared" si="1239"/>
      </c>
      <c r="X415" s="11" t="s">
        <f t="shared" si="1244"/>
      </c>
    </row>
    <row r="416" ht="12.50" customHeight="true">
      <c r="A416" s="10"/>
      <c r="B416" s="11"/>
      <c r="C416" s="11"/>
      <c r="D416" s="11"/>
      <c r="E416" s="11"/>
      <c r="F416" s="11"/>
      <c r="G416" s="11"/>
      <c r="H416" s="11"/>
      <c r="I416" s="11"/>
      <c r="J416" s="11"/>
      <c r="K416" s="11" t="s">
        <f>""</f>
      </c>
      <c r="L416" s="11" t="s">
        <f t="shared" si="1247"/>
      </c>
      <c r="M416" s="8" t="s">
        <f t="shared" si="1245"/>
      </c>
      <c r="N416" s="11"/>
      <c r="O416" s="10">
        <f ref="O416:P416" t="shared" si="1754">A416</f>
        <v>0</v>
      </c>
      <c r="P416" s="11">
        <f t="shared" si="1754"/>
        <v>0</v>
      </c>
      <c r="Q416" s="11" t="s">
        <f t="shared" si="1240"/>
      </c>
      <c r="R416" s="11">
        <f t="shared" si="1246"/>
        <v>0</v>
      </c>
      <c r="S416" s="11">
        <f ref="S416:U416" t="shared" si="1755">E416</f>
        <v>0</v>
      </c>
      <c r="T416" s="11">
        <f t="shared" si="1755"/>
        <v>0</v>
      </c>
      <c r="U416" s="11">
        <f t="shared" si="1755"/>
        <v>0</v>
      </c>
      <c r="V416" s="11">
        <f t="shared" si="1241"/>
      </c>
      <c r="W416" s="11" t="s">
        <f t="shared" si="1239"/>
      </c>
      <c r="X416" s="11" t="s">
        <f t="shared" si="1244"/>
      </c>
    </row>
    <row r="417" ht="12.50" customHeight="true">
      <c r="A417" s="10"/>
      <c r="B417" s="11"/>
      <c r="C417" s="11"/>
      <c r="D417" s="11"/>
      <c r="E417" s="11"/>
      <c r="F417" s="11"/>
      <c r="G417" s="11"/>
      <c r="H417" s="11"/>
      <c r="I417" s="11"/>
      <c r="J417" s="11"/>
      <c r="K417" s="11" t="s">
        <f>""</f>
      </c>
      <c r="L417" s="11" t="s">
        <f t="shared" si="1247"/>
      </c>
      <c r="M417" s="8" t="s">
        <f t="shared" si="1245"/>
      </c>
      <c r="N417" s="11"/>
      <c r="O417" s="10">
        <f ref="O417:P417" t="shared" si="1168">A417</f>
        <v>0</v>
      </c>
      <c r="P417" s="11">
        <f t="shared" si="1168"/>
        <v>0</v>
      </c>
      <c r="Q417" s="11" t="s">
        <f t="shared" si="1240"/>
      </c>
      <c r="R417" s="11">
        <f t="shared" si="1246"/>
        <v>0</v>
      </c>
      <c r="S417" s="11">
        <f ref="S417:U417" t="shared" si="1167">E417</f>
        <v>0</v>
      </c>
      <c r="T417" s="11">
        <f t="shared" si="1167"/>
        <v>0</v>
      </c>
      <c r="U417" s="11">
        <f t="shared" si="1167"/>
        <v>0</v>
      </c>
      <c r="V417" s="11">
        <f t="shared" si="1241"/>
      </c>
      <c r="W417" s="11" t="s">
        <f t="shared" si="1239"/>
      </c>
      <c r="X417" s="11" t="s">
        <f t="shared" si="1244"/>
      </c>
    </row>
    <row r="418" ht="12.50" customHeight="true">
      <c r="A418" s="10"/>
      <c r="B418" s="11"/>
      <c r="C418" s="11"/>
      <c r="D418" s="11"/>
      <c r="E418" s="11"/>
      <c r="F418" s="11"/>
      <c r="G418" s="11"/>
      <c r="H418" s="11"/>
      <c r="I418" s="11"/>
      <c r="J418" s="11"/>
      <c r="K418" s="11" t="s">
        <f>""</f>
      </c>
      <c r="L418" s="11" t="s">
        <f t="shared" si="1247"/>
      </c>
      <c r="M418" s="8" t="s">
        <f t="shared" si="1245"/>
      </c>
      <c r="N418" s="11"/>
      <c r="O418" s="10">
        <f ref="O418:P418" t="shared" si="1021">A418</f>
        <v>0</v>
      </c>
      <c r="P418" s="11">
        <f t="shared" si="1021"/>
        <v>0</v>
      </c>
      <c r="Q418" s="11" t="s">
        <f t="shared" si="1240"/>
      </c>
      <c r="R418" s="11">
        <f t="shared" si="1246"/>
        <v>0</v>
      </c>
      <c r="S418" s="11">
        <f ref="S418:U418" t="shared" si="1022">E418</f>
        <v>0</v>
      </c>
      <c r="T418" s="11">
        <f t="shared" si="1022"/>
        <v>0</v>
      </c>
      <c r="U418" s="11">
        <f t="shared" si="1022"/>
        <v>0</v>
      </c>
      <c r="V418" s="11">
        <f t="shared" si="1241"/>
      </c>
      <c r="W418" s="11" t="s">
        <f t="shared" si="1239"/>
      </c>
      <c r="X418" s="11" t="s">
        <f t="shared" si="1244"/>
      </c>
    </row>
    <row r="419" ht="12.50" customHeight="true">
      <c r="A419" s="10"/>
      <c r="B419" s="11"/>
      <c r="C419" s="11"/>
      <c r="D419" s="11"/>
      <c r="E419" s="11"/>
      <c r="F419" s="11"/>
      <c r="G419" s="11"/>
      <c r="H419" s="11"/>
      <c r="I419" s="11"/>
      <c r="J419" s="11"/>
      <c r="K419" s="11" t="s">
        <f>""</f>
      </c>
      <c r="L419" s="11" t="s">
        <f t="shared" si="1247"/>
      </c>
      <c r="M419" s="8" t="s">
        <f t="shared" si="1245"/>
      </c>
      <c r="N419" s="11"/>
      <c r="O419" s="10">
        <f ref="O419:P419" t="shared" si="109">A419</f>
        <v>0</v>
      </c>
      <c r="P419" s="11">
        <f t="shared" si="109"/>
        <v>0</v>
      </c>
      <c r="Q419" s="11" t="s">
        <f t="shared" si="1240"/>
      </c>
      <c r="R419" s="11">
        <f t="shared" si="1246"/>
        <v>0</v>
      </c>
      <c r="S419" s="11">
        <f ref="S419:U419" t="shared" si="108">E419</f>
        <v>0</v>
      </c>
      <c r="T419" s="11">
        <f t="shared" si="108"/>
        <v>0</v>
      </c>
      <c r="U419" s="11">
        <f t="shared" si="108"/>
        <v>0</v>
      </c>
      <c r="V419" s="11">
        <f t="shared" si="1241"/>
      </c>
      <c r="W419" s="11" t="s">
        <f t="shared" si="1239"/>
      </c>
      <c r="X419" s="11" t="s">
        <f t="shared" si="1244"/>
      </c>
    </row>
    <row r="420" ht="12.50" customHeight="true">
      <c r="A420" s="10"/>
      <c r="B420" s="11"/>
      <c r="C420" s="11"/>
      <c r="D420" s="11"/>
      <c r="E420" s="11"/>
      <c r="F420" s="11"/>
      <c r="G420" s="11"/>
      <c r="H420" s="11"/>
      <c r="I420" s="11"/>
      <c r="J420" s="11"/>
      <c r="K420" s="11" t="s">
        <f>""</f>
      </c>
      <c r="L420" s="11" t="s">
        <f t="shared" si="1247"/>
      </c>
      <c r="M420" s="8" t="s">
        <f t="shared" si="1245"/>
      </c>
      <c r="N420" s="11"/>
      <c r="O420" s="10">
        <f ref="O420:P420" t="shared" si="587">A420</f>
        <v>0</v>
      </c>
      <c r="P420" s="11">
        <f t="shared" si="587"/>
        <v>0</v>
      </c>
      <c r="Q420" s="11" t="s">
        <f t="shared" si="1240"/>
      </c>
      <c r="R420" s="11">
        <f t="shared" si="1246"/>
        <v>0</v>
      </c>
      <c r="S420" s="11">
        <f ref="S420:U420" t="shared" si="586">E420</f>
        <v>0</v>
      </c>
      <c r="T420" s="11">
        <f t="shared" si="586"/>
        <v>0</v>
      </c>
      <c r="U420" s="11">
        <f t="shared" si="586"/>
        <v>0</v>
      </c>
      <c r="V420" s="11">
        <f t="shared" si="1241"/>
      </c>
      <c r="W420" s="11" t="s">
        <f t="shared" si="1239"/>
      </c>
      <c r="X420" s="11" t="s">
        <f t="shared" si="1244"/>
      </c>
    </row>
    <row r="421" ht="12.50" customHeight="true">
      <c r="A421" s="10"/>
      <c r="B421" s="11"/>
      <c r="C421" s="11"/>
      <c r="D421" s="11"/>
      <c r="E421" s="11"/>
      <c r="F421" s="11"/>
      <c r="G421" s="11"/>
      <c r="H421" s="11"/>
      <c r="I421" s="11"/>
      <c r="J421" s="11"/>
      <c r="K421" s="11" t="s">
        <f>""</f>
      </c>
      <c r="L421" s="11" t="s">
        <f t="shared" si="1247"/>
      </c>
      <c r="M421" s="8" t="s">
        <f t="shared" si="1245"/>
      </c>
      <c r="N421" s="11"/>
      <c r="O421" s="10">
        <f ref="O421:P421" t="shared" si="691">A421</f>
        <v>0</v>
      </c>
      <c r="P421" s="11">
        <f t="shared" si="691"/>
        <v>0</v>
      </c>
      <c r="Q421" s="11" t="s">
        <f t="shared" si="1240"/>
      </c>
      <c r="R421" s="11">
        <f t="shared" si="1246"/>
        <v>0</v>
      </c>
      <c r="S421" s="11">
        <f ref="S421:U421" t="shared" si="690">E421</f>
        <v>0</v>
      </c>
      <c r="T421" s="11">
        <f t="shared" si="690"/>
        <v>0</v>
      </c>
      <c r="U421" s="11">
        <f t="shared" si="690"/>
        <v>0</v>
      </c>
      <c r="V421" s="11">
        <f t="shared" si="1241"/>
      </c>
      <c r="W421" s="11" t="s">
        <f t="shared" si="1239"/>
      </c>
      <c r="X421" s="11" t="s">
        <f t="shared" si="1244"/>
      </c>
    </row>
    <row r="422" ht="12.50" customHeight="true">
      <c r="A422" s="10"/>
      <c r="B422" s="11"/>
      <c r="C422" s="11"/>
      <c r="D422" s="11"/>
      <c r="E422" s="11"/>
      <c r="F422" s="11"/>
      <c r="G422" s="11"/>
      <c r="H422" s="11"/>
      <c r="I422" s="11"/>
      <c r="J422" s="11"/>
      <c r="K422" s="11" t="s">
        <f>""</f>
      </c>
      <c r="L422" s="11" t="s">
        <f t="shared" si="1247"/>
      </c>
      <c r="M422" s="8" t="s">
        <f t="shared" si="1245"/>
      </c>
      <c r="N422" s="11"/>
      <c r="O422" s="10">
        <f ref="O422:P422" t="shared" si="1230">A422</f>
        <v>0</v>
      </c>
      <c r="P422" s="11">
        <f t="shared" si="1230"/>
        <v>0</v>
      </c>
      <c r="Q422" s="11" t="s">
        <f t="shared" si="1240"/>
      </c>
      <c r="R422" s="11">
        <f t="shared" si="1246"/>
        <v>0</v>
      </c>
      <c r="S422" s="11">
        <f ref="S422:U422" t="shared" si="1229">E422</f>
        <v>0</v>
      </c>
      <c r="T422" s="11">
        <f t="shared" si="1229"/>
        <v>0</v>
      </c>
      <c r="U422" s="11">
        <f t="shared" si="1229"/>
        <v>0</v>
      </c>
      <c r="V422" s="11">
        <f t="shared" si="1241"/>
      </c>
      <c r="W422" s="11" t="s">
        <f t="shared" si="1239"/>
      </c>
      <c r="X422" s="11" t="s">
        <f t="shared" si="1244"/>
      </c>
    </row>
    <row r="423" ht="12.50" customHeight="true">
      <c r="A423" s="10"/>
      <c r="B423" s="11"/>
      <c r="C423" s="11"/>
      <c r="D423" s="11"/>
      <c r="E423" s="11"/>
      <c r="F423" s="11"/>
      <c r="G423" s="11"/>
      <c r="H423" s="11"/>
      <c r="I423" s="11"/>
      <c r="J423" s="11"/>
      <c r="K423" s="11" t="s">
        <f>""</f>
      </c>
      <c r="L423" s="11" t="s">
        <f t="shared" si="1247"/>
      </c>
      <c r="M423" s="8" t="s">
        <f t="shared" si="1245"/>
      </c>
      <c r="N423" s="11"/>
      <c r="O423" s="10">
        <f ref="O423:P423" t="shared" si="1438">A423</f>
        <v>0</v>
      </c>
      <c r="P423" s="11">
        <f t="shared" si="1438"/>
        <v>0</v>
      </c>
      <c r="Q423" s="11" t="s">
        <f t="shared" si="1240"/>
      </c>
      <c r="R423" s="11">
        <f t="shared" si="1246"/>
        <v>0</v>
      </c>
      <c r="S423" s="11">
        <f ref="S423:U423" t="shared" si="1439">E423</f>
        <v>0</v>
      </c>
      <c r="T423" s="11">
        <f t="shared" si="1439"/>
        <v>0</v>
      </c>
      <c r="U423" s="11">
        <f t="shared" si="1439"/>
        <v>0</v>
      </c>
      <c r="V423" s="11">
        <f t="shared" si="1241"/>
      </c>
      <c r="W423" s="11" t="s">
        <f t="shared" si="1239"/>
      </c>
      <c r="X423" s="11" t="s">
        <f t="shared" si="1244"/>
      </c>
    </row>
    <row r="424" ht="12.50" customHeight="true">
      <c r="A424" s="10"/>
      <c r="B424" s="11"/>
      <c r="C424" s="11"/>
      <c r="D424" s="11"/>
      <c r="E424" s="11"/>
      <c r="F424" s="11"/>
      <c r="G424" s="11"/>
      <c r="H424" s="11"/>
      <c r="I424" s="11"/>
      <c r="J424" s="11"/>
      <c r="K424" s="11" t="s">
        <f>""</f>
      </c>
      <c r="L424" s="11" t="s">
        <f t="shared" si="1247"/>
      </c>
      <c r="M424" s="8" t="s">
        <f t="shared" si="1245"/>
      </c>
      <c r="N424" s="11"/>
      <c r="O424" s="10">
        <f ref="O424:P424" t="shared" si="1353">A424</f>
        <v>0</v>
      </c>
      <c r="P424" s="11">
        <f t="shared" si="1353"/>
        <v>0</v>
      </c>
      <c r="Q424" s="11" t="s">
        <f t="shared" si="1240"/>
      </c>
      <c r="R424" s="11">
        <f t="shared" si="1246"/>
        <v>0</v>
      </c>
      <c r="S424" s="11">
        <f ref="S424:U424" t="shared" si="1352">E424</f>
        <v>0</v>
      </c>
      <c r="T424" s="11">
        <f t="shared" si="1352"/>
        <v>0</v>
      </c>
      <c r="U424" s="11">
        <f t="shared" si="1352"/>
        <v>0</v>
      </c>
      <c r="V424" s="11">
        <f t="shared" si="1241"/>
      </c>
      <c r="W424" s="11" t="s">
        <f t="shared" si="1239"/>
      </c>
      <c r="X424" s="11" t="s">
        <f t="shared" si="1244"/>
      </c>
    </row>
    <row r="425" ht="12.50" customHeight="true">
      <c r="A425" s="10"/>
      <c r="B425" s="11"/>
      <c r="C425" s="11"/>
      <c r="D425" s="11"/>
      <c r="E425" s="11"/>
      <c r="F425" s="11"/>
      <c r="G425" s="11"/>
      <c r="H425" s="11"/>
      <c r="I425" s="11"/>
      <c r="J425" s="11"/>
      <c r="K425" s="11" t="s">
        <f>""</f>
      </c>
      <c r="L425" s="11" t="s">
        <f t="shared" si="1247"/>
      </c>
      <c r="M425" s="8" t="s">
        <f t="shared" si="1245"/>
      </c>
      <c r="N425" s="11"/>
      <c r="O425" s="10">
        <f ref="O425:P425" t="shared" si="1852">A425</f>
        <v>0</v>
      </c>
      <c r="P425" s="11">
        <f t="shared" si="1852"/>
        <v>0</v>
      </c>
      <c r="Q425" s="11" t="s">
        <f t="shared" si="1240"/>
      </c>
      <c r="R425" s="11">
        <f t="shared" si="1246"/>
        <v>0</v>
      </c>
      <c r="S425" s="11">
        <f ref="S425:U425" t="shared" si="1853">E425</f>
        <v>0</v>
      </c>
      <c r="T425" s="11">
        <f t="shared" si="1853"/>
        <v>0</v>
      </c>
      <c r="U425" s="11">
        <f t="shared" si="1853"/>
        <v>0</v>
      </c>
      <c r="V425" s="11">
        <f t="shared" si="1241"/>
      </c>
      <c r="W425" s="11" t="s">
        <f t="shared" si="1239"/>
      </c>
      <c r="X425" s="11" t="s">
        <f t="shared" si="1244"/>
      </c>
    </row>
    <row r="426" ht="12.50" customHeight="true">
      <c r="A426" s="10"/>
      <c r="B426" s="11"/>
      <c r="C426" s="11"/>
      <c r="D426" s="11"/>
      <c r="E426" s="11"/>
      <c r="F426" s="11"/>
      <c r="G426" s="11"/>
      <c r="H426" s="11"/>
      <c r="I426" s="11"/>
      <c r="J426" s="11"/>
      <c r="K426" s="11" t="s">
        <f>""</f>
      </c>
      <c r="L426" s="11" t="s">
        <f t="shared" si="1247"/>
      </c>
      <c r="M426" s="8" t="s">
        <f t="shared" si="1245"/>
      </c>
      <c r="N426" s="11"/>
      <c r="O426" s="10">
        <f ref="O426:P426" t="shared" si="1967">A426</f>
        <v>0</v>
      </c>
      <c r="P426" s="11">
        <f t="shared" si="1967"/>
        <v>0</v>
      </c>
      <c r="Q426" s="11" t="s">
        <f t="shared" si="1240"/>
      </c>
      <c r="R426" s="11">
        <f t="shared" si="1246"/>
        <v>0</v>
      </c>
      <c r="S426" s="11">
        <f ref="S426:U426" t="shared" si="1966">E426</f>
        <v>0</v>
      </c>
      <c r="T426" s="11">
        <f t="shared" si="1966"/>
        <v>0</v>
      </c>
      <c r="U426" s="11">
        <f t="shared" si="1966"/>
        <v>0</v>
      </c>
      <c r="V426" s="11">
        <f t="shared" si="1241"/>
      </c>
      <c r="W426" s="11" t="s">
        <f t="shared" si="1239"/>
      </c>
      <c r="X426" s="11" t="s">
        <f t="shared" si="1244"/>
      </c>
    </row>
    <row r="427" ht="12.50" customHeight="true">
      <c r="A427" s="10"/>
      <c r="B427" s="11"/>
      <c r="C427" s="11"/>
      <c r="D427" s="11"/>
      <c r="E427" s="11"/>
      <c r="F427" s="11"/>
      <c r="G427" s="11"/>
      <c r="H427" s="11"/>
      <c r="I427" s="11"/>
      <c r="J427" s="11"/>
      <c r="K427" s="11" t="s">
        <f>""</f>
      </c>
      <c r="L427" s="11" t="s">
        <f t="shared" si="1247"/>
      </c>
      <c r="M427" s="8" t="s">
        <f t="shared" si="1245"/>
      </c>
      <c r="N427" s="11"/>
      <c r="O427" s="10">
        <f ref="O427:P427" t="shared" si="1304">A427</f>
        <v>0</v>
      </c>
      <c r="P427" s="11">
        <f t="shared" si="1304"/>
        <v>0</v>
      </c>
      <c r="Q427" s="11" t="s">
        <f t="shared" si="1240"/>
      </c>
      <c r="R427" s="11">
        <f t="shared" si="1246"/>
        <v>0</v>
      </c>
      <c r="S427" s="11">
        <f ref="S427:U427" t="shared" si="1305">E427</f>
        <v>0</v>
      </c>
      <c r="T427" s="11">
        <f t="shared" si="1305"/>
        <v>0</v>
      </c>
      <c r="U427" s="11">
        <f t="shared" si="1305"/>
        <v>0</v>
      </c>
      <c r="V427" s="11">
        <f t="shared" si="1241"/>
      </c>
      <c r="W427" s="11" t="s">
        <f t="shared" si="1239"/>
      </c>
      <c r="X427" s="11" t="s">
        <f t="shared" si="1244"/>
      </c>
    </row>
    <row r="428" ht="12.50" customHeight="true">
      <c r="A428" s="10"/>
      <c r="B428" s="11"/>
      <c r="C428" s="11"/>
      <c r="D428" s="11"/>
      <c r="E428" s="11"/>
      <c r="F428" s="11"/>
      <c r="G428" s="11"/>
      <c r="H428" s="11"/>
      <c r="I428" s="11"/>
      <c r="J428" s="11"/>
      <c r="K428" s="11" t="s">
        <f>""</f>
      </c>
      <c r="L428" s="11" t="s">
        <f t="shared" si="1247"/>
      </c>
      <c r="M428" s="8" t="s">
        <f t="shared" si="1245"/>
      </c>
      <c r="N428" s="11"/>
      <c r="O428" s="10">
        <f ref="O428:P428" t="shared" si="284">A428</f>
        <v>0</v>
      </c>
      <c r="P428" s="11">
        <f t="shared" si="284"/>
        <v>0</v>
      </c>
      <c r="Q428" s="11" t="s">
        <f t="shared" si="1240"/>
      </c>
      <c r="R428" s="11">
        <f t="shared" si="1246"/>
        <v>0</v>
      </c>
      <c r="S428" s="11">
        <f ref="S428:U428" t="shared" si="285">E428</f>
        <v>0</v>
      </c>
      <c r="T428" s="11">
        <f t="shared" si="285"/>
        <v>0</v>
      </c>
      <c r="U428" s="11">
        <f t="shared" si="285"/>
        <v>0</v>
      </c>
      <c r="V428" s="11">
        <f t="shared" si="1241"/>
      </c>
      <c r="W428" s="11" t="s">
        <f t="shared" si="1239"/>
      </c>
      <c r="X428" s="11" t="s">
        <f t="shared" si="1244"/>
      </c>
    </row>
    <row r="429" ht="12.50" customHeight="true">
      <c r="A429" s="10"/>
      <c r="B429" s="11"/>
      <c r="C429" s="11"/>
      <c r="D429" s="11"/>
      <c r="E429" s="11"/>
      <c r="F429" s="11"/>
      <c r="G429" s="11"/>
      <c r="H429" s="11"/>
      <c r="I429" s="11"/>
      <c r="J429" s="11"/>
      <c r="K429" s="11" t="s">
        <f>""</f>
      </c>
      <c r="L429" s="11" t="s">
        <f t="shared" si="1247"/>
      </c>
      <c r="M429" s="8" t="s">
        <f t="shared" si="1245"/>
      </c>
      <c r="N429" s="11"/>
      <c r="O429" s="10">
        <f ref="O429:P429" t="shared" si="596">A429</f>
        <v>0</v>
      </c>
      <c r="P429" s="11">
        <f t="shared" si="596"/>
        <v>0</v>
      </c>
      <c r="Q429" s="11" t="s">
        <f t="shared" si="1240"/>
      </c>
      <c r="R429" s="11">
        <f t="shared" si="1246"/>
        <v>0</v>
      </c>
      <c r="S429" s="11">
        <f ref="S429:U429" t="shared" si="597">E429</f>
        <v>0</v>
      </c>
      <c r="T429" s="11">
        <f t="shared" si="597"/>
        <v>0</v>
      </c>
      <c r="U429" s="11">
        <f t="shared" si="597"/>
        <v>0</v>
      </c>
      <c r="V429" s="11">
        <f t="shared" si="1241"/>
      </c>
      <c r="W429" s="11" t="s">
        <f t="shared" si="1239"/>
      </c>
      <c r="X429" s="11" t="s">
        <f t="shared" si="1244"/>
      </c>
    </row>
    <row r="430" ht="12.50" customHeight="true">
      <c r="A430" s="10"/>
      <c r="B430" s="11"/>
      <c r="C430" s="11"/>
      <c r="D430" s="11"/>
      <c r="E430" s="11"/>
      <c r="F430" s="11"/>
      <c r="G430" s="11"/>
      <c r="H430" s="11"/>
      <c r="I430" s="11"/>
      <c r="J430" s="11"/>
      <c r="K430" s="11" t="s">
        <f>""</f>
      </c>
      <c r="L430" s="11" t="s">
        <f t="shared" si="1247"/>
      </c>
      <c r="M430" s="8" t="s">
        <f t="shared" si="1245"/>
      </c>
      <c r="N430" s="11"/>
      <c r="O430" s="10">
        <f ref="O430:P430" t="shared" si="1410">A430</f>
        <v>0</v>
      </c>
      <c r="P430" s="11">
        <f t="shared" si="1410"/>
        <v>0</v>
      </c>
      <c r="Q430" s="11" t="s">
        <f t="shared" si="1240"/>
      </c>
      <c r="R430" s="11">
        <f t="shared" si="1246"/>
        <v>0</v>
      </c>
      <c r="S430" s="11">
        <f ref="S430:U430" t="shared" si="1411">E430</f>
        <v>0</v>
      </c>
      <c r="T430" s="11">
        <f t="shared" si="1411"/>
        <v>0</v>
      </c>
      <c r="U430" s="11">
        <f t="shared" si="1411"/>
        <v>0</v>
      </c>
      <c r="V430" s="11">
        <f t="shared" si="1241"/>
      </c>
      <c r="W430" s="11" t="s">
        <f t="shared" si="1239"/>
      </c>
      <c r="X430" s="11" t="s">
        <f t="shared" si="1244"/>
      </c>
    </row>
    <row r="431" ht="12.50" customHeight="true">
      <c r="A431" s="10"/>
      <c r="B431" s="11"/>
      <c r="C431" s="11"/>
      <c r="D431" s="11"/>
      <c r="E431" s="11"/>
      <c r="F431" s="11"/>
      <c r="G431" s="11"/>
      <c r="H431" s="11"/>
      <c r="I431" s="11"/>
      <c r="J431" s="11"/>
      <c r="K431" s="11" t="s">
        <f>""</f>
      </c>
      <c r="L431" s="11" t="s">
        <f t="shared" si="1247"/>
      </c>
      <c r="M431" s="8" t="s">
        <f t="shared" si="1245"/>
      </c>
      <c r="N431" s="11"/>
      <c r="O431" s="10">
        <f ref="O431:P431" t="shared" si="1078">A431</f>
        <v>0</v>
      </c>
      <c r="P431" s="11">
        <f t="shared" si="1078"/>
        <v>0</v>
      </c>
      <c r="Q431" s="11" t="s">
        <f t="shared" si="1240"/>
      </c>
      <c r="R431" s="11">
        <f t="shared" si="1246"/>
        <v>0</v>
      </c>
      <c r="S431" s="11">
        <f ref="S431:U431" t="shared" si="1077">E431</f>
        <v>0</v>
      </c>
      <c r="T431" s="11">
        <f t="shared" si="1077"/>
        <v>0</v>
      </c>
      <c r="U431" s="11">
        <f t="shared" si="1077"/>
        <v>0</v>
      </c>
      <c r="V431" s="11">
        <f t="shared" si="1241"/>
      </c>
      <c r="W431" s="11" t="s">
        <f t="shared" si="1239"/>
      </c>
      <c r="X431" s="11" t="s">
        <f t="shared" si="1244"/>
      </c>
    </row>
    <row r="432" ht="12.50" customHeight="true">
      <c r="A432" s="10"/>
      <c r="B432" s="11"/>
      <c r="C432" s="11"/>
      <c r="D432" s="11"/>
      <c r="E432" s="11"/>
      <c r="F432" s="11"/>
      <c r="G432" s="11"/>
      <c r="H432" s="11"/>
      <c r="I432" s="11"/>
      <c r="J432" s="11"/>
      <c r="K432" s="11" t="s">
        <f>""</f>
      </c>
      <c r="L432" s="11" t="s">
        <f t="shared" si="1247"/>
      </c>
      <c r="M432" s="8" t="s">
        <f t="shared" si="1245"/>
      </c>
      <c r="N432" s="11"/>
      <c r="O432" s="10">
        <f ref="O432:P432" t="shared" si="522">A432</f>
        <v>0</v>
      </c>
      <c r="P432" s="11">
        <f t="shared" si="522"/>
        <v>0</v>
      </c>
      <c r="Q432" s="11" t="s">
        <f t="shared" si="1240"/>
      </c>
      <c r="R432" s="11">
        <f t="shared" si="1246"/>
        <v>0</v>
      </c>
      <c r="S432" s="11">
        <f ref="S432:U432" t="shared" si="523">E432</f>
        <v>0</v>
      </c>
      <c r="T432" s="11">
        <f t="shared" si="523"/>
        <v>0</v>
      </c>
      <c r="U432" s="11">
        <f t="shared" si="523"/>
        <v>0</v>
      </c>
      <c r="V432" s="11">
        <f t="shared" si="1241"/>
      </c>
      <c r="W432" s="11" t="s">
        <f t="shared" si="1239"/>
      </c>
      <c r="X432" s="11" t="s">
        <f t="shared" si="1244"/>
      </c>
    </row>
    <row r="433" ht="12.50" customHeight="true">
      <c r="A433" s="10"/>
      <c r="B433" s="11"/>
      <c r="C433" s="11"/>
      <c r="D433" s="11"/>
      <c r="E433" s="11"/>
      <c r="F433" s="11"/>
      <c r="G433" s="11"/>
      <c r="H433" s="11"/>
      <c r="I433" s="11"/>
      <c r="J433" s="11"/>
      <c r="K433" s="11" t="s">
        <f>""</f>
      </c>
      <c r="L433" s="11" t="s">
        <f t="shared" si="1247"/>
      </c>
      <c r="M433" s="8" t="s">
        <f t="shared" si="1245"/>
      </c>
      <c r="N433" s="11"/>
      <c r="O433" s="10">
        <f ref="O433:P433" t="shared" si="1175">A433</f>
        <v>0</v>
      </c>
      <c r="P433" s="11">
        <f t="shared" si="1175"/>
        <v>0</v>
      </c>
      <c r="Q433" s="11" t="s">
        <f t="shared" si="1240"/>
      </c>
      <c r="R433" s="11">
        <f t="shared" si="1246"/>
        <v>0</v>
      </c>
      <c r="S433" s="11">
        <f ref="S433:U433" t="shared" si="1176">E433</f>
        <v>0</v>
      </c>
      <c r="T433" s="11">
        <f t="shared" si="1176"/>
        <v>0</v>
      </c>
      <c r="U433" s="11">
        <f t="shared" si="1176"/>
        <v>0</v>
      </c>
      <c r="V433" s="11">
        <f t="shared" si="1241"/>
      </c>
      <c r="W433" s="11" t="s">
        <f t="shared" si="1239"/>
      </c>
      <c r="X433" s="11" t="s">
        <f t="shared" si="1244"/>
      </c>
    </row>
    <row r="434" ht="12.50" customHeight="true">
      <c r="A434" s="10"/>
      <c r="B434" s="11"/>
      <c r="C434" s="11"/>
      <c r="D434" s="11"/>
      <c r="E434" s="11"/>
      <c r="F434" s="11"/>
      <c r="G434" s="11"/>
      <c r="H434" s="11"/>
      <c r="I434" s="11"/>
      <c r="J434" s="11"/>
      <c r="K434" s="11" t="s">
        <f>""</f>
      </c>
      <c r="L434" s="11" t="s">
        <f t="shared" si="1247"/>
      </c>
      <c r="M434" s="8" t="s">
        <f t="shared" si="1245"/>
      </c>
      <c r="N434" s="11"/>
      <c r="O434" s="10">
        <f ref="O434:P434" t="shared" si="1004">A434</f>
        <v>0</v>
      </c>
      <c r="P434" s="11">
        <f t="shared" si="1004"/>
        <v>0</v>
      </c>
      <c r="Q434" s="11" t="s">
        <f t="shared" si="1240"/>
      </c>
      <c r="R434" s="11">
        <f t="shared" si="1246"/>
        <v>0</v>
      </c>
      <c r="S434" s="11">
        <f ref="S434:U434" t="shared" si="1003">E434</f>
        <v>0</v>
      </c>
      <c r="T434" s="11">
        <f t="shared" si="1003"/>
        <v>0</v>
      </c>
      <c r="U434" s="11">
        <f t="shared" si="1003"/>
        <v>0</v>
      </c>
      <c r="V434" s="11">
        <f t="shared" si="1241"/>
      </c>
      <c r="W434" s="11" t="s">
        <f t="shared" si="1239"/>
      </c>
      <c r="X434" s="11" t="s">
        <f t="shared" si="1244"/>
      </c>
    </row>
    <row r="435" ht="12.50" customHeight="true">
      <c r="A435" s="10"/>
      <c r="B435" s="11"/>
      <c r="C435" s="11"/>
      <c r="D435" s="11"/>
      <c r="E435" s="11"/>
      <c r="F435" s="11"/>
      <c r="G435" s="11"/>
      <c r="H435" s="11"/>
      <c r="I435" s="11"/>
      <c r="J435" s="11"/>
      <c r="K435" s="11" t="s">
        <f>""</f>
      </c>
      <c r="L435" s="11" t="s">
        <f t="shared" si="1247"/>
      </c>
      <c r="M435" s="8" t="s">
        <f t="shared" si="1245"/>
      </c>
      <c r="N435" s="11"/>
      <c r="O435" s="10">
        <f ref="O435:P435" t="shared" si="458">A435</f>
        <v>0</v>
      </c>
      <c r="P435" s="11">
        <f t="shared" si="458"/>
        <v>0</v>
      </c>
      <c r="Q435" s="11" t="s">
        <f t="shared" si="1240"/>
      </c>
      <c r="R435" s="11">
        <f t="shared" si="1246"/>
        <v>0</v>
      </c>
      <c r="S435" s="11">
        <f ref="S435:U435" t="shared" si="459">E435</f>
        <v>0</v>
      </c>
      <c r="T435" s="11">
        <f t="shared" si="459"/>
        <v>0</v>
      </c>
      <c r="U435" s="11">
        <f t="shared" si="459"/>
        <v>0</v>
      </c>
      <c r="V435" s="11">
        <f t="shared" si="1241"/>
      </c>
      <c r="W435" s="11" t="s">
        <f t="shared" si="1239"/>
      </c>
      <c r="X435" s="11" t="s">
        <f t="shared" si="1244"/>
      </c>
    </row>
    <row r="436" ht="12.50" customHeight="true">
      <c r="A436" s="10"/>
      <c r="B436" s="11"/>
      <c r="C436" s="11"/>
      <c r="D436" s="11"/>
      <c r="E436" s="11"/>
      <c r="F436" s="11"/>
      <c r="G436" s="11"/>
      <c r="H436" s="11"/>
      <c r="I436" s="11"/>
      <c r="J436" s="11"/>
      <c r="K436" s="11" t="s">
        <f>""</f>
      </c>
      <c r="L436" s="11" t="s">
        <f t="shared" si="1247"/>
      </c>
      <c r="M436" s="8" t="s">
        <f t="shared" si="1245"/>
      </c>
      <c r="N436" s="11"/>
      <c r="O436" s="10">
        <f ref="O436:P436" t="shared" si="640">A436</f>
        <v>0</v>
      </c>
      <c r="P436" s="11">
        <f t="shared" si="640"/>
        <v>0</v>
      </c>
      <c r="Q436" s="11" t="s">
        <f t="shared" si="1240"/>
      </c>
      <c r="R436" s="11">
        <f t="shared" si="1246"/>
        <v>0</v>
      </c>
      <c r="S436" s="11">
        <f ref="S436:U436" t="shared" si="641">E436</f>
        <v>0</v>
      </c>
      <c r="T436" s="11">
        <f t="shared" si="641"/>
        <v>0</v>
      </c>
      <c r="U436" s="11">
        <f t="shared" si="641"/>
        <v>0</v>
      </c>
      <c r="V436" s="11">
        <f t="shared" si="1241"/>
      </c>
      <c r="W436" s="11" t="s">
        <f t="shared" si="1239"/>
      </c>
      <c r="X436" s="11" t="s">
        <f t="shared" si="1244"/>
      </c>
    </row>
    <row r="437" ht="12.50" customHeight="true">
      <c r="A437" s="10"/>
      <c r="B437" s="11"/>
      <c r="C437" s="11"/>
      <c r="D437" s="11"/>
      <c r="E437" s="11"/>
      <c r="F437" s="11"/>
      <c r="G437" s="11"/>
      <c r="H437" s="11"/>
      <c r="I437" s="11"/>
      <c r="J437" s="11"/>
      <c r="K437" s="11" t="s">
        <f>""</f>
      </c>
      <c r="L437" s="11" t="s">
        <f t="shared" si="1247"/>
      </c>
      <c r="M437" s="8" t="s">
        <f t="shared" si="1245"/>
      </c>
      <c r="N437" s="11"/>
      <c r="O437" s="10">
        <f ref="O437:P437" t="shared" si="1727">A437</f>
        <v>0</v>
      </c>
      <c r="P437" s="11">
        <f t="shared" si="1727"/>
        <v>0</v>
      </c>
      <c r="Q437" s="11" t="s">
        <f t="shared" si="1240"/>
      </c>
      <c r="R437" s="11">
        <f t="shared" si="1246"/>
        <v>0</v>
      </c>
      <c r="S437" s="11">
        <f ref="S437:U437" t="shared" si="1726">E437</f>
        <v>0</v>
      </c>
      <c r="T437" s="11">
        <f t="shared" si="1726"/>
        <v>0</v>
      </c>
      <c r="U437" s="11">
        <f t="shared" si="1726"/>
        <v>0</v>
      </c>
      <c r="V437" s="11">
        <f t="shared" si="1241"/>
      </c>
      <c r="W437" s="11" t="s">
        <f t="shared" si="1239"/>
      </c>
      <c r="X437" s="11" t="s">
        <f t="shared" si="1244"/>
      </c>
    </row>
    <row r="438" ht="12.50" customHeight="true">
      <c r="A438" s="10"/>
      <c r="B438" s="11"/>
      <c r="C438" s="11"/>
      <c r="D438" s="11"/>
      <c r="E438" s="11"/>
      <c r="F438" s="11"/>
      <c r="G438" s="11"/>
      <c r="H438" s="11"/>
      <c r="I438" s="11"/>
      <c r="J438" s="11"/>
      <c r="K438" s="11" t="s">
        <f>""</f>
      </c>
      <c r="L438" s="11" t="s">
        <f t="shared" si="1247"/>
      </c>
      <c r="M438" s="8" t="s">
        <f t="shared" si="1245"/>
      </c>
      <c r="N438" s="11"/>
      <c r="O438" s="10">
        <f ref="O438:P438" t="shared" si="1316">A438</f>
        <v>0</v>
      </c>
      <c r="P438" s="11">
        <f t="shared" si="1316"/>
        <v>0</v>
      </c>
      <c r="Q438" s="11" t="s">
        <f t="shared" si="1240"/>
      </c>
      <c r="R438" s="11">
        <f t="shared" si="1246"/>
        <v>0</v>
      </c>
      <c r="S438" s="11">
        <f ref="S438:U438" t="shared" si="1317">E438</f>
        <v>0</v>
      </c>
      <c r="T438" s="11">
        <f t="shared" si="1317"/>
        <v>0</v>
      </c>
      <c r="U438" s="11">
        <f t="shared" si="1317"/>
        <v>0</v>
      </c>
      <c r="V438" s="11">
        <f t="shared" si="1241"/>
      </c>
      <c r="W438" s="11" t="s">
        <f t="shared" si="1239"/>
      </c>
      <c r="X438" s="11" t="s">
        <f t="shared" si="1244"/>
      </c>
    </row>
    <row r="439" ht="12.50" customHeight="true">
      <c r="A439" s="10"/>
      <c r="B439" s="11"/>
      <c r="C439" s="11"/>
      <c r="D439" s="11"/>
      <c r="E439" s="11"/>
      <c r="F439" s="11"/>
      <c r="G439" s="11"/>
      <c r="H439" s="11"/>
      <c r="I439" s="11"/>
      <c r="J439" s="11"/>
      <c r="K439" s="11" t="s">
        <f>""</f>
      </c>
      <c r="L439" s="11" t="s">
        <f t="shared" si="1247"/>
      </c>
      <c r="M439" s="8" t="s">
        <f t="shared" si="1245"/>
      </c>
      <c r="N439" s="11"/>
      <c r="O439" s="10">
        <f ref="O439:P439" t="shared" si="805">A439</f>
        <v>0</v>
      </c>
      <c r="P439" s="11">
        <f t="shared" si="805"/>
        <v>0</v>
      </c>
      <c r="Q439" s="11" t="s">
        <f t="shared" si="1240"/>
      </c>
      <c r="R439" s="11">
        <f t="shared" si="1246"/>
        <v>0</v>
      </c>
      <c r="S439" s="11">
        <f ref="S439:U439" t="shared" si="804">E439</f>
        <v>0</v>
      </c>
      <c r="T439" s="11">
        <f t="shared" si="804"/>
        <v>0</v>
      </c>
      <c r="U439" s="11">
        <f t="shared" si="804"/>
        <v>0</v>
      </c>
      <c r="V439" s="11">
        <f t="shared" si="1241"/>
      </c>
      <c r="W439" s="11" t="s">
        <f t="shared" si="1239"/>
      </c>
      <c r="X439" s="11" t="s">
        <f t="shared" si="1244"/>
      </c>
    </row>
    <row r="440" ht="12.50" customHeight="true">
      <c r="A440" s="10"/>
      <c r="B440" s="11"/>
      <c r="C440" s="11"/>
      <c r="D440" s="11"/>
      <c r="E440" s="11"/>
      <c r="F440" s="11"/>
      <c r="G440" s="11"/>
      <c r="H440" s="11"/>
      <c r="I440" s="11"/>
      <c r="J440" s="11"/>
      <c r="K440" s="11" t="s">
        <f>""</f>
      </c>
      <c r="L440" s="11" t="s">
        <f t="shared" si="1247"/>
      </c>
      <c r="M440" s="8" t="s">
        <f t="shared" si="1245"/>
      </c>
      <c r="N440" s="11"/>
      <c r="O440" s="10">
        <f ref="O440:P440" t="shared" si="824">A440</f>
        <v>0</v>
      </c>
      <c r="P440" s="11">
        <f t="shared" si="824"/>
        <v>0</v>
      </c>
      <c r="Q440" s="11" t="s">
        <f t="shared" si="1240"/>
      </c>
      <c r="R440" s="11">
        <f t="shared" si="1246"/>
        <v>0</v>
      </c>
      <c r="S440" s="11">
        <f ref="S440:U440" t="shared" si="825">E440</f>
        <v>0</v>
      </c>
      <c r="T440" s="11">
        <f t="shared" si="825"/>
        <v>0</v>
      </c>
      <c r="U440" s="11">
        <f t="shared" si="825"/>
        <v>0</v>
      </c>
      <c r="V440" s="11">
        <f t="shared" si="1241"/>
      </c>
      <c r="W440" s="11" t="s">
        <f t="shared" si="1239"/>
      </c>
      <c r="X440" s="11" t="s">
        <f t="shared" si="1244"/>
      </c>
    </row>
    <row r="441" ht="12.50" customHeight="true">
      <c r="A441" s="10"/>
      <c r="B441" s="11"/>
      <c r="C441" s="11"/>
      <c r="D441" s="11"/>
      <c r="E441" s="11"/>
      <c r="F441" s="11"/>
      <c r="G441" s="11"/>
      <c r="H441" s="11"/>
      <c r="I441" s="11"/>
      <c r="J441" s="11"/>
      <c r="K441" s="11" t="s">
        <f>""</f>
      </c>
      <c r="L441" s="11" t="s">
        <f t="shared" si="1247"/>
      </c>
      <c r="M441" s="8" t="s">
        <f t="shared" si="1245"/>
      </c>
      <c r="N441" s="11"/>
      <c r="O441" s="10">
        <f ref="O441:P441" t="shared" si="712">A441</f>
        <v>0</v>
      </c>
      <c r="P441" s="11">
        <f t="shared" si="712"/>
        <v>0</v>
      </c>
      <c r="Q441" s="11" t="s">
        <f t="shared" si="1240"/>
      </c>
      <c r="R441" s="11">
        <f t="shared" si="1246"/>
        <v>0</v>
      </c>
      <c r="S441" s="11">
        <f ref="S441:U441" t="shared" si="713">E441</f>
        <v>0</v>
      </c>
      <c r="T441" s="11">
        <f t="shared" si="713"/>
        <v>0</v>
      </c>
      <c r="U441" s="11">
        <f t="shared" si="713"/>
        <v>0</v>
      </c>
      <c r="V441" s="11">
        <f t="shared" si="1241"/>
      </c>
      <c r="W441" s="11" t="s">
        <f t="shared" si="1239"/>
      </c>
      <c r="X441" s="11" t="s">
        <f t="shared" si="1244"/>
      </c>
    </row>
    <row r="442" ht="12.50" customHeight="true">
      <c r="A442" s="10"/>
      <c r="B442" s="11"/>
      <c r="C442" s="11"/>
      <c r="D442" s="11"/>
      <c r="E442" s="11"/>
      <c r="F442" s="11"/>
      <c r="G442" s="11"/>
      <c r="H442" s="11"/>
      <c r="I442" s="11"/>
      <c r="J442" s="11"/>
      <c r="K442" s="11" t="s">
        <f>""</f>
      </c>
      <c r="L442" s="11" t="s">
        <f t="shared" si="1247"/>
      </c>
      <c r="M442" s="8" t="s">
        <f t="shared" si="1245"/>
      </c>
      <c r="N442" s="11"/>
      <c r="O442" s="10">
        <f ref="O442:P442" t="shared" si="974">A442</f>
        <v>0</v>
      </c>
      <c r="P442" s="11">
        <f t="shared" si="974"/>
        <v>0</v>
      </c>
      <c r="Q442" s="11" t="s">
        <f t="shared" si="1240"/>
      </c>
      <c r="R442" s="11">
        <f t="shared" si="1246"/>
        <v>0</v>
      </c>
      <c r="S442" s="11">
        <f ref="S442:U442" t="shared" si="973">E442</f>
        <v>0</v>
      </c>
      <c r="T442" s="11">
        <f t="shared" si="973"/>
        <v>0</v>
      </c>
      <c r="U442" s="11">
        <f t="shared" si="973"/>
        <v>0</v>
      </c>
      <c r="V442" s="11">
        <f t="shared" si="1241"/>
      </c>
      <c r="W442" s="11" t="s">
        <f t="shared" si="1239"/>
      </c>
      <c r="X442" s="11" t="s">
        <f t="shared" si="1244"/>
      </c>
    </row>
    <row r="443" ht="12.50" customHeight="true">
      <c r="A443" s="10"/>
      <c r="B443" s="11"/>
      <c r="C443" s="11"/>
      <c r="D443" s="11"/>
      <c r="E443" s="11"/>
      <c r="F443" s="11"/>
      <c r="G443" s="11"/>
      <c r="H443" s="11"/>
      <c r="I443" s="11"/>
      <c r="J443" s="11"/>
      <c r="K443" s="11" t="s">
        <f>""</f>
      </c>
      <c r="L443" s="11" t="s">
        <f t="shared" si="1247"/>
      </c>
      <c r="M443" s="8" t="s">
        <f t="shared" si="1245"/>
      </c>
      <c r="N443" s="11"/>
      <c r="O443" s="10">
        <f ref="O443:P443" t="shared" si="509">A443</f>
        <v>0</v>
      </c>
      <c r="P443" s="11">
        <f t="shared" si="509"/>
        <v>0</v>
      </c>
      <c r="Q443" s="11" t="s">
        <f t="shared" si="1240"/>
      </c>
      <c r="R443" s="11">
        <f t="shared" si="1246"/>
        <v>0</v>
      </c>
      <c r="S443" s="11">
        <f ref="S443:U443" t="shared" si="508">E443</f>
        <v>0</v>
      </c>
      <c r="T443" s="11">
        <f t="shared" si="508"/>
        <v>0</v>
      </c>
      <c r="U443" s="11">
        <f t="shared" si="508"/>
        <v>0</v>
      </c>
      <c r="V443" s="11">
        <f t="shared" si="1241"/>
      </c>
      <c r="W443" s="11" t="s">
        <f t="shared" si="1239"/>
      </c>
      <c r="X443" s="11" t="s">
        <f t="shared" si="1244"/>
      </c>
    </row>
    <row r="444" ht="12.50" customHeight="true">
      <c r="A444" s="10"/>
      <c r="B444" s="11"/>
      <c r="C444" s="11"/>
      <c r="D444" s="11"/>
      <c r="E444" s="11"/>
      <c r="F444" s="11"/>
      <c r="G444" s="11"/>
      <c r="H444" s="11"/>
      <c r="I444" s="11"/>
      <c r="J444" s="11"/>
      <c r="K444" s="11" t="s">
        <f>""</f>
      </c>
      <c r="L444" s="11" t="s">
        <f t="shared" si="1247"/>
      </c>
      <c r="M444" s="8" t="s">
        <f t="shared" si="1245"/>
      </c>
      <c r="N444" s="11"/>
      <c r="O444" s="10">
        <f ref="O444:P444" t="shared" si="55">A444</f>
        <v>0</v>
      </c>
      <c r="P444" s="11">
        <f t="shared" si="55"/>
        <v>0</v>
      </c>
      <c r="Q444" s="11" t="s">
        <f t="shared" si="1240"/>
      </c>
      <c r="R444" s="11">
        <f t="shared" si="1246"/>
        <v>0</v>
      </c>
      <c r="S444" s="11">
        <f ref="S444:U444" t="shared" si="54">E444</f>
        <v>0</v>
      </c>
      <c r="T444" s="11">
        <f t="shared" si="54"/>
        <v>0</v>
      </c>
      <c r="U444" s="11">
        <f t="shared" si="54"/>
        <v>0</v>
      </c>
      <c r="V444" s="11">
        <f t="shared" si="1241"/>
      </c>
      <c r="W444" s="11" t="s">
        <f t="shared" si="1239"/>
      </c>
      <c r="X444" s="11" t="s">
        <f t="shared" si="1244"/>
      </c>
    </row>
    <row r="445" ht="12.50" customHeight="true">
      <c r="A445" s="10"/>
      <c r="B445" s="11"/>
      <c r="C445" s="11"/>
      <c r="D445" s="11"/>
      <c r="E445" s="11"/>
      <c r="F445" s="11"/>
      <c r="G445" s="11"/>
      <c r="H445" s="11"/>
      <c r="I445" s="11"/>
      <c r="J445" s="11"/>
      <c r="K445" s="11" t="s">
        <f>""</f>
      </c>
      <c r="L445" s="11" t="s">
        <f t="shared" si="1247"/>
      </c>
      <c r="M445" s="8" t="s">
        <f t="shared" si="1245"/>
      </c>
      <c r="N445" s="11"/>
      <c r="O445" s="10">
        <f ref="O445:P445" t="shared" si="387">A445</f>
        <v>0</v>
      </c>
      <c r="P445" s="11">
        <f t="shared" si="387"/>
        <v>0</v>
      </c>
      <c r="Q445" s="11" t="s">
        <f t="shared" si="1240"/>
      </c>
      <c r="R445" s="11">
        <f t="shared" si="1246"/>
        <v>0</v>
      </c>
      <c r="S445" s="11">
        <f ref="S445:U445" t="shared" si="386">E445</f>
        <v>0</v>
      </c>
      <c r="T445" s="11">
        <f t="shared" si="386"/>
        <v>0</v>
      </c>
      <c r="U445" s="11">
        <f t="shared" si="386"/>
        <v>0</v>
      </c>
      <c r="V445" s="11">
        <f t="shared" si="1241"/>
      </c>
      <c r="W445" s="11" t="s">
        <f t="shared" si="1239"/>
      </c>
      <c r="X445" s="11" t="s">
        <f t="shared" si="1244"/>
      </c>
    </row>
    <row r="446" ht="12.50" customHeight="true">
      <c r="A446" s="10"/>
      <c r="B446" s="11"/>
      <c r="C446" s="11"/>
      <c r="D446" s="11"/>
      <c r="E446" s="11"/>
      <c r="F446" s="11"/>
      <c r="G446" s="11"/>
      <c r="H446" s="11"/>
      <c r="I446" s="11"/>
      <c r="J446" s="11"/>
      <c r="K446" s="11" t="s">
        <f>""</f>
      </c>
      <c r="L446" s="11" t="s">
        <f t="shared" si="1247"/>
      </c>
      <c r="M446" s="8" t="s">
        <f t="shared" si="1245"/>
      </c>
      <c r="N446" s="11"/>
      <c r="O446" s="10">
        <f ref="O446:P446" t="shared" si="1927">A446</f>
        <v>0</v>
      </c>
      <c r="P446" s="11">
        <f t="shared" si="1927"/>
        <v>0</v>
      </c>
      <c r="Q446" s="11" t="s">
        <f t="shared" si="1240"/>
      </c>
      <c r="R446" s="11">
        <f t="shared" si="1246"/>
        <v>0</v>
      </c>
      <c r="S446" s="11">
        <f ref="S446:U446" t="shared" si="1926">E446</f>
        <v>0</v>
      </c>
      <c r="T446" s="11">
        <f t="shared" si="1926"/>
        <v>0</v>
      </c>
      <c r="U446" s="11">
        <f t="shared" si="1926"/>
        <v>0</v>
      </c>
      <c r="V446" s="11">
        <f t="shared" si="1241"/>
      </c>
      <c r="W446" s="11" t="s">
        <f t="shared" si="1239"/>
      </c>
      <c r="X446" s="11" t="s">
        <f t="shared" si="1244"/>
      </c>
    </row>
    <row r="447" ht="12.50" customHeight="true">
      <c r="A447" s="10"/>
      <c r="B447" s="11"/>
      <c r="C447" s="11"/>
      <c r="D447" s="11"/>
      <c r="E447" s="11"/>
      <c r="F447" s="11"/>
      <c r="G447" s="11"/>
      <c r="H447" s="11"/>
      <c r="I447" s="11"/>
      <c r="J447" s="11"/>
      <c r="K447" s="11" t="s">
        <f>""</f>
      </c>
      <c r="L447" s="11" t="s">
        <f t="shared" si="1247"/>
      </c>
      <c r="M447" s="8" t="s">
        <f t="shared" si="1245"/>
      </c>
      <c r="N447" s="11"/>
      <c r="O447" s="10">
        <f ref="O447:P447" t="shared" si="560">A447</f>
        <v>0</v>
      </c>
      <c r="P447" s="11">
        <f t="shared" si="560"/>
        <v>0</v>
      </c>
      <c r="Q447" s="11" t="s">
        <f t="shared" si="1240"/>
      </c>
      <c r="R447" s="11">
        <f t="shared" si="1246"/>
        <v>0</v>
      </c>
      <c r="S447" s="11">
        <f ref="S447:U447" t="shared" si="561">E447</f>
        <v>0</v>
      </c>
      <c r="T447" s="11">
        <f t="shared" si="561"/>
        <v>0</v>
      </c>
      <c r="U447" s="11">
        <f t="shared" si="561"/>
        <v>0</v>
      </c>
      <c r="V447" s="11">
        <f t="shared" si="1241"/>
      </c>
      <c r="W447" s="11" t="s">
        <f t="shared" si="1239"/>
      </c>
      <c r="X447" s="11" t="s">
        <f t="shared" si="1244"/>
      </c>
    </row>
    <row r="448" ht="12.50" customHeight="true">
      <c r="A448" s="10"/>
      <c r="B448" s="11"/>
      <c r="C448" s="11"/>
      <c r="D448" s="11"/>
      <c r="E448" s="11"/>
      <c r="F448" s="11"/>
      <c r="G448" s="11"/>
      <c r="H448" s="11"/>
      <c r="I448" s="11"/>
      <c r="J448" s="11"/>
      <c r="K448" s="11" t="s">
        <f>""</f>
      </c>
      <c r="L448" s="11" t="s">
        <f t="shared" si="1247"/>
      </c>
      <c r="M448" s="8" t="s">
        <f t="shared" si="1245"/>
      </c>
      <c r="N448" s="11"/>
      <c r="O448" s="10">
        <f ref="O448:P448" t="shared" si="177">A448</f>
        <v>0</v>
      </c>
      <c r="P448" s="11">
        <f t="shared" si="177"/>
        <v>0</v>
      </c>
      <c r="Q448" s="11" t="s">
        <f t="shared" si="1240"/>
      </c>
      <c r="R448" s="11">
        <f t="shared" si="1246"/>
        <v>0</v>
      </c>
      <c r="S448" s="11">
        <f ref="S448:U448" t="shared" si="178">E448</f>
        <v>0</v>
      </c>
      <c r="T448" s="11">
        <f t="shared" si="178"/>
        <v>0</v>
      </c>
      <c r="U448" s="11">
        <f t="shared" si="178"/>
        <v>0</v>
      </c>
      <c r="V448" s="11">
        <f t="shared" si="1241"/>
      </c>
      <c r="W448" s="11" t="s">
        <f t="shared" si="1239"/>
      </c>
      <c r="X448" s="11" t="s">
        <f t="shared" si="1244"/>
      </c>
    </row>
    <row r="449" ht="12.50" customHeight="true">
      <c r="A449" s="10"/>
      <c r="B449" s="11"/>
      <c r="C449" s="11"/>
      <c r="D449" s="11"/>
      <c r="E449" s="11"/>
      <c r="F449" s="11"/>
      <c r="G449" s="11"/>
      <c r="H449" s="11"/>
      <c r="I449" s="11"/>
      <c r="J449" s="11"/>
      <c r="K449" s="11" t="s">
        <f>""</f>
      </c>
      <c r="L449" s="11" t="s">
        <f t="shared" si="1247"/>
      </c>
      <c r="M449" s="8" t="s">
        <f t="shared" si="1245"/>
      </c>
      <c r="N449" s="11"/>
      <c r="O449" s="10">
        <f ref="O449:P449" t="shared" si="1045">A449</f>
        <v>0</v>
      </c>
      <c r="P449" s="11">
        <f t="shared" si="1045"/>
        <v>0</v>
      </c>
      <c r="Q449" s="11" t="s">
        <f t="shared" si="1240"/>
      </c>
      <c r="R449" s="11">
        <f t="shared" si="1246"/>
        <v>0</v>
      </c>
      <c r="S449" s="11">
        <f ref="S449:U449" t="shared" si="1046">E449</f>
        <v>0</v>
      </c>
      <c r="T449" s="11">
        <f t="shared" si="1046"/>
        <v>0</v>
      </c>
      <c r="U449" s="11">
        <f t="shared" si="1046"/>
        <v>0</v>
      </c>
      <c r="V449" s="11">
        <f t="shared" si="1241"/>
      </c>
      <c r="W449" s="11" t="s">
        <f t="shared" si="1239"/>
      </c>
      <c r="X449" s="11" t="s">
        <f t="shared" si="1244"/>
      </c>
    </row>
    <row r="450" ht="12.50" customHeight="true">
      <c r="A450" s="10"/>
      <c r="B450" s="11"/>
      <c r="C450" s="11"/>
      <c r="D450" s="11"/>
      <c r="E450" s="11"/>
      <c r="F450" s="11"/>
      <c r="G450" s="11"/>
      <c r="H450" s="11"/>
      <c r="I450" s="11"/>
      <c r="J450" s="11"/>
      <c r="K450" s="11" t="s">
        <f>""</f>
      </c>
      <c r="L450" s="11" t="s">
        <f t="shared" si="1247"/>
      </c>
      <c r="M450" s="8" t="s">
        <f t="shared" si="1245"/>
      </c>
      <c r="N450" s="11"/>
      <c r="O450" s="10">
        <f ref="O450:P450" t="shared" si="262">A450</f>
        <v>0</v>
      </c>
      <c r="P450" s="11">
        <f t="shared" si="262"/>
        <v>0</v>
      </c>
      <c r="Q450" s="11" t="s">
        <f t="shared" si="1240"/>
      </c>
      <c r="R450" s="11">
        <f t="shared" si="1246"/>
        <v>0</v>
      </c>
      <c r="S450" s="11">
        <f ref="S450:U450" t="shared" si="263">E450</f>
        <v>0</v>
      </c>
      <c r="T450" s="11">
        <f t="shared" si="263"/>
        <v>0</v>
      </c>
      <c r="U450" s="11">
        <f t="shared" si="263"/>
        <v>0</v>
      </c>
      <c r="V450" s="11">
        <f t="shared" si="1241"/>
      </c>
      <c r="W450" s="11" t="s">
        <f t="shared" si="1239"/>
      </c>
      <c r="X450" s="11" t="s">
        <f t="shared" si="1244"/>
      </c>
    </row>
    <row r="451" ht="12.50" customHeight="true">
      <c r="A451" s="10"/>
      <c r="B451" s="11"/>
      <c r="C451" s="11"/>
      <c r="D451" s="11"/>
      <c r="E451" s="11"/>
      <c r="F451" s="11"/>
      <c r="G451" s="11"/>
      <c r="H451" s="11"/>
      <c r="I451" s="11"/>
      <c r="J451" s="11"/>
      <c r="K451" s="11" t="s">
        <f>""</f>
      </c>
      <c r="L451" s="11" t="s">
        <f t="shared" si="1247"/>
      </c>
      <c r="M451" s="8" t="s">
        <f t="shared" si="1245"/>
      </c>
      <c r="N451" s="11"/>
      <c r="O451" s="10">
        <f ref="O451:P451" t="shared" si="296">A451</f>
        <v>0</v>
      </c>
      <c r="P451" s="11">
        <f t="shared" si="296"/>
        <v>0</v>
      </c>
      <c r="Q451" s="11" t="s">
        <f t="shared" si="1240"/>
      </c>
      <c r="R451" s="11">
        <f t="shared" si="1246"/>
        <v>0</v>
      </c>
      <c r="S451" s="11">
        <f ref="S451:U451" t="shared" si="297">E451</f>
        <v>0</v>
      </c>
      <c r="T451" s="11">
        <f t="shared" si="297"/>
        <v>0</v>
      </c>
      <c r="U451" s="11">
        <f t="shared" si="297"/>
        <v>0</v>
      </c>
      <c r="V451" s="11">
        <f t="shared" si="1241"/>
      </c>
      <c r="W451" s="11" t="s">
        <f t="shared" si="1239"/>
      </c>
      <c r="X451" s="11" t="s">
        <f t="shared" si="1244"/>
      </c>
    </row>
    <row r="452" ht="12.50" customHeight="true">
      <c r="A452" s="10"/>
      <c r="B452" s="11"/>
      <c r="C452" s="11"/>
      <c r="D452" s="11"/>
      <c r="E452" s="11"/>
      <c r="F452" s="11"/>
      <c r="G452" s="11"/>
      <c r="H452" s="11"/>
      <c r="I452" s="11"/>
      <c r="J452" s="11"/>
      <c r="K452" s="11" t="s">
        <f>""</f>
      </c>
      <c r="L452" s="11" t="s">
        <f t="shared" si="1247"/>
      </c>
      <c r="M452" s="8" t="s">
        <f t="shared" si="1245"/>
      </c>
      <c r="N452" s="11"/>
      <c r="O452" s="10">
        <f ref="O452:P452" t="shared" si="232">A452</f>
        <v>0</v>
      </c>
      <c r="P452" s="11">
        <f t="shared" si="232"/>
        <v>0</v>
      </c>
      <c r="Q452" s="11" t="s">
        <f t="shared" si="1240"/>
      </c>
      <c r="R452" s="11">
        <f t="shared" si="1246"/>
        <v>0</v>
      </c>
      <c r="S452" s="11">
        <f ref="S452:U452" t="shared" si="231">E452</f>
        <v>0</v>
      </c>
      <c r="T452" s="11">
        <f t="shared" si="231"/>
        <v>0</v>
      </c>
      <c r="U452" s="11">
        <f t="shared" si="231"/>
        <v>0</v>
      </c>
      <c r="V452" s="11">
        <f t="shared" si="1241"/>
      </c>
      <c r="W452" s="11" t="s">
        <f t="shared" si="1239"/>
      </c>
      <c r="X452" s="11" t="s">
        <f t="shared" si="1244"/>
      </c>
    </row>
    <row r="453" ht="12.50" customHeight="true">
      <c r="A453" s="10"/>
      <c r="B453" s="11"/>
      <c r="C453" s="11"/>
      <c r="D453" s="11"/>
      <c r="E453" s="11"/>
      <c r="F453" s="11"/>
      <c r="G453" s="11"/>
      <c r="H453" s="11"/>
      <c r="I453" s="11"/>
      <c r="J453" s="11"/>
      <c r="K453" s="11" t="s">
        <f>""</f>
      </c>
      <c r="L453" s="11" t="s">
        <f t="shared" si="1247"/>
      </c>
      <c r="M453" s="8" t="s">
        <f t="shared" si="1245"/>
      </c>
      <c r="N453" s="11"/>
      <c r="O453" s="10">
        <f ref="O453:P453" t="shared" si="1762">A453</f>
        <v>0</v>
      </c>
      <c r="P453" s="11">
        <f t="shared" si="1762"/>
        <v>0</v>
      </c>
      <c r="Q453" s="11" t="s">
        <f t="shared" si="1240"/>
      </c>
      <c r="R453" s="11">
        <f t="shared" si="1246"/>
        <v>0</v>
      </c>
      <c r="S453" s="11">
        <f ref="S453:U453" t="shared" si="1763">E453</f>
        <v>0</v>
      </c>
      <c r="T453" s="11">
        <f t="shared" si="1763"/>
        <v>0</v>
      </c>
      <c r="U453" s="11">
        <f t="shared" si="1763"/>
        <v>0</v>
      </c>
      <c r="V453" s="11">
        <f t="shared" si="1241"/>
      </c>
      <c r="W453" s="11" t="s">
        <f t="shared" si="1239"/>
      </c>
      <c r="X453" s="11" t="s">
        <f t="shared" si="1244"/>
      </c>
    </row>
    <row r="454" ht="12.50" customHeight="true">
      <c r="A454" s="10"/>
      <c r="B454" s="11"/>
      <c r="C454" s="11"/>
      <c r="D454" s="11"/>
      <c r="E454" s="11"/>
      <c r="F454" s="11"/>
      <c r="G454" s="11"/>
      <c r="H454" s="11"/>
      <c r="I454" s="11"/>
      <c r="J454" s="11"/>
      <c r="K454" s="11" t="s">
        <f>""</f>
      </c>
      <c r="L454" s="11" t="s">
        <f t="shared" si="1247"/>
      </c>
      <c r="M454" s="8" t="s">
        <f t="shared" si="1245"/>
      </c>
      <c r="N454" s="11"/>
      <c r="O454" s="10">
        <f ref="O454:P454" t="shared" si="1878">A454</f>
        <v>0</v>
      </c>
      <c r="P454" s="11">
        <f t="shared" si="1878"/>
        <v>0</v>
      </c>
      <c r="Q454" s="11" t="s">
        <f t="shared" si="1240"/>
      </c>
      <c r="R454" s="11">
        <f t="shared" si="1246"/>
        <v>0</v>
      </c>
      <c r="S454" s="11">
        <f ref="S454:U454" t="shared" si="1879">E454</f>
        <v>0</v>
      </c>
      <c r="T454" s="11">
        <f t="shared" si="1879"/>
        <v>0</v>
      </c>
      <c r="U454" s="11">
        <f t="shared" si="1879"/>
        <v>0</v>
      </c>
      <c r="V454" s="11">
        <f t="shared" si="1241"/>
      </c>
      <c r="W454" s="11" t="s">
        <f t="shared" si="1239"/>
      </c>
      <c r="X454" s="11" t="s">
        <f t="shared" si="1244"/>
      </c>
    </row>
    <row r="455" ht="12.50" customHeight="true">
      <c r="A455" s="10"/>
      <c r="B455" s="11"/>
      <c r="C455" s="11"/>
      <c r="D455" s="11"/>
      <c r="E455" s="11"/>
      <c r="F455" s="11"/>
      <c r="G455" s="11"/>
      <c r="H455" s="11"/>
      <c r="I455" s="11"/>
      <c r="J455" s="11"/>
      <c r="K455" s="11" t="s">
        <f>""</f>
      </c>
      <c r="L455" s="11" t="s">
        <f t="shared" si="1247"/>
      </c>
      <c r="M455" s="8" t="s">
        <f t="shared" si="1245"/>
      </c>
      <c r="N455" s="11"/>
      <c r="O455" s="10">
        <f ref="O455:P455" t="shared" si="427">A455</f>
        <v>0</v>
      </c>
      <c r="P455" s="11">
        <f t="shared" si="427"/>
        <v>0</v>
      </c>
      <c r="Q455" s="11" t="s">
        <f t="shared" si="1240"/>
      </c>
      <c r="R455" s="11">
        <f t="shared" si="1246"/>
        <v>0</v>
      </c>
      <c r="S455" s="11">
        <f ref="S455:U455" t="shared" si="426">E455</f>
        <v>0</v>
      </c>
      <c r="T455" s="11">
        <f t="shared" si="426"/>
        <v>0</v>
      </c>
      <c r="U455" s="11">
        <f t="shared" si="426"/>
        <v>0</v>
      </c>
      <c r="V455" s="11">
        <f t="shared" si="1241"/>
      </c>
      <c r="W455" s="11" t="s">
        <f t="shared" si="1239"/>
      </c>
      <c r="X455" s="11" t="s">
        <f t="shared" si="1244"/>
      </c>
    </row>
    <row r="456" ht="12.50" customHeight="true">
      <c r="A456" s="10"/>
      <c r="B456" s="11"/>
      <c r="C456" s="11"/>
      <c r="D456" s="11"/>
      <c r="E456" s="11"/>
      <c r="F456" s="11"/>
      <c r="G456" s="11"/>
      <c r="H456" s="11"/>
      <c r="I456" s="11"/>
      <c r="J456" s="11"/>
      <c r="K456" s="11" t="s">
        <f>""</f>
      </c>
      <c r="L456" s="11" t="s">
        <f t="shared" si="1247"/>
      </c>
      <c r="M456" s="8" t="s">
        <f t="shared" si="1245"/>
      </c>
      <c r="N456" s="11"/>
      <c r="O456" s="10">
        <f ref="O456:P456" t="shared" si="379">A456</f>
        <v>0</v>
      </c>
      <c r="P456" s="11">
        <f t="shared" si="379"/>
        <v>0</v>
      </c>
      <c r="Q456" s="11" t="s">
        <f t="shared" si="1240"/>
      </c>
      <c r="R456" s="11">
        <f t="shared" si="1246"/>
        <v>0</v>
      </c>
      <c r="S456" s="11">
        <f ref="S456:U456" t="shared" si="378">E456</f>
        <v>0</v>
      </c>
      <c r="T456" s="11">
        <f t="shared" si="378"/>
        <v>0</v>
      </c>
      <c r="U456" s="11">
        <f t="shared" si="378"/>
        <v>0</v>
      </c>
      <c r="V456" s="11">
        <f t="shared" si="1241"/>
      </c>
      <c r="W456" s="11" t="s">
        <f t="shared" si="1239"/>
      </c>
      <c r="X456" s="11" t="s">
        <f t="shared" si="1244"/>
      </c>
    </row>
    <row r="457" ht="12.50" customHeight="true">
      <c r="A457" s="10"/>
      <c r="B457" s="11"/>
      <c r="C457" s="11"/>
      <c r="D457" s="11"/>
      <c r="E457" s="11"/>
      <c r="F457" s="11"/>
      <c r="G457" s="11"/>
      <c r="H457" s="11"/>
      <c r="I457" s="11"/>
      <c r="J457" s="11"/>
      <c r="K457" s="11" t="s">
        <f>""</f>
      </c>
      <c r="L457" s="11" t="s">
        <f t="shared" si="1247"/>
      </c>
      <c r="M457" s="8" t="s">
        <f t="shared" si="1245"/>
      </c>
      <c r="N457" s="11"/>
      <c r="O457" s="10">
        <f ref="O457:P457" t="shared" si="13">A457</f>
        <v>0</v>
      </c>
      <c r="P457" s="11">
        <f t="shared" si="13"/>
        <v>0</v>
      </c>
      <c r="Q457" s="11" t="s">
        <f t="shared" si="1240"/>
      </c>
      <c r="R457" s="11">
        <f t="shared" si="1246"/>
        <v>0</v>
      </c>
      <c r="S457" s="11">
        <f ref="S457:U457" t="shared" si="12">E457</f>
        <v>0</v>
      </c>
      <c r="T457" s="11">
        <f t="shared" si="12"/>
        <v>0</v>
      </c>
      <c r="U457" s="11">
        <f t="shared" si="12"/>
        <v>0</v>
      </c>
      <c r="V457" s="11">
        <f t="shared" si="1241"/>
      </c>
      <c r="W457" s="11" t="s">
        <f t="shared" si="1239"/>
      </c>
      <c r="X457" s="11" t="s">
        <f t="shared" si="1244"/>
      </c>
    </row>
    <row r="458" ht="12.50" customHeight="true">
      <c r="A458" s="10"/>
      <c r="B458" s="11"/>
      <c r="C458" s="11"/>
      <c r="D458" s="11"/>
      <c r="E458" s="11"/>
      <c r="F458" s="11"/>
      <c r="G458" s="11"/>
      <c r="H458" s="11"/>
      <c r="I458" s="11"/>
      <c r="J458" s="11"/>
      <c r="K458" s="11" t="s">
        <f>""</f>
      </c>
      <c r="L458" s="11" t="s">
        <f t="shared" si="1247"/>
      </c>
      <c r="M458" s="8" t="s">
        <f t="shared" si="1245"/>
      </c>
      <c r="N458" s="11"/>
      <c r="O458" s="10">
        <f ref="O458:P458" t="shared" si="280">A458</f>
        <v>0</v>
      </c>
      <c r="P458" s="11">
        <f t="shared" si="280"/>
        <v>0</v>
      </c>
      <c r="Q458" s="11" t="s">
        <f t="shared" si="1240"/>
      </c>
      <c r="R458" s="11">
        <f t="shared" si="1246"/>
        <v>0</v>
      </c>
      <c r="S458" s="11">
        <f ref="S458:U458" t="shared" si="281">E458</f>
        <v>0</v>
      </c>
      <c r="T458" s="11">
        <f t="shared" si="281"/>
        <v>0</v>
      </c>
      <c r="U458" s="11">
        <f t="shared" si="281"/>
        <v>0</v>
      </c>
      <c r="V458" s="11">
        <f t="shared" si="1241"/>
      </c>
      <c r="W458" s="11" t="s">
        <f t="shared" si="1239"/>
      </c>
      <c r="X458" s="11" t="s">
        <f t="shared" si="1244"/>
      </c>
    </row>
    <row r="459" ht="12.50" customHeight="true">
      <c r="A459" s="10"/>
      <c r="B459" s="11"/>
      <c r="C459" s="11"/>
      <c r="D459" s="11"/>
      <c r="E459" s="11"/>
      <c r="F459" s="11"/>
      <c r="G459" s="11"/>
      <c r="H459" s="11"/>
      <c r="I459" s="11"/>
      <c r="J459" s="11"/>
      <c r="K459" s="11" t="s">
        <f>""</f>
      </c>
      <c r="L459" s="11" t="s">
        <f t="shared" si="1247"/>
      </c>
      <c r="M459" s="8" t="s">
        <f t="shared" si="1245"/>
      </c>
      <c r="N459" s="11"/>
      <c r="O459" s="10">
        <f ref="O459:P459" t="shared" si="1456">A459</f>
        <v>0</v>
      </c>
      <c r="P459" s="11">
        <f t="shared" si="1456"/>
        <v>0</v>
      </c>
      <c r="Q459" s="11" t="s">
        <f t="shared" si="1240"/>
      </c>
      <c r="R459" s="11">
        <f t="shared" si="1246"/>
        <v>0</v>
      </c>
      <c r="S459" s="11">
        <f ref="S459:U459" t="shared" si="1457">E459</f>
        <v>0</v>
      </c>
      <c r="T459" s="11">
        <f t="shared" si="1457"/>
        <v>0</v>
      </c>
      <c r="U459" s="11">
        <f t="shared" si="1457"/>
        <v>0</v>
      </c>
      <c r="V459" s="11">
        <f t="shared" si="1241"/>
      </c>
      <c r="W459" s="11" t="s">
        <f t="shared" si="1239"/>
      </c>
      <c r="X459" s="11" t="s">
        <f t="shared" si="1244"/>
      </c>
    </row>
    <row r="460" ht="12.50" customHeight="true">
      <c r="A460" s="10"/>
      <c r="B460" s="11"/>
      <c r="C460" s="11"/>
      <c r="D460" s="11"/>
      <c r="E460" s="11"/>
      <c r="F460" s="11"/>
      <c r="G460" s="11"/>
      <c r="H460" s="11"/>
      <c r="I460" s="11"/>
      <c r="J460" s="11"/>
      <c r="K460" s="11" t="s">
        <f>""</f>
      </c>
      <c r="L460" s="11" t="s">
        <f t="shared" si="1247"/>
      </c>
      <c r="M460" s="8" t="s">
        <f t="shared" si="1245"/>
      </c>
      <c r="N460" s="11"/>
      <c r="O460" s="10">
        <f ref="O460:P460" t="shared" si="700">A460</f>
        <v>0</v>
      </c>
      <c r="P460" s="11">
        <f t="shared" si="700"/>
        <v>0</v>
      </c>
      <c r="Q460" s="11" t="s">
        <f t="shared" si="1240"/>
      </c>
      <c r="R460" s="11">
        <f t="shared" si="1246"/>
        <v>0</v>
      </c>
      <c r="S460" s="11">
        <f ref="S460:U460" t="shared" si="701">E460</f>
        <v>0</v>
      </c>
      <c r="T460" s="11">
        <f t="shared" si="701"/>
        <v>0</v>
      </c>
      <c r="U460" s="11">
        <f t="shared" si="701"/>
        <v>0</v>
      </c>
      <c r="V460" s="11">
        <f t="shared" si="1241"/>
      </c>
      <c r="W460" s="11" t="s">
        <f t="shared" si="1239"/>
      </c>
      <c r="X460" s="11" t="s">
        <f t="shared" si="1244"/>
      </c>
    </row>
    <row r="461" ht="12.50" customHeight="true">
      <c r="A461" s="10"/>
      <c r="B461" s="11"/>
      <c r="C461" s="11"/>
      <c r="D461" s="11"/>
      <c r="E461" s="11"/>
      <c r="F461" s="11"/>
      <c r="G461" s="11"/>
      <c r="H461" s="11"/>
      <c r="I461" s="11"/>
      <c r="J461" s="11"/>
      <c r="K461" s="11" t="s">
        <f>""</f>
      </c>
      <c r="L461" s="11" t="s">
        <f t="shared" si="1247"/>
      </c>
      <c r="M461" s="8" t="s">
        <f t="shared" si="1245"/>
      </c>
      <c r="N461" s="11"/>
      <c r="O461" s="10">
        <f ref="O461:P461" t="shared" si="1549">A461</f>
        <v>0</v>
      </c>
      <c r="P461" s="11">
        <f t="shared" si="1549"/>
        <v>0</v>
      </c>
      <c r="Q461" s="11" t="s">
        <f t="shared" si="1240"/>
      </c>
      <c r="R461" s="11">
        <f t="shared" si="1246"/>
        <v>0</v>
      </c>
      <c r="S461" s="11">
        <f ref="S461:U461" t="shared" si="1548">E461</f>
        <v>0</v>
      </c>
      <c r="T461" s="11">
        <f t="shared" si="1548"/>
        <v>0</v>
      </c>
      <c r="U461" s="11">
        <f t="shared" si="1548"/>
        <v>0</v>
      </c>
      <c r="V461" s="11">
        <f t="shared" si="1241"/>
      </c>
      <c r="W461" s="11" t="s">
        <f t="shared" si="1239"/>
      </c>
      <c r="X461" s="11" t="s">
        <f t="shared" si="1244"/>
      </c>
    </row>
    <row r="462" ht="12.50" customHeight="true">
      <c r="A462" s="10"/>
      <c r="B462" s="11"/>
      <c r="C462" s="11"/>
      <c r="D462" s="11"/>
      <c r="E462" s="11"/>
      <c r="F462" s="11"/>
      <c r="G462" s="11"/>
      <c r="H462" s="11"/>
      <c r="I462" s="11"/>
      <c r="J462" s="11"/>
      <c r="K462" s="11" t="s">
        <f>""</f>
      </c>
      <c r="L462" s="11" t="s">
        <f t="shared" si="1247"/>
      </c>
      <c r="M462" s="8" t="s">
        <f t="shared" si="1245"/>
      </c>
      <c r="N462" s="11"/>
      <c r="O462" s="10">
        <f ref="O462:P462" t="shared" si="665">A462</f>
        <v>0</v>
      </c>
      <c r="P462" s="11">
        <f t="shared" si="665"/>
        <v>0</v>
      </c>
      <c r="Q462" s="11" t="s">
        <f t="shared" si="1240"/>
      </c>
      <c r="R462" s="11">
        <f t="shared" si="1246"/>
        <v>0</v>
      </c>
      <c r="S462" s="11">
        <f ref="S462:U462" t="shared" si="664">E462</f>
        <v>0</v>
      </c>
      <c r="T462" s="11">
        <f t="shared" si="664"/>
        <v>0</v>
      </c>
      <c r="U462" s="11">
        <f t="shared" si="664"/>
        <v>0</v>
      </c>
      <c r="V462" s="11">
        <f t="shared" si="1241"/>
      </c>
      <c r="W462" s="11" t="s">
        <f t="shared" si="1239"/>
      </c>
      <c r="X462" s="11" t="s">
        <f t="shared" si="1244"/>
      </c>
    </row>
    <row r="463" ht="12.50" customHeight="true">
      <c r="A463" s="10"/>
      <c r="B463" s="11"/>
      <c r="C463" s="11"/>
      <c r="D463" s="11"/>
      <c r="E463" s="11"/>
      <c r="F463" s="11"/>
      <c r="G463" s="11"/>
      <c r="H463" s="11"/>
      <c r="I463" s="11"/>
      <c r="J463" s="11"/>
      <c r="K463" s="11" t="s">
        <f>""</f>
      </c>
      <c r="L463" s="11" t="s">
        <f t="shared" si="1247"/>
      </c>
      <c r="M463" s="8" t="s">
        <f t="shared" si="1245"/>
      </c>
      <c r="N463" s="11"/>
      <c r="O463" s="10">
        <f ref="O463:P463" t="shared" si="1988">A463</f>
        <v>0</v>
      </c>
      <c r="P463" s="11">
        <f t="shared" si="1988"/>
        <v>0</v>
      </c>
      <c r="Q463" s="11" t="s">
        <f t="shared" si="1240"/>
      </c>
      <c r="R463" s="11">
        <f t="shared" si="1246"/>
        <v>0</v>
      </c>
      <c r="S463" s="11">
        <f ref="S463:U463" t="shared" si="1989">E463</f>
        <v>0</v>
      </c>
      <c r="T463" s="11">
        <f t="shared" si="1989"/>
        <v>0</v>
      </c>
      <c r="U463" s="11">
        <f t="shared" si="1989"/>
        <v>0</v>
      </c>
      <c r="V463" s="11">
        <f t="shared" si="1241"/>
      </c>
      <c r="W463" s="11" t="s">
        <f t="shared" si="1239"/>
      </c>
      <c r="X463" s="11" t="s">
        <f t="shared" si="1244"/>
      </c>
    </row>
    <row r="464" ht="12.50" customHeight="true">
      <c r="A464" s="10"/>
      <c r="B464" s="11"/>
      <c r="C464" s="11"/>
      <c r="D464" s="11"/>
      <c r="E464" s="11"/>
      <c r="F464" s="11"/>
      <c r="G464" s="11"/>
      <c r="H464" s="11"/>
      <c r="I464" s="11"/>
      <c r="J464" s="11"/>
      <c r="K464" s="11" t="s">
        <f>""</f>
      </c>
      <c r="L464" s="11" t="s">
        <f t="shared" si="1247"/>
      </c>
      <c r="M464" s="8" t="s">
        <f t="shared" si="1245"/>
      </c>
      <c r="N464" s="11"/>
      <c r="O464" s="10">
        <f ref="O464:P464" t="shared" si="1192">A464</f>
        <v>0</v>
      </c>
      <c r="P464" s="11">
        <f t="shared" si="1192"/>
        <v>0</v>
      </c>
      <c r="Q464" s="11" t="s">
        <f t="shared" si="1240"/>
      </c>
      <c r="R464" s="11">
        <f t="shared" si="1246"/>
        <v>0</v>
      </c>
      <c r="S464" s="11">
        <f ref="S464:U464" t="shared" si="1191">E464</f>
        <v>0</v>
      </c>
      <c r="T464" s="11">
        <f t="shared" si="1191"/>
        <v>0</v>
      </c>
      <c r="U464" s="11">
        <f t="shared" si="1191"/>
        <v>0</v>
      </c>
      <c r="V464" s="11">
        <f t="shared" si="1241"/>
      </c>
      <c r="W464" s="11" t="s">
        <f t="shared" si="1239"/>
      </c>
      <c r="X464" s="11" t="s">
        <f t="shared" si="1244"/>
      </c>
    </row>
    <row r="465" ht="12.50" customHeight="true">
      <c r="A465" s="10"/>
      <c r="B465" s="11"/>
      <c r="C465" s="11"/>
      <c r="D465" s="11"/>
      <c r="E465" s="11"/>
      <c r="F465" s="11"/>
      <c r="G465" s="11"/>
      <c r="H465" s="11"/>
      <c r="I465" s="11"/>
      <c r="J465" s="11"/>
      <c r="K465" s="11" t="s">
        <f>""</f>
      </c>
      <c r="L465" s="11" t="s">
        <f t="shared" si="1247"/>
      </c>
      <c r="M465" s="8" t="s">
        <f t="shared" si="1245"/>
      </c>
      <c r="N465" s="11"/>
      <c r="O465" s="10">
        <f ref="O465:P465" t="shared" si="541">A465</f>
        <v>0</v>
      </c>
      <c r="P465" s="11">
        <f t="shared" si="541"/>
        <v>0</v>
      </c>
      <c r="Q465" s="11" t="s">
        <f t="shared" si="1240"/>
      </c>
      <c r="R465" s="11">
        <f t="shared" si="1246"/>
        <v>0</v>
      </c>
      <c r="S465" s="11">
        <f ref="S465:U465" t="shared" si="540">E465</f>
        <v>0</v>
      </c>
      <c r="T465" s="11">
        <f t="shared" si="540"/>
        <v>0</v>
      </c>
      <c r="U465" s="11">
        <f t="shared" si="540"/>
        <v>0</v>
      </c>
      <c r="V465" s="11">
        <f t="shared" si="1241"/>
      </c>
      <c r="W465" s="11" t="s">
        <f t="shared" si="1239"/>
      </c>
      <c r="X465" s="11" t="s">
        <f t="shared" si="1244"/>
      </c>
    </row>
    <row r="466" ht="12.50" customHeight="true">
      <c r="A466" s="10"/>
      <c r="B466" s="11"/>
      <c r="C466" s="11"/>
      <c r="D466" s="11"/>
      <c r="E466" s="11"/>
      <c r="F466" s="11"/>
      <c r="G466" s="11"/>
      <c r="H466" s="11"/>
      <c r="I466" s="11"/>
      <c r="J466" s="11"/>
      <c r="K466" s="11" t="s">
        <f>""</f>
      </c>
      <c r="L466" s="11" t="s">
        <f t="shared" si="1247"/>
      </c>
      <c r="M466" s="8" t="s">
        <f t="shared" si="1245"/>
      </c>
      <c r="N466" s="11"/>
      <c r="O466" s="10">
        <f ref="O466:P466" t="shared" si="1134">A466</f>
        <v>0</v>
      </c>
      <c r="P466" s="11">
        <f t="shared" si="1134"/>
        <v>0</v>
      </c>
      <c r="Q466" s="11" t="s">
        <f t="shared" si="1240"/>
      </c>
      <c r="R466" s="11">
        <f t="shared" si="1246"/>
        <v>0</v>
      </c>
      <c r="S466" s="11">
        <f ref="S466:U466" t="shared" si="1133">E466</f>
        <v>0</v>
      </c>
      <c r="T466" s="11">
        <f t="shared" si="1133"/>
        <v>0</v>
      </c>
      <c r="U466" s="11">
        <f t="shared" si="1133"/>
        <v>0</v>
      </c>
      <c r="V466" s="11">
        <f t="shared" si="1241"/>
      </c>
      <c r="W466" s="11" t="s">
        <f t="shared" si="1239"/>
      </c>
      <c r="X466" s="11" t="s">
        <f t="shared" si="1244"/>
      </c>
    </row>
    <row r="467" ht="12.50" customHeight="true">
      <c r="A467" s="10"/>
      <c r="B467" s="11"/>
      <c r="C467" s="11"/>
      <c r="D467" s="11"/>
      <c r="E467" s="11"/>
      <c r="F467" s="11"/>
      <c r="G467" s="11"/>
      <c r="H467" s="11"/>
      <c r="I467" s="11"/>
      <c r="J467" s="11"/>
      <c r="K467" s="11" t="s">
        <f>""</f>
      </c>
      <c r="L467" s="11" t="s">
        <f t="shared" si="1247"/>
      </c>
      <c r="M467" s="8" t="s">
        <f t="shared" si="1245"/>
      </c>
      <c r="N467" s="11"/>
      <c r="O467" s="10">
        <f ref="O467:P467" t="shared" si="1948">A467</f>
        <v>0</v>
      </c>
      <c r="P467" s="11">
        <f t="shared" si="1948"/>
        <v>0</v>
      </c>
      <c r="Q467" s="11" t="s">
        <f t="shared" si="1240"/>
      </c>
      <c r="R467" s="11">
        <f t="shared" si="1246"/>
        <v>0</v>
      </c>
      <c r="S467" s="11">
        <f ref="S467:U467" t="shared" si="1949">E467</f>
        <v>0</v>
      </c>
      <c r="T467" s="11">
        <f t="shared" si="1949"/>
        <v>0</v>
      </c>
      <c r="U467" s="11">
        <f t="shared" si="1949"/>
        <v>0</v>
      </c>
      <c r="V467" s="11">
        <f t="shared" si="1241"/>
      </c>
      <c r="W467" s="11" t="s">
        <f t="shared" si="1239"/>
      </c>
      <c r="X467" s="11" t="s">
        <f t="shared" si="1244"/>
      </c>
    </row>
    <row r="468" ht="12.50" customHeight="true">
      <c r="A468" s="10"/>
      <c r="B468" s="11"/>
      <c r="C468" s="11"/>
      <c r="D468" s="11"/>
      <c r="E468" s="11"/>
      <c r="F468" s="11"/>
      <c r="G468" s="11"/>
      <c r="H468" s="11"/>
      <c r="I468" s="11"/>
      <c r="J468" s="11"/>
      <c r="K468" s="11" t="s">
        <f>""</f>
      </c>
      <c r="L468" s="11" t="s">
        <f t="shared" si="1247"/>
      </c>
      <c r="M468" s="8" t="s">
        <f t="shared" si="1245"/>
      </c>
      <c r="N468" s="11"/>
      <c r="O468" s="10">
        <f ref="O468:P468" t="shared" si="812">A468</f>
        <v>0</v>
      </c>
      <c r="P468" s="11">
        <f t="shared" si="812"/>
        <v>0</v>
      </c>
      <c r="Q468" s="11" t="s">
        <f t="shared" si="1240"/>
      </c>
      <c r="R468" s="11">
        <f t="shared" si="1246"/>
        <v>0</v>
      </c>
      <c r="S468" s="11">
        <f ref="S468:U468" t="shared" si="813">E468</f>
        <v>0</v>
      </c>
      <c r="T468" s="11">
        <f t="shared" si="813"/>
        <v>0</v>
      </c>
      <c r="U468" s="11">
        <f t="shared" si="813"/>
        <v>0</v>
      </c>
      <c r="V468" s="11">
        <f t="shared" si="1241"/>
      </c>
      <c r="W468" s="11" t="s">
        <f t="shared" si="1239"/>
      </c>
      <c r="X468" s="11" t="s">
        <f t="shared" si="1244"/>
      </c>
    </row>
    <row r="469" ht="12.50" customHeight="true">
      <c r="A469" s="10"/>
      <c r="B469" s="11"/>
      <c r="C469" s="11"/>
      <c r="D469" s="11"/>
      <c r="E469" s="11"/>
      <c r="F469" s="11"/>
      <c r="G469" s="11"/>
      <c r="H469" s="11"/>
      <c r="I469" s="11"/>
      <c r="J469" s="11"/>
      <c r="K469" s="11" t="s">
        <f>""</f>
      </c>
      <c r="L469" s="11" t="s">
        <f t="shared" si="1247"/>
      </c>
      <c r="M469" s="8" t="s">
        <f t="shared" si="1245"/>
      </c>
      <c r="N469" s="11"/>
      <c r="O469" s="10">
        <f ref="O469:P469" t="shared" si="575">A469</f>
        <v>0</v>
      </c>
      <c r="P469" s="11">
        <f t="shared" si="575"/>
        <v>0</v>
      </c>
      <c r="Q469" s="11" t="s">
        <f t="shared" si="1240"/>
      </c>
      <c r="R469" s="11">
        <f t="shared" si="1246"/>
        <v>0</v>
      </c>
      <c r="S469" s="11">
        <f ref="S469:U469" t="shared" si="574">E469</f>
        <v>0</v>
      </c>
      <c r="T469" s="11">
        <f t="shared" si="574"/>
        <v>0</v>
      </c>
      <c r="U469" s="11">
        <f t="shared" si="574"/>
        <v>0</v>
      </c>
      <c r="V469" s="11">
        <f t="shared" si="1241"/>
      </c>
      <c r="W469" s="11" t="s">
        <f t="shared" si="1239"/>
      </c>
      <c r="X469" s="11" t="s">
        <f t="shared" si="1244"/>
      </c>
    </row>
    <row r="470" ht="12.50" customHeight="true">
      <c r="A470" s="10"/>
      <c r="B470" s="11"/>
      <c r="C470" s="11"/>
      <c r="D470" s="11"/>
      <c r="E470" s="11"/>
      <c r="F470" s="11"/>
      <c r="G470" s="11"/>
      <c r="H470" s="11"/>
      <c r="I470" s="11"/>
      <c r="J470" s="11"/>
      <c r="K470" s="11" t="s">
        <f>""</f>
      </c>
      <c r="L470" s="11" t="s">
        <f t="shared" si="1247"/>
      </c>
      <c r="M470" s="8" t="s">
        <f t="shared" si="1245"/>
      </c>
      <c r="N470" s="11"/>
      <c r="O470" s="10">
        <f ref="O470:P470" t="shared" si="493">A470</f>
        <v>0</v>
      </c>
      <c r="P470" s="11">
        <f t="shared" si="493"/>
        <v>0</v>
      </c>
      <c r="Q470" s="11" t="s">
        <f t="shared" si="1240"/>
      </c>
      <c r="R470" s="11">
        <f t="shared" si="1246"/>
        <v>0</v>
      </c>
      <c r="S470" s="11">
        <f ref="S470:U470" t="shared" si="492">E470</f>
        <v>0</v>
      </c>
      <c r="T470" s="11">
        <f t="shared" si="492"/>
        <v>0</v>
      </c>
      <c r="U470" s="11">
        <f t="shared" si="492"/>
        <v>0</v>
      </c>
      <c r="V470" s="11">
        <f t="shared" si="1241"/>
      </c>
      <c r="W470" s="11" t="s">
        <f t="shared" si="1239"/>
      </c>
      <c r="X470" s="11" t="s">
        <f t="shared" si="1244"/>
      </c>
    </row>
    <row r="471" ht="12.50" customHeight="true">
      <c r="A471" s="10"/>
      <c r="B471" s="11"/>
      <c r="C471" s="11"/>
      <c r="D471" s="11"/>
      <c r="E471" s="11"/>
      <c r="F471" s="11"/>
      <c r="G471" s="11"/>
      <c r="H471" s="11"/>
      <c r="I471" s="11"/>
      <c r="J471" s="11"/>
      <c r="K471" s="11" t="s">
        <f>""</f>
      </c>
      <c r="L471" s="11" t="s">
        <f t="shared" si="1247"/>
      </c>
      <c r="M471" s="8" t="s">
        <f t="shared" si="1245"/>
      </c>
      <c r="N471" s="11"/>
      <c r="O471" s="10">
        <f ref="O471:P471" t="shared" si="443">A471</f>
        <v>0</v>
      </c>
      <c r="P471" s="11">
        <f t="shared" si="443"/>
        <v>0</v>
      </c>
      <c r="Q471" s="11" t="s">
        <f t="shared" si="1240"/>
      </c>
      <c r="R471" s="11">
        <f t="shared" si="1246"/>
        <v>0</v>
      </c>
      <c r="S471" s="11">
        <f ref="S471:U471" t="shared" si="442">E471</f>
        <v>0</v>
      </c>
      <c r="T471" s="11">
        <f t="shared" si="442"/>
        <v>0</v>
      </c>
      <c r="U471" s="11">
        <f t="shared" si="442"/>
        <v>0</v>
      </c>
      <c r="V471" s="11">
        <f t="shared" si="1241"/>
      </c>
      <c r="W471" s="11" t="s">
        <f t="shared" si="1239"/>
      </c>
      <c r="X471" s="11" t="s">
        <f t="shared" si="1244"/>
      </c>
    </row>
    <row r="472" ht="12.50" customHeight="true">
      <c r="A472" s="10"/>
      <c r="B472" s="11"/>
      <c r="C472" s="11"/>
      <c r="D472" s="11"/>
      <c r="E472" s="11"/>
      <c r="F472" s="11"/>
      <c r="G472" s="11"/>
      <c r="H472" s="11"/>
      <c r="I472" s="11"/>
      <c r="J472" s="11"/>
      <c r="K472" s="11" t="s">
        <f>""</f>
      </c>
      <c r="L472" s="11" t="s">
        <f t="shared" si="1247"/>
      </c>
      <c r="M472" s="8" t="s">
        <f t="shared" si="1245"/>
      </c>
      <c r="N472" s="11"/>
      <c r="O472" s="10">
        <f ref="O472:P472" t="shared" si="671">A472</f>
        <v>0</v>
      </c>
      <c r="P472" s="11">
        <f t="shared" si="671"/>
        <v>0</v>
      </c>
      <c r="Q472" s="11" t="s">
        <f t="shared" si="1240"/>
      </c>
      <c r="R472" s="11">
        <f t="shared" si="1246"/>
        <v>0</v>
      </c>
      <c r="S472" s="11">
        <f ref="S472:U472" t="shared" si="670">E472</f>
        <v>0</v>
      </c>
      <c r="T472" s="11">
        <f t="shared" si="670"/>
        <v>0</v>
      </c>
      <c r="U472" s="11">
        <f t="shared" si="670"/>
        <v>0</v>
      </c>
      <c r="V472" s="11">
        <f t="shared" si="1241"/>
      </c>
      <c r="W472" s="11" t="s">
        <f t="shared" si="1239"/>
      </c>
      <c r="X472" s="11" t="s">
        <f t="shared" si="1244"/>
      </c>
    </row>
    <row r="473" ht="12.50" customHeight="true">
      <c r="A473" s="10"/>
      <c r="B473" s="11"/>
      <c r="C473" s="11"/>
      <c r="D473" s="11"/>
      <c r="E473" s="11"/>
      <c r="F473" s="11"/>
      <c r="G473" s="11"/>
      <c r="H473" s="11"/>
      <c r="I473" s="11"/>
      <c r="J473" s="11"/>
      <c r="K473" s="11" t="s">
        <f>""</f>
      </c>
      <c r="L473" s="11" t="s">
        <f t="shared" si="1247"/>
      </c>
      <c r="M473" s="8" t="s">
        <f t="shared" si="1245"/>
      </c>
      <c r="N473" s="11"/>
      <c r="O473" s="10">
        <f ref="O473:P473" t="shared" si="1715">A473</f>
        <v>0</v>
      </c>
      <c r="P473" s="11">
        <f t="shared" si="1715"/>
        <v>0</v>
      </c>
      <c r="Q473" s="11" t="s">
        <f t="shared" si="1240"/>
      </c>
      <c r="R473" s="11">
        <f t="shared" si="1246"/>
        <v>0</v>
      </c>
      <c r="S473" s="11">
        <f ref="S473:U473" t="shared" si="1714">E473</f>
        <v>0</v>
      </c>
      <c r="T473" s="11">
        <f t="shared" si="1714"/>
        <v>0</v>
      </c>
      <c r="U473" s="11">
        <f t="shared" si="1714"/>
        <v>0</v>
      </c>
      <c r="V473" s="11">
        <f t="shared" si="1241"/>
      </c>
      <c r="W473" s="11" t="s">
        <f t="shared" si="1239"/>
      </c>
      <c r="X473" s="11" t="s">
        <f t="shared" si="1244"/>
      </c>
    </row>
    <row r="474" ht="12.50" customHeight="true">
      <c r="A474" s="10"/>
      <c r="B474" s="11"/>
      <c r="C474" s="11"/>
      <c r="D474" s="11"/>
      <c r="E474" s="11"/>
      <c r="F474" s="11"/>
      <c r="G474" s="11"/>
      <c r="H474" s="11"/>
      <c r="I474" s="11"/>
      <c r="J474" s="11"/>
      <c r="K474" s="11" t="s">
        <f>""</f>
      </c>
      <c r="L474" s="11" t="s">
        <f t="shared" si="1247"/>
      </c>
      <c r="M474" s="8" t="s">
        <f t="shared" si="1245"/>
      </c>
      <c r="N474" s="11"/>
      <c r="O474" s="10">
        <f ref="O474:P474" t="shared" si="153">A474</f>
        <v>0</v>
      </c>
      <c r="P474" s="11">
        <f t="shared" si="153"/>
        <v>0</v>
      </c>
      <c r="Q474" s="11" t="s">
        <f t="shared" si="1240"/>
      </c>
      <c r="R474" s="11">
        <f t="shared" si="1246"/>
        <v>0</v>
      </c>
      <c r="S474" s="11">
        <f ref="S474:U474" t="shared" si="154">E474</f>
        <v>0</v>
      </c>
      <c r="T474" s="11">
        <f t="shared" si="154"/>
        <v>0</v>
      </c>
      <c r="U474" s="11">
        <f t="shared" si="154"/>
        <v>0</v>
      </c>
      <c r="V474" s="11">
        <f t="shared" si="1241"/>
      </c>
      <c r="W474" s="11" t="s">
        <f t="shared" si="1239"/>
      </c>
      <c r="X474" s="11" t="s">
        <f t="shared" si="1244"/>
      </c>
    </row>
    <row r="475" ht="12.50" customHeight="true">
      <c r="A475" s="10"/>
      <c r="B475" s="11"/>
      <c r="C475" s="11"/>
      <c r="D475" s="11"/>
      <c r="E475" s="11"/>
      <c r="F475" s="11"/>
      <c r="G475" s="11"/>
      <c r="H475" s="11"/>
      <c r="I475" s="11"/>
      <c r="J475" s="11"/>
      <c r="K475" s="11" t="s">
        <f>""</f>
      </c>
      <c r="L475" s="11" t="s">
        <f t="shared" si="1247"/>
      </c>
      <c r="M475" s="8" t="s">
        <f t="shared" si="1245"/>
      </c>
      <c r="N475" s="11"/>
      <c r="O475" s="10">
        <f ref="O475:P475" t="shared" si="1470">A475</f>
        <v>0</v>
      </c>
      <c r="P475" s="11">
        <f t="shared" si="1470"/>
        <v>0</v>
      </c>
      <c r="Q475" s="11" t="s">
        <f t="shared" si="1240"/>
      </c>
      <c r="R475" s="11">
        <f t="shared" si="1246"/>
        <v>0</v>
      </c>
      <c r="S475" s="11">
        <f ref="S475:U475" t="shared" si="1471">E475</f>
        <v>0</v>
      </c>
      <c r="T475" s="11">
        <f t="shared" si="1471"/>
        <v>0</v>
      </c>
      <c r="U475" s="11">
        <f t="shared" si="1471"/>
        <v>0</v>
      </c>
      <c r="V475" s="11">
        <f t="shared" si="1241"/>
      </c>
      <c r="W475" s="11" t="s">
        <f t="shared" si="1239"/>
      </c>
      <c r="X475" s="11" t="s">
        <f t="shared" si="1244"/>
      </c>
    </row>
    <row r="476" ht="12.50" customHeight="true">
      <c r="A476" s="10"/>
      <c r="B476" s="11"/>
      <c r="C476" s="11"/>
      <c r="D476" s="11"/>
      <c r="E476" s="11"/>
      <c r="F476" s="11"/>
      <c r="G476" s="11"/>
      <c r="H476" s="11"/>
      <c r="I476" s="11"/>
      <c r="J476" s="11"/>
      <c r="K476" s="11" t="s">
        <f>""</f>
      </c>
      <c r="L476" s="11" t="s">
        <f t="shared" si="1247"/>
      </c>
      <c r="M476" s="8" t="s">
        <f t="shared" si="1245"/>
      </c>
      <c r="N476" s="11"/>
      <c r="O476" s="10">
        <f ref="O476:P476" t="shared" si="1083">A476</f>
        <v>0</v>
      </c>
      <c r="P476" s="11">
        <f t="shared" si="1083"/>
        <v>0</v>
      </c>
      <c r="Q476" s="11" t="s">
        <f t="shared" si="1240"/>
      </c>
      <c r="R476" s="11">
        <f t="shared" si="1246"/>
        <v>0</v>
      </c>
      <c r="S476" s="11">
        <f ref="S476:U476" t="shared" si="1084">E476</f>
        <v>0</v>
      </c>
      <c r="T476" s="11">
        <f t="shared" si="1084"/>
        <v>0</v>
      </c>
      <c r="U476" s="11">
        <f t="shared" si="1084"/>
        <v>0</v>
      </c>
      <c r="V476" s="11">
        <f t="shared" si="1241"/>
      </c>
      <c r="W476" s="11" t="s">
        <f t="shared" si="1239"/>
      </c>
      <c r="X476" s="11" t="s">
        <f t="shared" si="1244"/>
      </c>
    </row>
    <row r="477" ht="12.50" customHeight="true">
      <c r="A477" s="10"/>
      <c r="B477" s="11"/>
      <c r="C477" s="11"/>
      <c r="D477" s="11"/>
      <c r="E477" s="11"/>
      <c r="F477" s="11"/>
      <c r="G477" s="11"/>
      <c r="H477" s="11"/>
      <c r="I477" s="11"/>
      <c r="J477" s="11"/>
      <c r="K477" s="11" t="s">
        <f>""</f>
      </c>
      <c r="L477" s="11" t="s">
        <f t="shared" si="1247"/>
      </c>
      <c r="M477" s="8" t="s">
        <f t="shared" si="1245"/>
      </c>
      <c r="N477" s="11"/>
      <c r="O477" s="10">
        <f ref="O477:P477" t="shared" si="608">A477</f>
        <v>0</v>
      </c>
      <c r="P477" s="11">
        <f t="shared" si="608"/>
        <v>0</v>
      </c>
      <c r="Q477" s="11" t="s">
        <f t="shared" si="1240"/>
      </c>
      <c r="R477" s="11">
        <f t="shared" si="1246"/>
        <v>0</v>
      </c>
      <c r="S477" s="11">
        <f ref="S477:U477" t="shared" si="609">E477</f>
        <v>0</v>
      </c>
      <c r="T477" s="11">
        <f t="shared" si="609"/>
        <v>0</v>
      </c>
      <c r="U477" s="11">
        <f t="shared" si="609"/>
        <v>0</v>
      </c>
      <c r="V477" s="11">
        <f t="shared" si="1241"/>
      </c>
      <c r="W477" s="11" t="s">
        <f t="shared" si="1239"/>
      </c>
      <c r="X477" s="11" t="s">
        <f t="shared" si="1244"/>
      </c>
    </row>
    <row r="478" ht="12.50" customHeight="true">
      <c r="A478" s="10"/>
      <c r="B478" s="11"/>
      <c r="C478" s="11"/>
      <c r="D478" s="11"/>
      <c r="E478" s="11"/>
      <c r="F478" s="11"/>
      <c r="G478" s="11"/>
      <c r="H478" s="11"/>
      <c r="I478" s="11"/>
      <c r="J478" s="11"/>
      <c r="K478" s="11" t="s">
        <f>""</f>
      </c>
      <c r="L478" s="11" t="s">
        <f t="shared" si="1247"/>
      </c>
      <c r="M478" s="8" t="s">
        <f t="shared" si="1245"/>
      </c>
      <c r="N478" s="11"/>
      <c r="O478" s="10">
        <f ref="O478:P478" t="shared" si="619">A478</f>
        <v>0</v>
      </c>
      <c r="P478" s="11">
        <f t="shared" si="619"/>
        <v>0</v>
      </c>
      <c r="Q478" s="11" t="s">
        <f t="shared" si="1240"/>
      </c>
      <c r="R478" s="11">
        <f t="shared" si="1246"/>
        <v>0</v>
      </c>
      <c r="S478" s="11">
        <f ref="S478:U478" t="shared" si="618">E478</f>
        <v>0</v>
      </c>
      <c r="T478" s="11">
        <f t="shared" si="618"/>
        <v>0</v>
      </c>
      <c r="U478" s="11">
        <f t="shared" si="618"/>
        <v>0</v>
      </c>
      <c r="V478" s="11">
        <f t="shared" si="1241"/>
      </c>
      <c r="W478" s="11" t="s">
        <f t="shared" si="1239"/>
      </c>
      <c r="X478" s="11" t="s">
        <f t="shared" si="1244"/>
      </c>
    </row>
    <row r="479" ht="12.50" customHeight="true">
      <c r="A479" s="10"/>
      <c r="B479" s="11"/>
      <c r="C479" s="11"/>
      <c r="D479" s="11"/>
      <c r="E479" s="11"/>
      <c r="F479" s="11"/>
      <c r="G479" s="11"/>
      <c r="H479" s="11"/>
      <c r="I479" s="11"/>
      <c r="J479" s="11"/>
      <c r="K479" s="11" t="s">
        <f>""</f>
      </c>
      <c r="L479" s="11" t="s">
        <f t="shared" si="1247"/>
      </c>
      <c r="M479" s="8" t="s">
        <f t="shared" si="1245"/>
      </c>
      <c r="N479" s="11"/>
      <c r="O479" s="10">
        <f ref="O479:P479" t="shared" si="397">A479</f>
        <v>0</v>
      </c>
      <c r="P479" s="11">
        <f t="shared" si="397"/>
        <v>0</v>
      </c>
      <c r="Q479" s="11" t="s">
        <f t="shared" si="1240"/>
      </c>
      <c r="R479" s="11">
        <f t="shared" si="1246"/>
        <v>0</v>
      </c>
      <c r="S479" s="11">
        <f ref="S479:U479" t="shared" si="396">E479</f>
        <v>0</v>
      </c>
      <c r="T479" s="11">
        <f t="shared" si="396"/>
        <v>0</v>
      </c>
      <c r="U479" s="11">
        <f t="shared" si="396"/>
        <v>0</v>
      </c>
      <c r="V479" s="11">
        <f t="shared" si="1241"/>
      </c>
      <c r="W479" s="11" t="s">
        <f t="shared" si="1239"/>
      </c>
      <c r="X479" s="11" t="s">
        <f t="shared" si="1244"/>
      </c>
    </row>
    <row r="480" ht="12.50" customHeight="true">
      <c r="A480" s="10"/>
      <c r="B480" s="11"/>
      <c r="C480" s="11"/>
      <c r="D480" s="11"/>
      <c r="E480" s="11"/>
      <c r="F480" s="11"/>
      <c r="G480" s="11"/>
      <c r="H480" s="11"/>
      <c r="I480" s="11"/>
      <c r="J480" s="11"/>
      <c r="K480" s="11" t="s">
        <f>""</f>
      </c>
      <c r="L480" s="11" t="s">
        <f t="shared" si="1247"/>
      </c>
      <c r="M480" s="8" t="s">
        <f t="shared" si="1245"/>
      </c>
      <c r="N480" s="11"/>
      <c r="O480" s="10">
        <f ref="O480:P480" t="shared" si="1753">A480</f>
        <v>0</v>
      </c>
      <c r="P480" s="11">
        <f t="shared" si="1753"/>
        <v>0</v>
      </c>
      <c r="Q480" s="11" t="s">
        <f t="shared" si="1240"/>
      </c>
      <c r="R480" s="11">
        <f t="shared" si="1246"/>
        <v>0</v>
      </c>
      <c r="S480" s="11">
        <f ref="S480:U480" t="shared" si="1752">E480</f>
        <v>0</v>
      </c>
      <c r="T480" s="11">
        <f t="shared" si="1752"/>
        <v>0</v>
      </c>
      <c r="U480" s="11">
        <f t="shared" si="1752"/>
        <v>0</v>
      </c>
      <c r="V480" s="11">
        <f t="shared" si="1241"/>
      </c>
      <c r="W480" s="11" t="s">
        <f t="shared" si="1239"/>
      </c>
      <c r="X480" s="11" t="s">
        <f t="shared" si="1244"/>
      </c>
    </row>
    <row r="481" ht="12.50" customHeight="true">
      <c r="A481" s="10"/>
      <c r="B481" s="11"/>
      <c r="C481" s="11"/>
      <c r="D481" s="11"/>
      <c r="E481" s="11"/>
      <c r="F481" s="11"/>
      <c r="G481" s="11"/>
      <c r="H481" s="11"/>
      <c r="I481" s="11"/>
      <c r="J481" s="11"/>
      <c r="K481" s="11" t="s">
        <f>""</f>
      </c>
      <c r="L481" s="11" t="s">
        <f t="shared" si="1247"/>
      </c>
      <c r="M481" s="8" t="s">
        <f t="shared" si="1245"/>
      </c>
      <c r="N481" s="11"/>
      <c r="O481" s="10">
        <f ref="O481:P481" t="shared" si="998">A481</f>
        <v>0</v>
      </c>
      <c r="P481" s="11">
        <f t="shared" si="998"/>
        <v>0</v>
      </c>
      <c r="Q481" s="11" t="s">
        <f t="shared" si="1240"/>
      </c>
      <c r="R481" s="11">
        <f t="shared" si="1246"/>
        <v>0</v>
      </c>
      <c r="S481" s="11">
        <f ref="S481:U481" t="shared" si="997">E481</f>
        <v>0</v>
      </c>
      <c r="T481" s="11">
        <f t="shared" si="997"/>
        <v>0</v>
      </c>
      <c r="U481" s="11">
        <f t="shared" si="997"/>
        <v>0</v>
      </c>
      <c r="V481" s="11">
        <f t="shared" si="1241"/>
      </c>
      <c r="W481" s="11" t="s">
        <f t="shared" si="1239"/>
      </c>
      <c r="X481" s="11" t="s">
        <f t="shared" si="1244"/>
      </c>
    </row>
    <row r="482" ht="12.50" customHeight="true">
      <c r="A482" s="10"/>
      <c r="B482" s="11"/>
      <c r="C482" s="11"/>
      <c r="D482" s="11"/>
      <c r="E482" s="11"/>
      <c r="F482" s="11"/>
      <c r="G482" s="11"/>
      <c r="H482" s="11"/>
      <c r="I482" s="11"/>
      <c r="J482" s="11"/>
      <c r="K482" s="11" t="s">
        <f>""</f>
      </c>
      <c r="L482" s="11" t="s">
        <f t="shared" si="1247"/>
      </c>
      <c r="M482" s="8" t="s">
        <f t="shared" si="1245"/>
      </c>
      <c r="N482" s="11"/>
      <c r="O482" s="10">
        <f ref="O482:P482" t="shared" si="1342">A482</f>
        <v>0</v>
      </c>
      <c r="P482" s="11">
        <f t="shared" si="1342"/>
        <v>0</v>
      </c>
      <c r="Q482" s="11" t="s">
        <f t="shared" si="1240"/>
      </c>
      <c r="R482" s="11">
        <f t="shared" si="1246"/>
        <v>0</v>
      </c>
      <c r="S482" s="11">
        <f ref="S482:U482" t="shared" si="1343">E482</f>
        <v>0</v>
      </c>
      <c r="T482" s="11">
        <f t="shared" si="1343"/>
        <v>0</v>
      </c>
      <c r="U482" s="11">
        <f t="shared" si="1343"/>
        <v>0</v>
      </c>
      <c r="V482" s="11">
        <f t="shared" si="1241"/>
      </c>
      <c r="W482" s="11" t="s">
        <f t="shared" si="1239"/>
      </c>
      <c r="X482" s="11" t="s">
        <f t="shared" si="1244"/>
      </c>
    </row>
    <row r="483" ht="12.50" customHeight="true">
      <c r="A483" s="10"/>
      <c r="B483" s="11"/>
      <c r="C483" s="11"/>
      <c r="D483" s="11"/>
      <c r="E483" s="11"/>
      <c r="F483" s="11"/>
      <c r="G483" s="11"/>
      <c r="H483" s="11"/>
      <c r="I483" s="11"/>
      <c r="J483" s="11"/>
      <c r="K483" s="11" t="s">
        <f>""</f>
      </c>
      <c r="L483" s="11" t="s">
        <f t="shared" si="1247"/>
      </c>
      <c r="M483" s="8" t="s">
        <f t="shared" si="1245"/>
      </c>
      <c r="N483" s="11"/>
      <c r="O483" s="10">
        <f ref="O483:P483" t="shared" si="1958">A483</f>
        <v>0</v>
      </c>
      <c r="P483" s="11">
        <f t="shared" si="1958"/>
        <v>0</v>
      </c>
      <c r="Q483" s="11" t="s">
        <f t="shared" si="1240"/>
      </c>
      <c r="R483" s="11">
        <f t="shared" si="1246"/>
        <v>0</v>
      </c>
      <c r="S483" s="11">
        <f ref="S483:U483" t="shared" si="1959">E483</f>
        <v>0</v>
      </c>
      <c r="T483" s="11">
        <f t="shared" si="1959"/>
        <v>0</v>
      </c>
      <c r="U483" s="11">
        <f t="shared" si="1959"/>
        <v>0</v>
      </c>
      <c r="V483" s="11">
        <f t="shared" si="1241"/>
      </c>
      <c r="W483" s="11" t="s">
        <f t="shared" si="1239"/>
      </c>
      <c r="X483" s="11" t="s">
        <f t="shared" si="1244"/>
      </c>
    </row>
    <row r="484" ht="12.50" customHeight="true">
      <c r="A484" s="10"/>
      <c r="B484" s="11"/>
      <c r="C484" s="11"/>
      <c r="D484" s="11"/>
      <c r="E484" s="11"/>
      <c r="F484" s="11"/>
      <c r="G484" s="11"/>
      <c r="H484" s="11"/>
      <c r="I484" s="11"/>
      <c r="J484" s="11"/>
      <c r="K484" s="11" t="s">
        <f>""</f>
      </c>
      <c r="L484" s="11" t="s">
        <f t="shared" si="1247"/>
      </c>
      <c r="M484" s="8" t="s">
        <f t="shared" si="1245"/>
      </c>
      <c r="N484" s="11"/>
      <c r="O484" s="10">
        <f ref="O484:P484" t="shared" si="5">A484</f>
        <v>0</v>
      </c>
      <c r="P484" s="11">
        <f t="shared" si="5"/>
        <v>0</v>
      </c>
      <c r="Q484" s="11" t="s">
        <f t="shared" si="1240"/>
      </c>
      <c r="R484" s="11">
        <f t="shared" si="1246"/>
        <v>0</v>
      </c>
      <c r="S484" s="11">
        <f ref="S484:U484" t="shared" si="4">E484</f>
        <v>0</v>
      </c>
      <c r="T484" s="11">
        <f t="shared" si="4"/>
        <v>0</v>
      </c>
      <c r="U484" s="11">
        <f t="shared" si="4"/>
        <v>0</v>
      </c>
      <c r="V484" s="11">
        <f t="shared" si="1241"/>
      </c>
      <c r="W484" s="11" t="s">
        <f t="shared" si="1239"/>
      </c>
      <c r="X484" s="11" t="s">
        <f t="shared" si="1244"/>
      </c>
    </row>
    <row r="485" ht="12.50" customHeight="true">
      <c r="A485" s="10"/>
      <c r="B485" s="11"/>
      <c r="C485" s="11"/>
      <c r="D485" s="11"/>
      <c r="E485" s="11"/>
      <c r="F485" s="11"/>
      <c r="G485" s="11"/>
      <c r="H485" s="11"/>
      <c r="I485" s="11"/>
      <c r="J485" s="11"/>
      <c r="K485" s="11" t="s">
        <f>""</f>
      </c>
      <c r="L485" s="11" t="s">
        <f t="shared" si="1247"/>
      </c>
      <c r="M485" s="8" t="s">
        <f t="shared" si="1245"/>
      </c>
      <c r="N485" s="11"/>
      <c r="O485" s="10">
        <f ref="O485:P485" t="shared" si="1503">A485</f>
        <v>0</v>
      </c>
      <c r="P485" s="11">
        <f t="shared" si="1503"/>
        <v>0</v>
      </c>
      <c r="Q485" s="11" t="s">
        <f t="shared" si="1240"/>
      </c>
      <c r="R485" s="11">
        <f t="shared" si="1246"/>
        <v>0</v>
      </c>
      <c r="S485" s="11">
        <f ref="S485:U485" t="shared" si="1502">E485</f>
        <v>0</v>
      </c>
      <c r="T485" s="11">
        <f t="shared" si="1502"/>
        <v>0</v>
      </c>
      <c r="U485" s="11">
        <f t="shared" si="1502"/>
        <v>0</v>
      </c>
      <c r="V485" s="11">
        <f t="shared" si="1241"/>
      </c>
      <c r="W485" s="11" t="s">
        <f t="shared" si="1239"/>
      </c>
      <c r="X485" s="11" t="s">
        <f t="shared" si="1244"/>
      </c>
    </row>
    <row r="486" ht="12.50" customHeight="true">
      <c r="A486" s="10"/>
      <c r="B486" s="11"/>
      <c r="C486" s="11"/>
      <c r="D486" s="11"/>
      <c r="E486" s="11"/>
      <c r="F486" s="11"/>
      <c r="G486" s="11"/>
      <c r="H486" s="11"/>
      <c r="I486" s="11"/>
      <c r="J486" s="11"/>
      <c r="K486" s="11" t="s">
        <f>""</f>
      </c>
      <c r="L486" s="11" t="s">
        <f t="shared" si="1247"/>
      </c>
      <c r="M486" s="8" t="s">
        <f t="shared" si="1245"/>
      </c>
      <c r="N486" s="11"/>
      <c r="O486" s="10">
        <f ref="O486:P486" t="shared" si="1334">A486</f>
        <v>0</v>
      </c>
      <c r="P486" s="11">
        <f t="shared" si="1334"/>
        <v>0</v>
      </c>
      <c r="Q486" s="11" t="s">
        <f t="shared" si="1240"/>
      </c>
      <c r="R486" s="11">
        <f t="shared" si="1246"/>
        <v>0</v>
      </c>
      <c r="S486" s="11">
        <f ref="S486:U486" t="shared" si="1335">E486</f>
        <v>0</v>
      </c>
      <c r="T486" s="11">
        <f t="shared" si="1335"/>
        <v>0</v>
      </c>
      <c r="U486" s="11">
        <f t="shared" si="1335"/>
        <v>0</v>
      </c>
      <c r="V486" s="11">
        <f t="shared" si="1241"/>
      </c>
      <c r="W486" s="11" t="s">
        <f t="shared" si="1239"/>
      </c>
      <c r="X486" s="11" t="s">
        <f t="shared" si="1244"/>
      </c>
    </row>
    <row r="487" ht="12.50" customHeight="true">
      <c r="A487" s="10"/>
      <c r="B487" s="11"/>
      <c r="C487" s="11"/>
      <c r="D487" s="11"/>
      <c r="E487" s="11"/>
      <c r="F487" s="11"/>
      <c r="G487" s="11"/>
      <c r="H487" s="11"/>
      <c r="I487" s="11"/>
      <c r="J487" s="11"/>
      <c r="K487" s="11" t="s">
        <f>""</f>
      </c>
      <c r="L487" s="11" t="s">
        <f t="shared" si="1247"/>
      </c>
      <c r="M487" s="8" t="s">
        <f t="shared" si="1245"/>
      </c>
      <c r="N487" s="11"/>
      <c r="O487" s="10">
        <f ref="O487:P487" t="shared" si="1517">A487</f>
        <v>0</v>
      </c>
      <c r="P487" s="11">
        <f t="shared" si="1517"/>
        <v>0</v>
      </c>
      <c r="Q487" s="11" t="s">
        <f t="shared" si="1240"/>
      </c>
      <c r="R487" s="11">
        <f t="shared" si="1246"/>
        <v>0</v>
      </c>
      <c r="S487" s="11">
        <f ref="S487:U487" t="shared" si="1516">E487</f>
        <v>0</v>
      </c>
      <c r="T487" s="11">
        <f t="shared" si="1516"/>
        <v>0</v>
      </c>
      <c r="U487" s="11">
        <f t="shared" si="1516"/>
        <v>0</v>
      </c>
      <c r="V487" s="11">
        <f t="shared" si="1241"/>
      </c>
      <c r="W487" s="11" t="s">
        <f t="shared" si="1239"/>
      </c>
      <c r="X487" s="11" t="s">
        <f t="shared" si="1244"/>
      </c>
    </row>
    <row r="488" ht="12.50" customHeight="true">
      <c r="A488" s="10"/>
      <c r="B488" s="11"/>
      <c r="C488" s="11"/>
      <c r="D488" s="11"/>
      <c r="E488" s="11"/>
      <c r="F488" s="11"/>
      <c r="G488" s="11"/>
      <c r="H488" s="11"/>
      <c r="I488" s="11"/>
      <c r="J488" s="11"/>
      <c r="K488" s="11" t="s">
        <f>""</f>
      </c>
      <c r="L488" s="11" t="s">
        <f t="shared" si="1247"/>
      </c>
      <c r="M488" s="8" t="s">
        <f t="shared" si="1245"/>
      </c>
      <c r="N488" s="11"/>
      <c r="O488" s="10">
        <f ref="O488:P488" t="shared" si="1212">A488</f>
        <v>0</v>
      </c>
      <c r="P488" s="11">
        <f t="shared" si="1212"/>
        <v>0</v>
      </c>
      <c r="Q488" s="11" t="s">
        <f t="shared" si="1240"/>
      </c>
      <c r="R488" s="11">
        <f t="shared" si="1246"/>
        <v>0</v>
      </c>
      <c r="S488" s="11">
        <f ref="S488:U488" t="shared" si="1211">E488</f>
        <v>0</v>
      </c>
      <c r="T488" s="11">
        <f t="shared" si="1211"/>
        <v>0</v>
      </c>
      <c r="U488" s="11">
        <f t="shared" si="1211"/>
        <v>0</v>
      </c>
      <c r="V488" s="11">
        <f t="shared" si="1241"/>
      </c>
      <c r="W488" s="11" t="s">
        <f t="shared" si="1239"/>
      </c>
      <c r="X488" s="11" t="s">
        <f t="shared" si="1244"/>
      </c>
    </row>
    <row r="489" ht="12.50" customHeight="true">
      <c r="A489" s="10"/>
      <c r="B489" s="11"/>
      <c r="C489" s="11"/>
      <c r="D489" s="11"/>
      <c r="E489" s="11"/>
      <c r="F489" s="11"/>
      <c r="G489" s="11"/>
      <c r="H489" s="11"/>
      <c r="I489" s="11"/>
      <c r="J489" s="11"/>
      <c r="K489" s="11" t="s">
        <f>""</f>
      </c>
      <c r="L489" s="11" t="s">
        <f t="shared" si="1247"/>
      </c>
      <c r="M489" s="8" t="s">
        <f t="shared" si="1245"/>
      </c>
      <c r="N489" s="11"/>
      <c r="O489" s="10">
        <f ref="O489:P489" t="shared" si="1069">A489</f>
        <v>0</v>
      </c>
      <c r="P489" s="11">
        <f t="shared" si="1069"/>
        <v>0</v>
      </c>
      <c r="Q489" s="11" t="s">
        <f t="shared" si="1240"/>
      </c>
      <c r="R489" s="11">
        <f t="shared" si="1246"/>
        <v>0</v>
      </c>
      <c r="S489" s="11">
        <f ref="S489:U489" t="shared" si="1070">E489</f>
        <v>0</v>
      </c>
      <c r="T489" s="11">
        <f t="shared" si="1070"/>
        <v>0</v>
      </c>
      <c r="U489" s="11">
        <f t="shared" si="1070"/>
        <v>0</v>
      </c>
      <c r="V489" s="11">
        <f t="shared" si="1241"/>
      </c>
      <c r="W489" s="11" t="s">
        <f t="shared" si="1239"/>
      </c>
      <c r="X489" s="11" t="s">
        <f t="shared" si="1244"/>
      </c>
    </row>
    <row r="490" ht="12.50" customHeight="true">
      <c r="A490" s="10"/>
      <c r="B490" s="11"/>
      <c r="C490" s="11"/>
      <c r="D490" s="11"/>
      <c r="E490" s="11"/>
      <c r="F490" s="11"/>
      <c r="G490" s="11"/>
      <c r="H490" s="11"/>
      <c r="I490" s="11"/>
      <c r="J490" s="11"/>
      <c r="K490" s="11" t="s">
        <f>""</f>
      </c>
      <c r="L490" s="11" t="s">
        <f t="shared" si="1247"/>
      </c>
      <c r="M490" s="8" t="s">
        <f t="shared" si="1245"/>
      </c>
      <c r="N490" s="11"/>
      <c r="O490" s="10">
        <f ref="O490:P490" t="shared" si="1689">A490</f>
        <v>0</v>
      </c>
      <c r="P490" s="11">
        <f t="shared" si="1689"/>
        <v>0</v>
      </c>
      <c r="Q490" s="11" t="s">
        <f t="shared" si="1240"/>
      </c>
      <c r="R490" s="11">
        <f t="shared" si="1246"/>
        <v>0</v>
      </c>
      <c r="S490" s="11">
        <f ref="S490:U490" t="shared" si="1688">E490</f>
        <v>0</v>
      </c>
      <c r="T490" s="11">
        <f t="shared" si="1688"/>
        <v>0</v>
      </c>
      <c r="U490" s="11">
        <f t="shared" si="1688"/>
        <v>0</v>
      </c>
      <c r="V490" s="11">
        <f t="shared" si="1241"/>
      </c>
      <c r="W490" s="11" t="s">
        <f t="shared" si="1239"/>
      </c>
      <c r="X490" s="11" t="s">
        <f t="shared" si="1244"/>
      </c>
    </row>
    <row r="491" ht="12.50" customHeight="true">
      <c r="A491" s="10"/>
      <c r="B491" s="11"/>
      <c r="C491" s="11"/>
      <c r="D491" s="11"/>
      <c r="E491" s="11"/>
      <c r="F491" s="11"/>
      <c r="G491" s="11"/>
      <c r="H491" s="11"/>
      <c r="I491" s="11"/>
      <c r="J491" s="11"/>
      <c r="K491" s="11" t="s">
        <f>""</f>
      </c>
      <c r="L491" s="11" t="s">
        <f t="shared" si="1247"/>
      </c>
      <c r="M491" s="8" t="s">
        <f t="shared" si="1245"/>
      </c>
      <c r="N491" s="11"/>
      <c r="O491" s="10">
        <f ref="O491:P491" t="shared" si="964">A491</f>
        <v>0</v>
      </c>
      <c r="P491" s="11">
        <f t="shared" si="964"/>
        <v>0</v>
      </c>
      <c r="Q491" s="11" t="s">
        <f t="shared" si="1240"/>
      </c>
      <c r="R491" s="11">
        <f t="shared" si="1246"/>
        <v>0</v>
      </c>
      <c r="S491" s="11">
        <f ref="S491:U491" t="shared" si="963">E491</f>
        <v>0</v>
      </c>
      <c r="T491" s="11">
        <f t="shared" si="963"/>
        <v>0</v>
      </c>
      <c r="U491" s="11">
        <f t="shared" si="963"/>
        <v>0</v>
      </c>
      <c r="V491" s="11">
        <f t="shared" si="1241"/>
      </c>
      <c r="W491" s="11" t="s">
        <f t="shared" si="1239"/>
      </c>
      <c r="X491" s="11" t="s">
        <f t="shared" si="1244"/>
      </c>
    </row>
    <row r="492" ht="12.50" customHeight="true">
      <c r="A492" s="10"/>
      <c r="B492" s="11"/>
      <c r="C492" s="11"/>
      <c r="D492" s="11"/>
      <c r="E492" s="11"/>
      <c r="F492" s="11"/>
      <c r="G492" s="11"/>
      <c r="H492" s="11"/>
      <c r="I492" s="11"/>
      <c r="J492" s="11"/>
      <c r="K492" s="11" t="s">
        <f>""</f>
      </c>
      <c r="L492" s="11" t="s">
        <f t="shared" si="1247"/>
      </c>
      <c r="M492" s="8" t="s">
        <f t="shared" si="1245"/>
      </c>
      <c r="N492" s="11"/>
      <c r="O492" s="10">
        <f ref="O492:P492" t="shared" si="1161">A492</f>
        <v>0</v>
      </c>
      <c r="P492" s="11">
        <f t="shared" si="1161"/>
        <v>0</v>
      </c>
      <c r="Q492" s="11" t="s">
        <f t="shared" si="1240"/>
      </c>
      <c r="R492" s="11">
        <f t="shared" si="1246"/>
        <v>0</v>
      </c>
      <c r="S492" s="11">
        <f ref="S492:U492" t="shared" si="1162">E492</f>
        <v>0</v>
      </c>
      <c r="T492" s="11">
        <f t="shared" si="1162"/>
        <v>0</v>
      </c>
      <c r="U492" s="11">
        <f t="shared" si="1162"/>
        <v>0</v>
      </c>
      <c r="V492" s="11">
        <f t="shared" si="1241"/>
      </c>
      <c r="W492" s="11" t="s">
        <f t="shared" si="1239"/>
      </c>
      <c r="X492" s="11" t="s">
        <f t="shared" si="1244"/>
      </c>
    </row>
    <row r="493" ht="12.50" customHeight="true">
      <c r="A493" s="10"/>
      <c r="B493" s="11"/>
      <c r="C493" s="11"/>
      <c r="D493" s="11"/>
      <c r="E493" s="11"/>
      <c r="F493" s="11"/>
      <c r="G493" s="11"/>
      <c r="H493" s="11"/>
      <c r="I493" s="11"/>
      <c r="J493" s="11"/>
      <c r="K493" s="11" t="s">
        <f>""</f>
      </c>
      <c r="L493" s="11" t="s">
        <f t="shared" si="1247"/>
      </c>
      <c r="M493" s="8" t="s">
        <f t="shared" si="1245"/>
      </c>
      <c r="N493" s="11"/>
      <c r="O493" s="10">
        <f ref="O493:P493" t="shared" si="186">A493</f>
        <v>0</v>
      </c>
      <c r="P493" s="11">
        <f t="shared" si="186"/>
        <v>0</v>
      </c>
      <c r="Q493" s="11" t="s">
        <f t="shared" si="1240"/>
      </c>
      <c r="R493" s="11">
        <f t="shared" si="1246"/>
        <v>0</v>
      </c>
      <c r="S493" s="11">
        <f ref="S493:U493" t="shared" si="185">E493</f>
        <v>0</v>
      </c>
      <c r="T493" s="11">
        <f t="shared" si="185"/>
        <v>0</v>
      </c>
      <c r="U493" s="11">
        <f t="shared" si="185"/>
        <v>0</v>
      </c>
      <c r="V493" s="11">
        <f t="shared" si="1241"/>
      </c>
      <c r="W493" s="11" t="s">
        <f t="shared" si="1239"/>
      </c>
      <c r="X493" s="11" t="s">
        <f t="shared" si="1244"/>
      </c>
    </row>
    <row r="494" ht="12.50" customHeight="true">
      <c r="A494" s="10"/>
      <c r="B494" s="11"/>
      <c r="C494" s="11"/>
      <c r="D494" s="11"/>
      <c r="E494" s="11"/>
      <c r="F494" s="11"/>
      <c r="G494" s="11"/>
      <c r="H494" s="11"/>
      <c r="I494" s="11"/>
      <c r="J494" s="11"/>
      <c r="K494" s="11" t="s">
        <f>""</f>
      </c>
      <c r="L494" s="11" t="s">
        <f t="shared" si="1247"/>
      </c>
      <c r="M494" s="8" t="s">
        <f t="shared" si="1245"/>
      </c>
      <c r="N494" s="11"/>
      <c r="O494" s="10">
        <f ref="O494:P494" t="shared" si="1800">A494</f>
        <v>0</v>
      </c>
      <c r="P494" s="11">
        <f t="shared" si="1800"/>
        <v>0</v>
      </c>
      <c r="Q494" s="11" t="s">
        <f t="shared" si="1240"/>
      </c>
      <c r="R494" s="11">
        <f t="shared" si="1246"/>
        <v>0</v>
      </c>
      <c r="S494" s="11">
        <f ref="S494:U494" t="shared" si="1801">E494</f>
        <v>0</v>
      </c>
      <c r="T494" s="11">
        <f t="shared" si="1801"/>
        <v>0</v>
      </c>
      <c r="U494" s="11">
        <f t="shared" si="1801"/>
        <v>0</v>
      </c>
      <c r="V494" s="11">
        <f t="shared" si="1241"/>
      </c>
      <c r="W494" s="11" t="s">
        <f t="shared" si="1239"/>
      </c>
      <c r="X494" s="11" t="s">
        <f t="shared" si="1244"/>
      </c>
    </row>
    <row r="495" ht="12.50" customHeight="true">
      <c r="A495" s="10"/>
      <c r="B495" s="11"/>
      <c r="C495" s="11"/>
      <c r="D495" s="11"/>
      <c r="E495" s="11"/>
      <c r="F495" s="11"/>
      <c r="G495" s="11"/>
      <c r="H495" s="11"/>
      <c r="I495" s="11"/>
      <c r="J495" s="11"/>
      <c r="K495" s="11" t="s">
        <f>""</f>
      </c>
      <c r="L495" s="11" t="s">
        <f t="shared" si="1247"/>
      </c>
      <c r="M495" s="8" t="s">
        <f t="shared" si="1245"/>
      </c>
      <c r="N495" s="11"/>
      <c r="O495" s="10">
        <f ref="O495:P495" t="shared" si="319">A495</f>
        <v>0</v>
      </c>
      <c r="P495" s="11">
        <f t="shared" si="319"/>
        <v>0</v>
      </c>
      <c r="Q495" s="11" t="s">
        <f t="shared" si="1240"/>
      </c>
      <c r="R495" s="11">
        <f t="shared" si="1246"/>
        <v>0</v>
      </c>
      <c r="S495" s="11">
        <f ref="S495:U495" t="shared" si="318">E495</f>
        <v>0</v>
      </c>
      <c r="T495" s="11">
        <f t="shared" si="318"/>
        <v>0</v>
      </c>
      <c r="U495" s="11">
        <f t="shared" si="318"/>
        <v>0</v>
      </c>
      <c r="V495" s="11">
        <f t="shared" si="1241"/>
      </c>
      <c r="W495" s="11" t="s">
        <f t="shared" si="1239"/>
      </c>
      <c r="X495" s="11" t="s">
        <f t="shared" si="1244"/>
      </c>
    </row>
    <row r="496" ht="12.50" customHeight="true">
      <c r="A496" s="10"/>
      <c r="B496" s="11"/>
      <c r="C496" s="11"/>
      <c r="D496" s="11"/>
      <c r="E496" s="11"/>
      <c r="F496" s="11"/>
      <c r="G496" s="11"/>
      <c r="H496" s="11"/>
      <c r="I496" s="11"/>
      <c r="J496" s="11"/>
      <c r="K496" s="11" t="s">
        <f>""</f>
      </c>
      <c r="L496" s="11" t="s">
        <f t="shared" si="1247"/>
      </c>
      <c r="M496" s="8" t="s">
        <f t="shared" si="1245"/>
      </c>
      <c r="N496" s="11"/>
      <c r="O496" s="10">
        <f ref="O496:P496" t="shared" si="1532">A496</f>
        <v>0</v>
      </c>
      <c r="P496" s="11">
        <f t="shared" si="1532"/>
        <v>0</v>
      </c>
      <c r="Q496" s="11" t="s">
        <f t="shared" si="1240"/>
      </c>
      <c r="R496" s="11">
        <f t="shared" si="1246"/>
        <v>0</v>
      </c>
      <c r="S496" s="11">
        <f ref="S496:U496" t="shared" si="1533">E496</f>
        <v>0</v>
      </c>
      <c r="T496" s="11">
        <f t="shared" si="1533"/>
        <v>0</v>
      </c>
      <c r="U496" s="11">
        <f t="shared" si="1533"/>
        <v>0</v>
      </c>
      <c r="V496" s="11">
        <f t="shared" si="1241"/>
      </c>
      <c r="W496" s="11" t="s">
        <f t="shared" si="1239"/>
      </c>
      <c r="X496" s="11" t="s">
        <f t="shared" si="1244"/>
      </c>
    </row>
    <row r="497" ht="12.50" customHeight="true">
      <c r="A497" s="10"/>
      <c r="B497" s="11"/>
      <c r="C497" s="11"/>
      <c r="D497" s="11"/>
      <c r="E497" s="11"/>
      <c r="F497" s="11"/>
      <c r="G497" s="11"/>
      <c r="H497" s="11"/>
      <c r="I497" s="11"/>
      <c r="J497" s="11"/>
      <c r="K497" s="11" t="s">
        <f>""</f>
      </c>
      <c r="L497" s="11" t="s">
        <f t="shared" si="1247"/>
      </c>
      <c r="M497" s="8" t="s">
        <f t="shared" si="1245"/>
      </c>
      <c r="N497" s="11"/>
      <c r="O497" s="10">
        <f ref="O497:P497" t="shared" si="735">A497</f>
        <v>0</v>
      </c>
      <c r="P497" s="11">
        <f t="shared" si="735"/>
        <v>0</v>
      </c>
      <c r="Q497" s="11" t="s">
        <f t="shared" si="1240"/>
      </c>
      <c r="R497" s="11">
        <f t="shared" si="1246"/>
        <v>0</v>
      </c>
      <c r="S497" s="11">
        <f ref="S497:U497" t="shared" si="734">E497</f>
        <v>0</v>
      </c>
      <c r="T497" s="11">
        <f t="shared" si="734"/>
        <v>0</v>
      </c>
      <c r="U497" s="11">
        <f t="shared" si="734"/>
        <v>0</v>
      </c>
      <c r="V497" s="11">
        <f t="shared" si="1241"/>
      </c>
      <c r="W497" s="11" t="s">
        <f t="shared" si="1239"/>
      </c>
      <c r="X497" s="11" t="s">
        <f t="shared" si="1244"/>
      </c>
    </row>
    <row r="498" ht="12.50" customHeight="true">
      <c r="A498" s="10"/>
      <c r="B498" s="11"/>
      <c r="C498" s="11"/>
      <c r="D498" s="11"/>
      <c r="E498" s="11"/>
      <c r="F498" s="11"/>
      <c r="G498" s="11"/>
      <c r="H498" s="11"/>
      <c r="I498" s="11"/>
      <c r="J498" s="11"/>
      <c r="K498" s="11" t="s">
        <f>""</f>
      </c>
      <c r="L498" s="11" t="s">
        <f t="shared" si="1247"/>
      </c>
      <c r="M498" s="8" t="s">
        <f t="shared" si="1245"/>
      </c>
      <c r="N498" s="11"/>
      <c r="O498" s="10">
        <f ref="O498:P498" t="shared" si="548">A498</f>
        <v>0</v>
      </c>
      <c r="P498" s="11">
        <f t="shared" si="548"/>
        <v>0</v>
      </c>
      <c r="Q498" s="11" t="s">
        <f t="shared" si="1240"/>
      </c>
      <c r="R498" s="11">
        <f t="shared" si="1246"/>
        <v>0</v>
      </c>
      <c r="S498" s="11">
        <f ref="S498:U498" t="shared" si="549">E498</f>
        <v>0</v>
      </c>
      <c r="T498" s="11">
        <f t="shared" si="549"/>
        <v>0</v>
      </c>
      <c r="U498" s="11">
        <f t="shared" si="549"/>
        <v>0</v>
      </c>
      <c r="V498" s="11">
        <f t="shared" si="1241"/>
      </c>
      <c r="W498" s="11" t="s">
        <f t="shared" si="1239"/>
      </c>
      <c r="X498" s="11" t="s">
        <f t="shared" si="1244"/>
      </c>
    </row>
    <row r="499" ht="12.50" customHeight="true">
      <c r="A499" s="10"/>
      <c r="B499" s="11"/>
      <c r="C499" s="11"/>
      <c r="D499" s="11"/>
      <c r="E499" s="11"/>
      <c r="F499" s="11"/>
      <c r="G499" s="11"/>
      <c r="H499" s="11"/>
      <c r="I499" s="11"/>
      <c r="J499" s="11"/>
      <c r="K499" s="11" t="s">
        <f>""</f>
      </c>
      <c r="L499" s="11" t="s">
        <f t="shared" si="1247"/>
      </c>
      <c r="M499" s="8" t="s">
        <f t="shared" si="1245"/>
      </c>
      <c r="N499" s="11"/>
      <c r="O499" s="10">
        <f ref="O499:P499" t="shared" si="1702">A499</f>
        <v>0</v>
      </c>
      <c r="P499" s="11">
        <f t="shared" si="1702"/>
        <v>0</v>
      </c>
      <c r="Q499" s="11" t="s">
        <f t="shared" si="1240"/>
      </c>
      <c r="R499" s="11">
        <f t="shared" si="1246"/>
        <v>0</v>
      </c>
      <c r="S499" s="11">
        <f ref="S499:U499" t="shared" si="1703">E499</f>
        <v>0</v>
      </c>
      <c r="T499" s="11">
        <f t="shared" si="1703"/>
        <v>0</v>
      </c>
      <c r="U499" s="11">
        <f t="shared" si="1703"/>
        <v>0</v>
      </c>
      <c r="V499" s="11">
        <f t="shared" si="1241"/>
      </c>
      <c r="W499" s="11" t="s">
        <f t="shared" si="1239"/>
      </c>
      <c r="X499" s="11" t="s">
        <f t="shared" si="1244"/>
      </c>
    </row>
    <row r="500" ht="12.50" customHeight="true">
      <c r="A500" s="10"/>
      <c r="B500" s="11"/>
      <c r="C500" s="11"/>
      <c r="D500" s="11"/>
      <c r="E500" s="11"/>
      <c r="F500" s="11"/>
      <c r="G500" s="11"/>
      <c r="H500" s="11"/>
      <c r="I500" s="11"/>
      <c r="J500" s="11"/>
      <c r="K500" s="11" t="s">
        <f>""</f>
      </c>
      <c r="L500" s="11" t="s">
        <f t="shared" si="1247"/>
      </c>
      <c r="M500" s="8" t="s">
        <f t="shared" si="1245"/>
      </c>
      <c r="N500" s="11"/>
      <c r="O500" s="10">
        <f ref="O500:P500" t="shared" si="58">A500</f>
        <v>0</v>
      </c>
      <c r="P500" s="11">
        <f t="shared" si="58"/>
        <v>0</v>
      </c>
      <c r="Q500" s="11" t="s">
        <f t="shared" si="1240"/>
      </c>
      <c r="R500" s="11">
        <f t="shared" si="1246"/>
        <v>0</v>
      </c>
      <c r="S500" s="11">
        <f ref="S500:U500" t="shared" si="59">E500</f>
        <v>0</v>
      </c>
      <c r="T500" s="11">
        <f t="shared" si="59"/>
        <v>0</v>
      </c>
      <c r="U500" s="11">
        <f t="shared" si="59"/>
        <v>0</v>
      </c>
      <c r="V500" s="11">
        <f t="shared" si="1241"/>
      </c>
      <c r="W500" s="11" t="s">
        <f t="shared" si="1239"/>
      </c>
      <c r="X500" s="11" t="s">
        <f t="shared" si="1244"/>
      </c>
    </row>
    <row r="501" ht="12.50" customHeight="true">
      <c r="A501" s="10"/>
      <c r="B501" s="11"/>
      <c r="C501" s="11"/>
      <c r="D501" s="11"/>
      <c r="E501" s="11"/>
      <c r="F501" s="11"/>
      <c r="G501" s="11"/>
      <c r="H501" s="11"/>
      <c r="I501" s="11"/>
      <c r="J501" s="11"/>
      <c r="K501" s="11" t="s">
        <f>""</f>
      </c>
      <c r="L501" s="11" t="s">
        <f t="shared" si="1247"/>
      </c>
      <c r="M501" s="8" t="s">
        <f t="shared" si="1245"/>
      </c>
      <c r="N501" s="11"/>
      <c r="O501" s="10">
        <f ref="O501:P501" t="shared" si="33">A501</f>
        <v>0</v>
      </c>
      <c r="P501" s="11">
        <f t="shared" si="33"/>
        <v>0</v>
      </c>
      <c r="Q501" s="11" t="s">
        <f t="shared" si="1240"/>
      </c>
      <c r="R501" s="11">
        <f t="shared" si="1246"/>
        <v>0</v>
      </c>
      <c r="S501" s="11">
        <f ref="S501:U501" t="shared" si="32">E501</f>
        <v>0</v>
      </c>
      <c r="T501" s="11">
        <f t="shared" si="32"/>
        <v>0</v>
      </c>
      <c r="U501" s="11">
        <f t="shared" si="32"/>
        <v>0</v>
      </c>
      <c r="V501" s="11">
        <f t="shared" si="1241"/>
      </c>
      <c r="W501" s="11" t="s">
        <f t="shared" si="1239"/>
      </c>
      <c r="X501" s="11" t="s">
        <f t="shared" si="1244"/>
      </c>
    </row>
    <row r="502" ht="12.50" customHeight="true">
      <c r="A502" s="10"/>
      <c r="B502" s="11"/>
      <c r="C502" s="11"/>
      <c r="D502" s="11"/>
      <c r="E502" s="11"/>
      <c r="F502" s="11"/>
      <c r="G502" s="11"/>
      <c r="H502" s="11"/>
      <c r="I502" s="11"/>
      <c r="J502" s="11"/>
      <c r="K502" s="11" t="s">
        <f>""</f>
      </c>
      <c r="L502" s="11" t="s">
        <f t="shared" si="1247"/>
      </c>
      <c r="M502" s="8" t="s">
        <f t="shared" si="1245"/>
      </c>
      <c r="N502" s="11"/>
      <c r="O502" s="10">
        <f ref="O502:P502" t="shared" si="1096">A502</f>
        <v>0</v>
      </c>
      <c r="P502" s="11">
        <f t="shared" si="1096"/>
        <v>0</v>
      </c>
      <c r="Q502" s="11" t="s">
        <f t="shared" si="1240"/>
      </c>
      <c r="R502" s="11">
        <f t="shared" si="1246"/>
        <v>0</v>
      </c>
      <c r="S502" s="11">
        <f ref="S502:U502" t="shared" si="1095">E502</f>
        <v>0</v>
      </c>
      <c r="T502" s="11">
        <f t="shared" si="1095"/>
        <v>0</v>
      </c>
      <c r="U502" s="11">
        <f t="shared" si="1095"/>
        <v>0</v>
      </c>
      <c r="V502" s="11">
        <f t="shared" si="1241"/>
      </c>
      <c r="W502" s="11" t="s">
        <f t="shared" si="1239"/>
      </c>
      <c r="X502" s="11" t="s">
        <f t="shared" si="1244"/>
      </c>
    </row>
    <row r="503" ht="12.50" customHeight="true">
      <c r="A503" s="10"/>
      <c r="B503" s="11"/>
      <c r="C503" s="11"/>
      <c r="D503" s="11"/>
      <c r="E503" s="11"/>
      <c r="F503" s="11"/>
      <c r="G503" s="11"/>
      <c r="H503" s="11"/>
      <c r="I503" s="11"/>
      <c r="J503" s="11"/>
      <c r="K503" s="11" t="s">
        <f>""</f>
      </c>
      <c r="L503" s="11" t="s">
        <f t="shared" si="1247"/>
      </c>
      <c r="M503" s="8" t="s">
        <f t="shared" si="1245"/>
      </c>
      <c r="N503" s="11"/>
      <c r="O503" s="10">
        <f ref="O503:P503" t="shared" si="1421">A503</f>
        <v>0</v>
      </c>
      <c r="P503" s="11">
        <f t="shared" si="1421"/>
        <v>0</v>
      </c>
      <c r="Q503" s="11" t="s">
        <f t="shared" si="1240"/>
      </c>
      <c r="R503" s="11">
        <f t="shared" si="1246"/>
        <v>0</v>
      </c>
      <c r="S503" s="11">
        <f ref="S503:U503" t="shared" si="1420">E503</f>
        <v>0</v>
      </c>
      <c r="T503" s="11">
        <f t="shared" si="1420"/>
        <v>0</v>
      </c>
      <c r="U503" s="11">
        <f t="shared" si="1420"/>
        <v>0</v>
      </c>
      <c r="V503" s="11">
        <f t="shared" si="1241"/>
      </c>
      <c r="W503" s="11" t="s">
        <f t="shared" si="1239"/>
      </c>
      <c r="X503" s="11" t="s">
        <f t="shared" si="1244"/>
      </c>
    </row>
    <row r="504" ht="12.50" customHeight="true">
      <c r="A504" s="10"/>
      <c r="B504" s="11"/>
      <c r="C504" s="11"/>
      <c r="D504" s="11"/>
      <c r="E504" s="11"/>
      <c r="F504" s="11"/>
      <c r="G504" s="11"/>
      <c r="H504" s="11"/>
      <c r="I504" s="11"/>
      <c r="J504" s="11"/>
      <c r="K504" s="11" t="s">
        <f>""</f>
      </c>
      <c r="L504" s="11" t="s">
        <f t="shared" si="1247"/>
      </c>
      <c r="M504" s="8" t="s">
        <f t="shared" si="1245"/>
      </c>
      <c r="N504" s="11"/>
      <c r="O504" s="10">
        <f ref="O504:P504" t="shared" si="779">A504</f>
        <v>0</v>
      </c>
      <c r="P504" s="11">
        <f t="shared" si="779"/>
        <v>0</v>
      </c>
      <c r="Q504" s="11" t="s">
        <f t="shared" si="1240"/>
      </c>
      <c r="R504" s="11">
        <f t="shared" si="1246"/>
        <v>0</v>
      </c>
      <c r="S504" s="11">
        <f ref="S504:U504" t="shared" si="778">E504</f>
        <v>0</v>
      </c>
      <c r="T504" s="11">
        <f t="shared" si="778"/>
        <v>0</v>
      </c>
      <c r="U504" s="11">
        <f t="shared" si="778"/>
        <v>0</v>
      </c>
      <c r="V504" s="11">
        <f t="shared" si="1241"/>
      </c>
      <c r="W504" s="11" t="s">
        <f t="shared" si="1239"/>
      </c>
      <c r="X504" s="11" t="s">
        <f t="shared" si="1244"/>
      </c>
    </row>
    <row r="505" ht="12.50" customHeight="true">
      <c r="A505" s="10"/>
      <c r="B505" s="11"/>
      <c r="C505" s="11"/>
      <c r="D505" s="11"/>
      <c r="E505" s="11"/>
      <c r="F505" s="11"/>
      <c r="G505" s="11"/>
      <c r="H505" s="11"/>
      <c r="I505" s="11"/>
      <c r="J505" s="11"/>
      <c r="K505" s="11" t="s">
        <f>""</f>
      </c>
      <c r="L505" s="11" t="s">
        <f t="shared" si="1247"/>
      </c>
      <c r="M505" s="8" t="s">
        <f t="shared" si="1245"/>
      </c>
      <c r="N505" s="11"/>
      <c r="O505" s="10">
        <f ref="O505:P505" t="shared" si="2005">A505</f>
        <v>0</v>
      </c>
      <c r="P505" s="11">
        <f t="shared" si="2005"/>
        <v>0</v>
      </c>
      <c r="Q505" s="11" t="s">
        <f t="shared" si="1240"/>
      </c>
      <c r="R505" s="11">
        <f t="shared" si="1246"/>
        <v>0</v>
      </c>
      <c r="S505" s="11">
        <f ref="S505:U505" t="shared" si="2004">E505</f>
        <v>0</v>
      </c>
      <c r="T505" s="11">
        <f t="shared" si="2004"/>
        <v>0</v>
      </c>
      <c r="U505" s="11">
        <f t="shared" si="2004"/>
        <v>0</v>
      </c>
      <c r="V505" s="11">
        <f t="shared" si="1241"/>
      </c>
      <c r="W505" s="11" t="s">
        <f t="shared" si="1239"/>
      </c>
      <c r="X505" s="11" t="s">
        <f t="shared" si="1244"/>
      </c>
    </row>
    <row r="506" ht="12.50" customHeight="true">
      <c r="A506" s="10"/>
      <c r="B506" s="11"/>
      <c r="C506" s="11"/>
      <c r="D506" s="11"/>
      <c r="E506" s="11"/>
      <c r="F506" s="11"/>
      <c r="G506" s="11"/>
      <c r="H506" s="11"/>
      <c r="I506" s="11"/>
      <c r="J506" s="11"/>
      <c r="K506" s="11" t="s">
        <f>""</f>
      </c>
      <c r="L506" s="11" t="s">
        <f t="shared" si="1247"/>
      </c>
      <c r="M506" s="8" t="s">
        <f t="shared" si="1245"/>
      </c>
      <c r="N506" s="11"/>
      <c r="O506" s="10">
        <f ref="O506:P506" t="shared" si="346">A506</f>
        <v>0</v>
      </c>
      <c r="P506" s="11">
        <f t="shared" si="346"/>
        <v>0</v>
      </c>
      <c r="Q506" s="11" t="s">
        <f t="shared" si="1240"/>
      </c>
      <c r="R506" s="11">
        <f t="shared" si="1246"/>
        <v>0</v>
      </c>
      <c r="S506" s="11">
        <f ref="S506:U506" t="shared" si="347">E506</f>
        <v>0</v>
      </c>
      <c r="T506" s="11">
        <f t="shared" si="347"/>
        <v>0</v>
      </c>
      <c r="U506" s="11">
        <f t="shared" si="347"/>
        <v>0</v>
      </c>
      <c r="V506" s="11">
        <f t="shared" si="1241"/>
      </c>
      <c r="W506" s="11" t="s">
        <f t="shared" si="1239"/>
      </c>
      <c r="X506" s="11" t="s">
        <f t="shared" si="1244"/>
      </c>
    </row>
    <row r="507" ht="12.50" customHeight="true">
      <c r="A507" s="10"/>
      <c r="B507" s="11"/>
      <c r="C507" s="11"/>
      <c r="D507" s="11"/>
      <c r="E507" s="11"/>
      <c r="F507" s="11"/>
      <c r="G507" s="11"/>
      <c r="H507" s="11"/>
      <c r="I507" s="11"/>
      <c r="J507" s="11"/>
      <c r="K507" s="11" t="s">
        <f>""</f>
      </c>
      <c r="L507" s="11" t="s">
        <f t="shared" si="1247"/>
      </c>
      <c r="M507" s="8" t="s">
        <f t="shared" si="1245"/>
      </c>
      <c r="N507" s="11"/>
      <c r="O507" s="10">
        <f ref="O507:P507" t="shared" si="1231">A507</f>
        <v>0</v>
      </c>
      <c r="P507" s="11">
        <f t="shared" si="1231"/>
        <v>0</v>
      </c>
      <c r="Q507" s="11" t="s">
        <f t="shared" si="1240"/>
      </c>
      <c r="R507" s="11">
        <f t="shared" si="1246"/>
        <v>0</v>
      </c>
      <c r="S507" s="11">
        <f ref="S507:U507" t="shared" si="1232">E507</f>
        <v>0</v>
      </c>
      <c r="T507" s="11">
        <f t="shared" si="1232"/>
        <v>0</v>
      </c>
      <c r="U507" s="11">
        <f t="shared" si="1232"/>
        <v>0</v>
      </c>
      <c r="V507" s="11">
        <f t="shared" si="1241"/>
      </c>
      <c r="W507" s="11" t="s">
        <f t="shared" si="1239"/>
      </c>
      <c r="X507" s="11" t="s">
        <f t="shared" si="1244"/>
      </c>
    </row>
    <row r="508" ht="12.50" customHeight="true">
      <c r="A508" s="10"/>
      <c r="B508" s="11"/>
      <c r="C508" s="11"/>
      <c r="D508" s="11"/>
      <c r="E508" s="11"/>
      <c r="F508" s="11"/>
      <c r="G508" s="11"/>
      <c r="H508" s="11"/>
      <c r="I508" s="11"/>
      <c r="J508" s="11"/>
      <c r="K508" s="11" t="s">
        <f>""</f>
      </c>
      <c r="L508" s="11" t="s">
        <f t="shared" si="1247"/>
      </c>
      <c r="M508" s="8" t="s">
        <f t="shared" si="1245"/>
      </c>
      <c r="N508" s="11"/>
      <c r="O508" s="10">
        <f ref="O508:P508" t="shared" si="1975">A508</f>
        <v>0</v>
      </c>
      <c r="P508" s="11">
        <f t="shared" si="1975"/>
        <v>0</v>
      </c>
      <c r="Q508" s="11" t="s">
        <f t="shared" si="1240"/>
      </c>
      <c r="R508" s="11">
        <f t="shared" si="1246"/>
        <v>0</v>
      </c>
      <c r="S508" s="11">
        <f ref="S508:U508" t="shared" si="1974">E508</f>
        <v>0</v>
      </c>
      <c r="T508" s="11">
        <f t="shared" si="1974"/>
        <v>0</v>
      </c>
      <c r="U508" s="11">
        <f t="shared" si="1974"/>
        <v>0</v>
      </c>
      <c r="V508" s="11">
        <f t="shared" si="1241"/>
      </c>
      <c r="W508" s="11" t="s">
        <f t="shared" si="1239"/>
      </c>
      <c r="X508" s="11" t="s">
        <f t="shared" si="1244"/>
      </c>
    </row>
    <row r="509" ht="12.50" customHeight="true">
      <c r="A509" s="10"/>
      <c r="B509" s="11"/>
      <c r="C509" s="11"/>
      <c r="D509" s="11"/>
      <c r="E509" s="11"/>
      <c r="F509" s="11"/>
      <c r="G509" s="11"/>
      <c r="H509" s="11"/>
      <c r="I509" s="11"/>
      <c r="J509" s="11"/>
      <c r="K509" s="11" t="s">
        <f>""</f>
      </c>
      <c r="L509" s="11" t="s">
        <f t="shared" si="1247"/>
      </c>
      <c r="M509" s="8" t="s">
        <f t="shared" si="1245"/>
      </c>
      <c r="N509" s="11"/>
      <c r="O509" s="10">
        <f ref="O509:P509" t="shared" si="467">A509</f>
        <v>0</v>
      </c>
      <c r="P509" s="11">
        <f t="shared" si="467"/>
        <v>0</v>
      </c>
      <c r="Q509" s="11" t="s">
        <f t="shared" si="1240"/>
      </c>
      <c r="R509" s="11">
        <f t="shared" si="1246"/>
        <v>0</v>
      </c>
      <c r="S509" s="11">
        <f ref="S509:U509" t="shared" si="466">E509</f>
        <v>0</v>
      </c>
      <c r="T509" s="11">
        <f t="shared" si="466"/>
        <v>0</v>
      </c>
      <c r="U509" s="11">
        <f t="shared" si="466"/>
        <v>0</v>
      </c>
      <c r="V509" s="11">
        <f t="shared" si="1241"/>
      </c>
      <c r="W509" s="11" t="s">
        <f t="shared" si="1239"/>
      </c>
      <c r="X509" s="11" t="s">
        <f t="shared" si="1244"/>
      </c>
    </row>
    <row r="510" ht="12.50" customHeight="true">
      <c r="A510" s="10"/>
      <c r="B510" s="11"/>
      <c r="C510" s="11"/>
      <c r="D510" s="11"/>
      <c r="E510" s="11"/>
      <c r="F510" s="11"/>
      <c r="G510" s="11"/>
      <c r="H510" s="11"/>
      <c r="I510" s="11"/>
      <c r="J510" s="11"/>
      <c r="K510" s="11" t="s">
        <f>""</f>
      </c>
      <c r="L510" s="11" t="s">
        <f t="shared" si="1247"/>
      </c>
      <c r="M510" s="8" t="s">
        <f t="shared" si="1245"/>
      </c>
      <c r="N510" s="11"/>
      <c r="O510" s="10">
        <f ref="O510:P510" t="shared" si="164">A510</f>
        <v>0</v>
      </c>
      <c r="P510" s="11">
        <f t="shared" si="164"/>
        <v>0</v>
      </c>
      <c r="Q510" s="11" t="s">
        <f t="shared" si="1240"/>
      </c>
      <c r="R510" s="11">
        <f t="shared" si="1246"/>
        <v>0</v>
      </c>
      <c r="S510" s="11">
        <f ref="S510:U510" t="shared" si="163">E510</f>
        <v>0</v>
      </c>
      <c r="T510" s="11">
        <f t="shared" si="163"/>
        <v>0</v>
      </c>
      <c r="U510" s="11">
        <f t="shared" si="163"/>
        <v>0</v>
      </c>
      <c r="V510" s="11">
        <f t="shared" si="1241"/>
      </c>
      <c r="W510" s="11" t="s">
        <f t="shared" si="1239"/>
      </c>
      <c r="X510" s="11" t="s">
        <f t="shared" si="1244"/>
      </c>
    </row>
    <row r="511" ht="12.50" customHeight="true">
      <c r="A511" s="10"/>
      <c r="B511" s="11"/>
      <c r="C511" s="11"/>
      <c r="D511" s="11"/>
      <c r="E511" s="11"/>
      <c r="F511" s="11"/>
      <c r="G511" s="11"/>
      <c r="H511" s="11"/>
      <c r="I511" s="11"/>
      <c r="J511" s="11"/>
      <c r="K511" s="11" t="s">
        <f>""</f>
      </c>
      <c r="L511" s="11" t="s">
        <f t="shared" si="1247"/>
      </c>
      <c r="M511" s="8" t="s">
        <f t="shared" si="1245"/>
      </c>
      <c r="N511" s="11"/>
      <c r="O511" s="10">
        <f ref="O511:P511" t="shared" si="1676">A511</f>
        <v>0</v>
      </c>
      <c r="P511" s="11">
        <f t="shared" si="1676"/>
        <v>0</v>
      </c>
      <c r="Q511" s="11" t="s">
        <f t="shared" si="1240"/>
      </c>
      <c r="R511" s="11">
        <f t="shared" si="1246"/>
        <v>0</v>
      </c>
      <c r="S511" s="11">
        <f ref="S511:U511" t="shared" si="1677">E511</f>
        <v>0</v>
      </c>
      <c r="T511" s="11">
        <f t="shared" si="1677"/>
        <v>0</v>
      </c>
      <c r="U511" s="11">
        <f t="shared" si="1677"/>
        <v>0</v>
      </c>
      <c r="V511" s="11">
        <f t="shared" si="1241"/>
      </c>
      <c r="W511" s="11" t="s">
        <f t="shared" si="1239"/>
      </c>
      <c r="X511" s="11" t="s">
        <f t="shared" si="1244"/>
      </c>
    </row>
    <row r="512" ht="12.50" customHeight="true">
      <c r="A512" s="10"/>
      <c r="B512" s="11"/>
      <c r="C512" s="11"/>
      <c r="D512" s="11"/>
      <c r="E512" s="11"/>
      <c r="F512" s="11"/>
      <c r="G512" s="11"/>
      <c r="H512" s="11"/>
      <c r="I512" s="11"/>
      <c r="J512" s="11"/>
      <c r="K512" s="11" t="s">
        <f>""</f>
      </c>
      <c r="L512" s="11" t="s">
        <f t="shared" si="1247"/>
      </c>
      <c r="M512" s="8" t="s">
        <f t="shared" si="1245"/>
      </c>
      <c r="N512" s="11"/>
      <c r="O512" s="10">
        <f ref="O512:P512" t="shared" si="1186">A512</f>
        <v>0</v>
      </c>
      <c r="P512" s="11">
        <f t="shared" si="1186"/>
        <v>0</v>
      </c>
      <c r="Q512" s="11" t="s">
        <f t="shared" si="1240"/>
      </c>
      <c r="R512" s="11">
        <f t="shared" si="1246"/>
        <v>0</v>
      </c>
      <c r="S512" s="11">
        <f ref="S512:U512" t="shared" si="1185">E512</f>
        <v>0</v>
      </c>
      <c r="T512" s="11">
        <f t="shared" si="1185"/>
        <v>0</v>
      </c>
      <c r="U512" s="11">
        <f t="shared" si="1185"/>
        <v>0</v>
      </c>
      <c r="V512" s="11">
        <f t="shared" si="1241"/>
      </c>
      <c r="W512" s="11" t="s">
        <f t="shared" si="1239"/>
      </c>
      <c r="X512" s="11" t="s">
        <f t="shared" si="1244"/>
      </c>
    </row>
    <row r="513" ht="12.50" customHeight="true">
      <c r="A513" s="10"/>
      <c r="B513" s="11"/>
      <c r="C513" s="11"/>
      <c r="D513" s="11"/>
      <c r="E513" s="11"/>
      <c r="F513" s="11"/>
      <c r="G513" s="11"/>
      <c r="H513" s="11"/>
      <c r="I513" s="11"/>
      <c r="J513" s="11"/>
      <c r="K513" s="11" t="s">
        <f>""</f>
      </c>
      <c r="L513" s="11" t="s">
        <f ref="L513:L767" t="shared" si="944">IF(K513&lt;&gt;"",J513*K513,"")</f>
      </c>
      <c r="M513" s="8" t="s">
        <f ref="M513:M767" t="shared" si="940">IF(I513="STITCHING","MOHAK",IF(I513="CUTTING","MOHAK",IF(I513="WASHING","WASHING",IF(I513="OTHER","OTHER",""))))</f>
      </c>
      <c r="N513" s="11"/>
      <c r="O513" s="10">
        <f ref="O513:P513" t="shared" si="936">A513</f>
        <v>0</v>
      </c>
      <c r="P513" s="11">
        <f t="shared" si="936"/>
        <v>0</v>
      </c>
      <c r="Q513" s="11" t="s">
        <f ref="Q513:Q767" t="shared" si="937">M513</f>
      </c>
      <c r="R513" s="11">
        <f ref="R513:R767" t="shared" si="943">C513</f>
        <v>0</v>
      </c>
      <c r="S513" s="11">
        <f ref="S513:U513" t="shared" si="941">E513</f>
        <v>0</v>
      </c>
      <c r="T513" s="11">
        <f t="shared" si="941"/>
        <v>0</v>
      </c>
      <c r="U513" s="11">
        <f t="shared" si="941"/>
        <v>0</v>
      </c>
      <c r="V513" s="11">
        <f ref="V513:V767" t="shared" si="938">IF(N513="",J513,0)</f>
      </c>
      <c r="W513" s="11" t="s">
        <f ref="W513:W767" t="shared" si="942">(IF(T513="BEDCOVER",1.5,IF(T513="pillow",0.9,IF(T513="cushion",0.9,IF(T513="booster",0.9,"")))))</f>
      </c>
      <c r="X513" s="11" t="s">
        <f ref="X513:X767" t="shared" si="939">IF(W513&lt;&gt;"",V513*W513,"")</f>
      </c>
    </row>
    <row r="514" ht="12.50" customHeight="true">
      <c r="A514" s="10"/>
      <c r="B514" s="11"/>
      <c r="C514" s="11"/>
      <c r="D514" s="11"/>
      <c r="E514" s="11"/>
      <c r="F514" s="11"/>
      <c r="G514" s="11"/>
      <c r="H514" s="11"/>
      <c r="I514" s="11"/>
      <c r="J514" s="11"/>
      <c r="K514" s="11" t="s">
        <f>""</f>
      </c>
      <c r="L514" s="11" t="s">
        <f t="shared" si="944"/>
      </c>
      <c r="M514" s="8" t="s">
        <f t="shared" si="940"/>
      </c>
      <c r="N514" s="11"/>
      <c r="O514" s="10">
        <f ref="O514:P514" t="shared" si="1507">A514</f>
        <v>0</v>
      </c>
      <c r="P514" s="11">
        <f t="shared" si="1507"/>
        <v>0</v>
      </c>
      <c r="Q514" s="11" t="s">
        <f t="shared" si="937"/>
      </c>
      <c r="R514" s="11">
        <f t="shared" si="943"/>
        <v>0</v>
      </c>
      <c r="S514" s="11">
        <f ref="S514:U514" t="shared" si="1506">E514</f>
        <v>0</v>
      </c>
      <c r="T514" s="11">
        <f t="shared" si="1506"/>
        <v>0</v>
      </c>
      <c r="U514" s="11">
        <f t="shared" si="1506"/>
        <v>0</v>
      </c>
      <c r="V514" s="11">
        <f t="shared" si="938"/>
      </c>
      <c r="W514" s="11" t="s">
        <f t="shared" si="942"/>
      </c>
      <c r="X514" s="11" t="s">
        <f t="shared" si="939"/>
      </c>
    </row>
    <row r="515" ht="12.50" customHeight="true">
      <c r="A515" s="10"/>
      <c r="B515" s="11"/>
      <c r="C515" s="11"/>
      <c r="D515" s="11"/>
      <c r="E515" s="11"/>
      <c r="F515" s="11"/>
      <c r="G515" s="11"/>
      <c r="H515" s="11"/>
      <c r="I515" s="11"/>
      <c r="J515" s="11"/>
      <c r="K515" s="11" t="s">
        <f>""</f>
      </c>
      <c r="L515" s="11" t="s">
        <f t="shared" si="944"/>
      </c>
      <c r="M515" s="8" t="s">
        <f t="shared" si="940"/>
      </c>
      <c r="N515" s="11"/>
      <c r="O515" s="10">
        <f ref="O515:P515" t="shared" si="629">A515</f>
        <v>0</v>
      </c>
      <c r="P515" s="11">
        <f t="shared" si="629"/>
        <v>0</v>
      </c>
      <c r="Q515" s="11" t="s">
        <f t="shared" si="937"/>
      </c>
      <c r="R515" s="11">
        <f t="shared" si="943"/>
        <v>0</v>
      </c>
      <c r="S515" s="11">
        <f ref="S515:U515" t="shared" si="628">E515</f>
        <v>0</v>
      </c>
      <c r="T515" s="11">
        <f t="shared" si="628"/>
        <v>0</v>
      </c>
      <c r="U515" s="11">
        <f t="shared" si="628"/>
        <v>0</v>
      </c>
      <c r="V515" s="11">
        <f t="shared" si="938"/>
      </c>
      <c r="W515" s="11" t="s">
        <f t="shared" si="942"/>
      </c>
      <c r="X515" s="11" t="s">
        <f t="shared" si="939"/>
      </c>
    </row>
    <row r="516" ht="12.50" customHeight="true">
      <c r="A516" s="10"/>
      <c r="B516" s="11"/>
      <c r="C516" s="11"/>
      <c r="D516" s="11"/>
      <c r="E516" s="11"/>
      <c r="F516" s="11"/>
      <c r="G516" s="11"/>
      <c r="H516" s="11"/>
      <c r="I516" s="11"/>
      <c r="J516" s="11"/>
      <c r="K516" s="11" t="s">
        <f>""</f>
      </c>
      <c r="L516" s="11" t="s">
        <f t="shared" si="944"/>
      </c>
      <c r="M516" s="8" t="s">
        <f t="shared" si="940"/>
      </c>
      <c r="N516" s="11"/>
      <c r="O516" s="10">
        <f ref="O516:P516" t="shared" si="1282">A516</f>
        <v>0</v>
      </c>
      <c r="P516" s="11">
        <f t="shared" si="1282"/>
        <v>0</v>
      </c>
      <c r="Q516" s="11" t="s">
        <f t="shared" si="937"/>
      </c>
      <c r="R516" s="11">
        <f t="shared" si="943"/>
        <v>0</v>
      </c>
      <c r="S516" s="11">
        <f ref="S516:U516" t="shared" si="1283">E516</f>
        <v>0</v>
      </c>
      <c r="T516" s="11">
        <f t="shared" si="1283"/>
        <v>0</v>
      </c>
      <c r="U516" s="11">
        <f t="shared" si="1283"/>
        <v>0</v>
      </c>
      <c r="V516" s="11">
        <f t="shared" si="938"/>
      </c>
      <c r="W516" s="11" t="s">
        <f t="shared" si="942"/>
      </c>
      <c r="X516" s="11" t="s">
        <f t="shared" si="939"/>
      </c>
    </row>
    <row r="517" ht="12.50" customHeight="true">
      <c r="A517" s="10"/>
      <c r="B517" s="11"/>
      <c r="C517" s="11"/>
      <c r="D517" s="11"/>
      <c r="E517" s="11"/>
      <c r="F517" s="11"/>
      <c r="G517" s="11"/>
      <c r="H517" s="11"/>
      <c r="I517" s="11"/>
      <c r="J517" s="11"/>
      <c r="K517" s="11" t="s">
        <f>""</f>
      </c>
      <c r="L517" s="11" t="s">
        <f t="shared" si="944"/>
      </c>
      <c r="M517" s="8" t="s">
        <f t="shared" si="940"/>
      </c>
      <c r="N517" s="11"/>
      <c r="O517" s="10">
        <f ref="O517:P517" t="shared" si="757">A517</f>
        <v>0</v>
      </c>
      <c r="P517" s="11">
        <f t="shared" si="757"/>
        <v>0</v>
      </c>
      <c r="Q517" s="11" t="s">
        <f t="shared" si="937"/>
      </c>
      <c r="R517" s="11">
        <f t="shared" si="943"/>
        <v>0</v>
      </c>
      <c r="S517" s="11">
        <f ref="S517:U517" t="shared" si="756">E517</f>
        <v>0</v>
      </c>
      <c r="T517" s="11">
        <f t="shared" si="756"/>
        <v>0</v>
      </c>
      <c r="U517" s="11">
        <f t="shared" si="756"/>
        <v>0</v>
      </c>
      <c r="V517" s="11">
        <f t="shared" si="938"/>
      </c>
      <c r="W517" s="11" t="s">
        <f t="shared" si="942"/>
      </c>
      <c r="X517" s="11" t="s">
        <f t="shared" si="939"/>
      </c>
    </row>
    <row r="518" ht="12.50" customHeight="true">
      <c r="A518" s="10"/>
      <c r="B518" s="11"/>
      <c r="C518" s="11"/>
      <c r="D518" s="11"/>
      <c r="E518" s="11"/>
      <c r="F518" s="11"/>
      <c r="G518" s="11"/>
      <c r="H518" s="11"/>
      <c r="I518" s="11"/>
      <c r="J518" s="11"/>
      <c r="K518" s="11" t="s">
        <f>""</f>
      </c>
      <c r="L518" s="11" t="s">
        <f t="shared" si="944"/>
      </c>
      <c r="M518" s="8" t="s">
        <f t="shared" si="940"/>
      </c>
      <c r="N518" s="11"/>
      <c r="O518" s="10">
        <f ref="O518:P518" t="shared" si="1644">A518</f>
        <v>0</v>
      </c>
      <c r="P518" s="11">
        <f t="shared" si="1644"/>
        <v>0</v>
      </c>
      <c r="Q518" s="11" t="s">
        <f t="shared" si="937"/>
      </c>
      <c r="R518" s="11">
        <f t="shared" si="943"/>
        <v>0</v>
      </c>
      <c r="S518" s="11">
        <f ref="S518:U518" t="shared" si="1645">E518</f>
        <v>0</v>
      </c>
      <c r="T518" s="11">
        <f t="shared" si="1645"/>
        <v>0</v>
      </c>
      <c r="U518" s="11">
        <f t="shared" si="1645"/>
        <v>0</v>
      </c>
      <c r="V518" s="11">
        <f t="shared" si="938"/>
      </c>
      <c r="W518" s="11" t="s">
        <f t="shared" si="942"/>
      </c>
      <c r="X518" s="11" t="s">
        <f t="shared" si="939"/>
      </c>
    </row>
    <row r="519" ht="12.50" customHeight="true">
      <c r="A519" s="10"/>
      <c r="B519" s="11"/>
      <c r="C519" s="11"/>
      <c r="D519" s="11"/>
      <c r="E519" s="11"/>
      <c r="F519" s="11"/>
      <c r="G519" s="11"/>
      <c r="H519" s="11"/>
      <c r="I519" s="11"/>
      <c r="J519" s="11"/>
      <c r="K519" s="11" t="s">
        <f>""</f>
      </c>
      <c r="L519" s="11" t="s">
        <f t="shared" si="944"/>
      </c>
      <c r="M519" s="8" t="s">
        <f t="shared" si="940"/>
      </c>
      <c r="N519" s="11"/>
      <c r="O519" s="10">
        <f ref="O519:P519" t="shared" si="704">A519</f>
        <v>0</v>
      </c>
      <c r="P519" s="11">
        <f t="shared" si="704"/>
        <v>0</v>
      </c>
      <c r="Q519" s="11" t="s">
        <f t="shared" si="937"/>
      </c>
      <c r="R519" s="11">
        <f t="shared" si="943"/>
        <v>0</v>
      </c>
      <c r="S519" s="11">
        <f ref="S519:U519" t="shared" si="705">E519</f>
        <v>0</v>
      </c>
      <c r="T519" s="11">
        <f t="shared" si="705"/>
        <v>0</v>
      </c>
      <c r="U519" s="11">
        <f t="shared" si="705"/>
        <v>0</v>
      </c>
      <c r="V519" s="11">
        <f t="shared" si="938"/>
      </c>
      <c r="W519" s="11" t="s">
        <f t="shared" si="942"/>
      </c>
      <c r="X519" s="11" t="s">
        <f t="shared" si="939"/>
      </c>
    </row>
    <row r="520" ht="12.50" customHeight="true">
      <c r="A520" s="10"/>
      <c r="B520" s="11"/>
      <c r="C520" s="11"/>
      <c r="D520" s="11"/>
      <c r="E520" s="11"/>
      <c r="F520" s="11"/>
      <c r="G520" s="11"/>
      <c r="H520" s="11"/>
      <c r="I520" s="11"/>
      <c r="J520" s="11"/>
      <c r="K520" s="11" t="s">
        <f>""</f>
      </c>
      <c r="L520" s="11" t="s">
        <f t="shared" si="944"/>
      </c>
      <c r="M520" s="8" t="s">
        <f t="shared" si="940"/>
      </c>
      <c r="N520" s="11"/>
      <c r="O520" s="10">
        <f ref="O520:P520" t="shared" si="1370">A520</f>
        <v>0</v>
      </c>
      <c r="P520" s="11">
        <f t="shared" si="1370"/>
        <v>0</v>
      </c>
      <c r="Q520" s="11" t="s">
        <f t="shared" si="937"/>
      </c>
      <c r="R520" s="11">
        <f t="shared" si="943"/>
        <v>0</v>
      </c>
      <c r="S520" s="11">
        <f ref="S520:U520" t="shared" si="1371">E520</f>
        <v>0</v>
      </c>
      <c r="T520" s="11">
        <f t="shared" si="1371"/>
        <v>0</v>
      </c>
      <c r="U520" s="11">
        <f t="shared" si="1371"/>
        <v>0</v>
      </c>
      <c r="V520" s="11">
        <f t="shared" si="938"/>
      </c>
      <c r="W520" s="11" t="s">
        <f t="shared" si="942"/>
      </c>
      <c r="X520" s="11" t="s">
        <f t="shared" si="939"/>
      </c>
    </row>
    <row r="521" ht="12.50" customHeight="true">
      <c r="A521" s="10"/>
      <c r="B521" s="11"/>
      <c r="C521" s="11"/>
      <c r="D521" s="11"/>
      <c r="E521" s="11"/>
      <c r="F521" s="11"/>
      <c r="G521" s="11"/>
      <c r="H521" s="11"/>
      <c r="I521" s="11"/>
      <c r="J521" s="11"/>
      <c r="K521" s="11" t="s">
        <f>""</f>
      </c>
      <c r="L521" s="11" t="s">
        <f t="shared" si="944"/>
      </c>
      <c r="M521" s="8" t="s">
        <f t="shared" si="940"/>
      </c>
      <c r="N521" s="11"/>
      <c r="O521" s="10">
        <f ref="O521:P521" t="shared" si="43">A521</f>
        <v>0</v>
      </c>
      <c r="P521" s="11">
        <f t="shared" si="43"/>
        <v>0</v>
      </c>
      <c r="Q521" s="11" t="s">
        <f t="shared" si="937"/>
      </c>
      <c r="R521" s="11">
        <f t="shared" si="943"/>
        <v>0</v>
      </c>
      <c r="S521" s="11">
        <f ref="S521:U521" t="shared" si="42">E521</f>
        <v>0</v>
      </c>
      <c r="T521" s="11">
        <f t="shared" si="42"/>
        <v>0</v>
      </c>
      <c r="U521" s="11">
        <f t="shared" si="42"/>
        <v>0</v>
      </c>
      <c r="V521" s="11">
        <f t="shared" si="938"/>
      </c>
      <c r="W521" s="11" t="s">
        <f t="shared" si="942"/>
      </c>
      <c r="X521" s="11" t="s">
        <f t="shared" si="939"/>
      </c>
    </row>
    <row r="522" ht="12.50" customHeight="true">
      <c r="A522" s="10"/>
      <c r="B522" s="11"/>
      <c r="C522" s="11"/>
      <c r="D522" s="11"/>
      <c r="E522" s="11"/>
      <c r="F522" s="11"/>
      <c r="G522" s="11"/>
      <c r="H522" s="11"/>
      <c r="I522" s="11"/>
      <c r="J522" s="11"/>
      <c r="K522" s="11" t="s">
        <f>""</f>
      </c>
      <c r="L522" s="11" t="s">
        <f t="shared" si="944"/>
      </c>
      <c r="M522" s="8" t="s">
        <f t="shared" si="940"/>
      </c>
      <c r="N522" s="11"/>
      <c r="O522" s="10">
        <f ref="O522:P522" t="shared" si="960">A522</f>
        <v>0</v>
      </c>
      <c r="P522" s="11">
        <f t="shared" si="960"/>
        <v>0</v>
      </c>
      <c r="Q522" s="11" t="s">
        <f t="shared" si="937"/>
      </c>
      <c r="R522" s="11">
        <f t="shared" si="943"/>
        <v>0</v>
      </c>
      <c r="S522" s="11">
        <f ref="S522:U522" t="shared" si="959">E522</f>
        <v>0</v>
      </c>
      <c r="T522" s="11">
        <f t="shared" si="959"/>
        <v>0</v>
      </c>
      <c r="U522" s="11">
        <f t="shared" si="959"/>
        <v>0</v>
      </c>
      <c r="V522" s="11">
        <f t="shared" si="938"/>
      </c>
      <c r="W522" s="11" t="s">
        <f t="shared" si="942"/>
      </c>
      <c r="X522" s="11" t="s">
        <f t="shared" si="939"/>
      </c>
    </row>
    <row r="523" ht="12.50" customHeight="true">
      <c r="A523" s="10"/>
      <c r="B523" s="11"/>
      <c r="C523" s="11"/>
      <c r="D523" s="11"/>
      <c r="E523" s="11"/>
      <c r="F523" s="11"/>
      <c r="G523" s="11"/>
      <c r="H523" s="11"/>
      <c r="I523" s="11"/>
      <c r="J523" s="11"/>
      <c r="K523" s="11" t="s">
        <f>""</f>
      </c>
      <c r="L523" s="11" t="s">
        <f t="shared" si="944"/>
      </c>
      <c r="M523" s="8" t="s">
        <f t="shared" si="940"/>
      </c>
      <c r="N523" s="11"/>
      <c r="O523" s="10">
        <f ref="O523:P523" t="shared" si="1067">A523</f>
        <v>0</v>
      </c>
      <c r="P523" s="11">
        <f t="shared" si="1067"/>
        <v>0</v>
      </c>
      <c r="Q523" s="11" t="s">
        <f t="shared" si="937"/>
      </c>
      <c r="R523" s="11">
        <f t="shared" si="943"/>
        <v>0</v>
      </c>
      <c r="S523" s="11">
        <f ref="S523:U523" t="shared" si="1068">E523</f>
        <v>0</v>
      </c>
      <c r="T523" s="11">
        <f t="shared" si="1068"/>
        <v>0</v>
      </c>
      <c r="U523" s="11">
        <f t="shared" si="1068"/>
        <v>0</v>
      </c>
      <c r="V523" s="11">
        <f t="shared" si="938"/>
      </c>
      <c r="W523" s="11" t="s">
        <f t="shared" si="942"/>
      </c>
      <c r="X523" s="11" t="s">
        <f t="shared" si="939"/>
      </c>
    </row>
    <row r="524" ht="12.50" customHeight="true">
      <c r="A524" s="10"/>
      <c r="B524" s="11"/>
      <c r="C524" s="11"/>
      <c r="D524" s="11"/>
      <c r="E524" s="11"/>
      <c r="F524" s="11"/>
      <c r="G524" s="11"/>
      <c r="H524" s="11"/>
      <c r="I524" s="11"/>
      <c r="J524" s="11"/>
      <c r="K524" s="11" t="s">
        <f>""</f>
      </c>
      <c r="L524" s="11" t="s">
        <f t="shared" si="944"/>
      </c>
      <c r="M524" s="8" t="s">
        <f t="shared" si="940"/>
      </c>
      <c r="N524" s="11"/>
      <c r="O524" s="10">
        <f ref="O524:P524" t="shared" si="1108">A524</f>
        <v>0</v>
      </c>
      <c r="P524" s="11">
        <f t="shared" si="1108"/>
        <v>0</v>
      </c>
      <c r="Q524" s="11" t="s">
        <f t="shared" si="937"/>
      </c>
      <c r="R524" s="11">
        <f t="shared" si="943"/>
        <v>0</v>
      </c>
      <c r="S524" s="11">
        <f ref="S524:U524" t="shared" si="1107">E524</f>
        <v>0</v>
      </c>
      <c r="T524" s="11">
        <f t="shared" si="1107"/>
        <v>0</v>
      </c>
      <c r="U524" s="11">
        <f t="shared" si="1107"/>
        <v>0</v>
      </c>
      <c r="V524" s="11">
        <f t="shared" si="938"/>
      </c>
      <c r="W524" s="11" t="s">
        <f t="shared" si="942"/>
      </c>
      <c r="X524" s="11" t="s">
        <f t="shared" si="939"/>
      </c>
    </row>
    <row r="525" ht="12.50" customHeight="true">
      <c r="A525" s="10"/>
      <c r="B525" s="11"/>
      <c r="C525" s="11"/>
      <c r="D525" s="11"/>
      <c r="E525" s="11"/>
      <c r="F525" s="11"/>
      <c r="G525" s="11"/>
      <c r="H525" s="11"/>
      <c r="I525" s="11"/>
      <c r="J525" s="11"/>
      <c r="K525" s="11" t="s">
        <f>""</f>
      </c>
      <c r="L525" s="11" t="s">
        <f t="shared" si="944"/>
      </c>
      <c r="M525" s="8" t="s">
        <f t="shared" si="940"/>
      </c>
      <c r="N525" s="11"/>
      <c r="O525" s="10">
        <f ref="O525:P525" t="shared" si="1125">A525</f>
        <v>0</v>
      </c>
      <c r="P525" s="11">
        <f t="shared" si="1125"/>
        <v>0</v>
      </c>
      <c r="Q525" s="11" t="s">
        <f t="shared" si="937"/>
      </c>
      <c r="R525" s="11">
        <f t="shared" si="943"/>
        <v>0</v>
      </c>
      <c r="S525" s="11">
        <f ref="S525:U525" t="shared" si="1126">E525</f>
        <v>0</v>
      </c>
      <c r="T525" s="11">
        <f t="shared" si="1126"/>
        <v>0</v>
      </c>
      <c r="U525" s="11">
        <f t="shared" si="1126"/>
        <v>0</v>
      </c>
      <c r="V525" s="11">
        <f t="shared" si="938"/>
      </c>
      <c r="W525" s="11" t="s">
        <f t="shared" si="942"/>
      </c>
      <c r="X525" s="11" t="s">
        <f t="shared" si="939"/>
      </c>
    </row>
    <row r="526" ht="12.50" customHeight="true">
      <c r="A526" s="10"/>
      <c r="B526" s="11"/>
      <c r="C526" s="11"/>
      <c r="D526" s="11"/>
      <c r="E526" s="11"/>
      <c r="F526" s="11"/>
      <c r="G526" s="11"/>
      <c r="H526" s="11"/>
      <c r="I526" s="11"/>
      <c r="J526" s="11"/>
      <c r="K526" s="11" t="s">
        <f>""</f>
      </c>
      <c r="L526" s="11" t="s">
        <f t="shared" si="944"/>
      </c>
      <c r="M526" s="8" t="s">
        <f t="shared" si="940"/>
      </c>
      <c r="N526" s="11"/>
      <c r="O526" s="10">
        <f ref="O526:P526" t="shared" si="886">A526</f>
        <v>0</v>
      </c>
      <c r="P526" s="11">
        <f t="shared" si="886"/>
        <v>0</v>
      </c>
      <c r="Q526" s="11" t="s">
        <f t="shared" si="937"/>
      </c>
      <c r="R526" s="11">
        <f t="shared" si="943"/>
        <v>0</v>
      </c>
      <c r="S526" s="11">
        <f ref="S526:U526" t="shared" si="887">E526</f>
        <v>0</v>
      </c>
      <c r="T526" s="11">
        <f t="shared" si="887"/>
        <v>0</v>
      </c>
      <c r="U526" s="11">
        <f t="shared" si="887"/>
        <v>0</v>
      </c>
      <c r="V526" s="11">
        <f t="shared" si="938"/>
      </c>
      <c r="W526" s="11" t="s">
        <f t="shared" si="942"/>
      </c>
      <c r="X526" s="11" t="s">
        <f t="shared" si="939"/>
      </c>
    </row>
    <row r="527" ht="12.50" customHeight="true">
      <c r="A527" s="10"/>
      <c r="B527" s="11"/>
      <c r="C527" s="11"/>
      <c r="D527" s="11"/>
      <c r="E527" s="11"/>
      <c r="F527" s="11"/>
      <c r="G527" s="11"/>
      <c r="H527" s="11"/>
      <c r="I527" s="11"/>
      <c r="J527" s="11"/>
      <c r="K527" s="11" t="s">
        <f>""</f>
      </c>
      <c r="L527" s="11" t="s">
        <f t="shared" si="944"/>
      </c>
      <c r="M527" s="8" t="s">
        <f t="shared" si="940"/>
      </c>
      <c r="N527" s="11"/>
      <c r="O527" s="10">
        <f ref="O527:P527" t="shared" si="1945">A527</f>
        <v>0</v>
      </c>
      <c r="P527" s="11">
        <f t="shared" si="1945"/>
        <v>0</v>
      </c>
      <c r="Q527" s="11" t="s">
        <f t="shared" si="937"/>
      </c>
      <c r="R527" s="11">
        <f t="shared" si="943"/>
        <v>0</v>
      </c>
      <c r="S527" s="11">
        <f ref="S527:U527" t="shared" si="1944">E527</f>
        <v>0</v>
      </c>
      <c r="T527" s="11">
        <f t="shared" si="1944"/>
        <v>0</v>
      </c>
      <c r="U527" s="11">
        <f t="shared" si="1944"/>
        <v>0</v>
      </c>
      <c r="V527" s="11">
        <f t="shared" si="938"/>
      </c>
      <c r="W527" s="11" t="s">
        <f t="shared" si="942"/>
      </c>
      <c r="X527" s="11" t="s">
        <f t="shared" si="939"/>
      </c>
    </row>
    <row r="528" ht="12.50" customHeight="true">
      <c r="A528" s="10"/>
      <c r="B528" s="11"/>
      <c r="C528" s="11"/>
      <c r="D528" s="11"/>
      <c r="E528" s="11"/>
      <c r="F528" s="11"/>
      <c r="G528" s="11"/>
      <c r="H528" s="11"/>
      <c r="I528" s="11"/>
      <c r="J528" s="11"/>
      <c r="K528" s="11" t="s">
        <f>""</f>
      </c>
      <c r="L528" s="11" t="s">
        <f t="shared" si="944"/>
      </c>
      <c r="M528" s="8" t="s">
        <f t="shared" si="940"/>
      </c>
      <c r="N528" s="11"/>
      <c r="O528" s="10">
        <f ref="O528:P528" t="shared" si="578">A528</f>
        <v>0</v>
      </c>
      <c r="P528" s="11">
        <f t="shared" si="578"/>
        <v>0</v>
      </c>
      <c r="Q528" s="11" t="s">
        <f t="shared" si="937"/>
      </c>
      <c r="R528" s="11">
        <f t="shared" si="943"/>
        <v>0</v>
      </c>
      <c r="S528" s="11">
        <f ref="S528:U528" t="shared" si="579">E528</f>
        <v>0</v>
      </c>
      <c r="T528" s="11">
        <f t="shared" si="579"/>
        <v>0</v>
      </c>
      <c r="U528" s="11">
        <f t="shared" si="579"/>
        <v>0</v>
      </c>
      <c r="V528" s="11">
        <f t="shared" si="938"/>
      </c>
      <c r="W528" s="11" t="s">
        <f t="shared" si="942"/>
      </c>
      <c r="X528" s="11" t="s">
        <f t="shared" si="939"/>
      </c>
    </row>
    <row r="529" ht="12.50" customHeight="true">
      <c r="A529" s="10"/>
      <c r="B529" s="11"/>
      <c r="C529" s="11"/>
      <c r="D529" s="11"/>
      <c r="E529" s="11"/>
      <c r="F529" s="11"/>
      <c r="G529" s="11"/>
      <c r="H529" s="11"/>
      <c r="I529" s="11"/>
      <c r="J529" s="11"/>
      <c r="K529" s="11" t="s">
        <f>""</f>
      </c>
      <c r="L529" s="11" t="s">
        <f t="shared" si="944"/>
      </c>
      <c r="M529" s="8" t="s">
        <f t="shared" si="940"/>
      </c>
      <c r="N529" s="11"/>
      <c r="O529" s="10">
        <f ref="O529:P529" t="shared" si="862">A529</f>
        <v>0</v>
      </c>
      <c r="P529" s="11">
        <f t="shared" si="862"/>
        <v>0</v>
      </c>
      <c r="Q529" s="11" t="s">
        <f t="shared" si="937"/>
      </c>
      <c r="R529" s="11">
        <f t="shared" si="943"/>
        <v>0</v>
      </c>
      <c r="S529" s="11">
        <f ref="S529:U529" t="shared" si="863">E529</f>
        <v>0</v>
      </c>
      <c r="T529" s="11">
        <f t="shared" si="863"/>
        <v>0</v>
      </c>
      <c r="U529" s="11">
        <f t="shared" si="863"/>
        <v>0</v>
      </c>
      <c r="V529" s="11">
        <f t="shared" si="938"/>
      </c>
      <c r="W529" s="11" t="s">
        <f t="shared" si="942"/>
      </c>
      <c r="X529" s="11" t="s">
        <f t="shared" si="939"/>
      </c>
    </row>
    <row r="530" ht="12.50" customHeight="true">
      <c r="A530" s="10"/>
      <c r="B530" s="11"/>
      <c r="C530" s="11"/>
      <c r="D530" s="11"/>
      <c r="E530" s="11"/>
      <c r="F530" s="11"/>
      <c r="G530" s="11"/>
      <c r="H530" s="11"/>
      <c r="I530" s="11"/>
      <c r="J530" s="11"/>
      <c r="K530" s="11" t="s">
        <f>""</f>
      </c>
      <c r="L530" s="11" t="s">
        <f t="shared" si="944"/>
      </c>
      <c r="M530" s="8" t="s">
        <f t="shared" si="940"/>
      </c>
      <c r="N530" s="11"/>
      <c r="O530" s="10">
        <f ref="O530:P530" t="shared" si="457">A530</f>
        <v>0</v>
      </c>
      <c r="P530" s="11">
        <f t="shared" si="457"/>
        <v>0</v>
      </c>
      <c r="Q530" s="11" t="s">
        <f t="shared" si="937"/>
      </c>
      <c r="R530" s="11">
        <f t="shared" si="943"/>
        <v>0</v>
      </c>
      <c r="S530" s="11">
        <f ref="S530:U530" t="shared" si="456">E530</f>
        <v>0</v>
      </c>
      <c r="T530" s="11">
        <f t="shared" si="456"/>
        <v>0</v>
      </c>
      <c r="U530" s="11">
        <f t="shared" si="456"/>
        <v>0</v>
      </c>
      <c r="V530" s="11">
        <f t="shared" si="938"/>
      </c>
      <c r="W530" s="11" t="s">
        <f t="shared" si="942"/>
      </c>
      <c r="X530" s="11" t="s">
        <f t="shared" si="939"/>
      </c>
    </row>
    <row r="531" ht="12.50" customHeight="true">
      <c r="A531" s="10"/>
      <c r="B531" s="11"/>
      <c r="C531" s="11"/>
      <c r="D531" s="11"/>
      <c r="E531" s="11"/>
      <c r="F531" s="11"/>
      <c r="G531" s="11"/>
      <c r="H531" s="11"/>
      <c r="I531" s="11"/>
      <c r="J531" s="11"/>
      <c r="K531" s="11" t="s">
        <f>""</f>
      </c>
      <c r="L531" s="11" t="s">
        <f t="shared" si="944"/>
      </c>
      <c r="M531" s="8" t="s">
        <f t="shared" si="940"/>
      </c>
      <c r="N531" s="11"/>
      <c r="O531" s="10">
        <f ref="O531:P531" t="shared" si="1079">A531</f>
        <v>0</v>
      </c>
      <c r="P531" s="11">
        <f t="shared" si="1079"/>
        <v>0</v>
      </c>
      <c r="Q531" s="11" t="s">
        <f t="shared" si="937"/>
      </c>
      <c r="R531" s="11">
        <f t="shared" si="943"/>
        <v>0</v>
      </c>
      <c r="S531" s="11">
        <f ref="S531:U531" t="shared" si="1080">E531</f>
        <v>0</v>
      </c>
      <c r="T531" s="11">
        <f t="shared" si="1080"/>
        <v>0</v>
      </c>
      <c r="U531" s="11">
        <f t="shared" si="1080"/>
        <v>0</v>
      </c>
      <c r="V531" s="11">
        <f t="shared" si="938"/>
      </c>
      <c r="W531" s="11" t="s">
        <f t="shared" si="942"/>
      </c>
      <c r="X531" s="11" t="s">
        <f t="shared" si="939"/>
      </c>
    </row>
    <row r="532" ht="12.50" customHeight="true">
      <c r="A532" s="10"/>
      <c r="B532" s="11"/>
      <c r="C532" s="11"/>
      <c r="D532" s="11"/>
      <c r="E532" s="11"/>
      <c r="F532" s="11"/>
      <c r="G532" s="11"/>
      <c r="H532" s="11"/>
      <c r="I532" s="11"/>
      <c r="J532" s="11"/>
      <c r="K532" s="11" t="s">
        <f>""</f>
      </c>
      <c r="L532" s="11" t="s">
        <f t="shared" si="944"/>
      </c>
      <c r="M532" s="8" t="s">
        <f t="shared" si="940"/>
      </c>
      <c r="N532" s="11"/>
      <c r="O532" s="10">
        <f ref="O532:P532" t="shared" si="223">A532</f>
        <v>0</v>
      </c>
      <c r="P532" s="11">
        <f t="shared" si="223"/>
        <v>0</v>
      </c>
      <c r="Q532" s="11" t="s">
        <f t="shared" si="937"/>
      </c>
      <c r="R532" s="11">
        <f t="shared" si="943"/>
        <v>0</v>
      </c>
      <c r="S532" s="11">
        <f ref="S532:U532" t="shared" si="224">E532</f>
        <v>0</v>
      </c>
      <c r="T532" s="11">
        <f t="shared" si="224"/>
        <v>0</v>
      </c>
      <c r="U532" s="11">
        <f t="shared" si="224"/>
        <v>0</v>
      </c>
      <c r="V532" s="11">
        <f t="shared" si="938"/>
      </c>
      <c r="W532" s="11" t="s">
        <f t="shared" si="942"/>
      </c>
      <c r="X532" s="11" t="s">
        <f t="shared" si="939"/>
      </c>
    </row>
    <row r="533" ht="12.50" customHeight="true">
      <c r="A533" s="10"/>
      <c r="B533" s="11"/>
      <c r="C533" s="11"/>
      <c r="D533" s="11"/>
      <c r="E533" s="11"/>
      <c r="F533" s="11"/>
      <c r="G533" s="11"/>
      <c r="H533" s="11"/>
      <c r="I533" s="11"/>
      <c r="J533" s="11"/>
      <c r="K533" s="11" t="s">
        <f>""</f>
      </c>
      <c r="L533" s="11" t="s">
        <f t="shared" si="944"/>
      </c>
      <c r="M533" s="8" t="s">
        <f t="shared" si="940"/>
      </c>
      <c r="N533" s="11"/>
      <c r="O533" s="10">
        <f ref="O533:P533" t="shared" si="1307">A533</f>
        <v>0</v>
      </c>
      <c r="P533" s="11">
        <f t="shared" si="1307"/>
        <v>0</v>
      </c>
      <c r="Q533" s="11" t="s">
        <f t="shared" si="937"/>
      </c>
      <c r="R533" s="11">
        <f t="shared" si="943"/>
        <v>0</v>
      </c>
      <c r="S533" s="11">
        <f ref="S533:U533" t="shared" si="1306">E533</f>
        <v>0</v>
      </c>
      <c r="T533" s="11">
        <f t="shared" si="1306"/>
        <v>0</v>
      </c>
      <c r="U533" s="11">
        <f t="shared" si="1306"/>
        <v>0</v>
      </c>
      <c r="V533" s="11">
        <f t="shared" si="938"/>
      </c>
      <c r="W533" s="11" t="s">
        <f t="shared" si="942"/>
      </c>
      <c r="X533" s="11" t="s">
        <f t="shared" si="939"/>
      </c>
    </row>
    <row r="534" ht="12.50" customHeight="true">
      <c r="A534" s="10"/>
      <c r="B534" s="11"/>
      <c r="C534" s="11"/>
      <c r="D534" s="11"/>
      <c r="E534" s="11"/>
      <c r="F534" s="11"/>
      <c r="G534" s="11"/>
      <c r="H534" s="11"/>
      <c r="I534" s="11"/>
      <c r="J534" s="11"/>
      <c r="K534" s="11" t="s">
        <f>""</f>
      </c>
      <c r="L534" s="11" t="s">
        <f t="shared" si="944"/>
      </c>
      <c r="M534" s="8" t="s">
        <f t="shared" si="940"/>
      </c>
      <c r="N534" s="11"/>
      <c r="O534" s="10">
        <f ref="O534:P534" t="shared" si="1401">A534</f>
        <v>0</v>
      </c>
      <c r="P534" s="11">
        <f t="shared" si="1401"/>
        <v>0</v>
      </c>
      <c r="Q534" s="11" t="s">
        <f t="shared" si="937"/>
      </c>
      <c r="R534" s="11">
        <f t="shared" si="943"/>
        <v>0</v>
      </c>
      <c r="S534" s="11">
        <f ref="S534:U534" t="shared" si="1400">E534</f>
        <v>0</v>
      </c>
      <c r="T534" s="11">
        <f t="shared" si="1400"/>
        <v>0</v>
      </c>
      <c r="U534" s="11">
        <f t="shared" si="1400"/>
        <v>0</v>
      </c>
      <c r="V534" s="11">
        <f t="shared" si="938"/>
      </c>
      <c r="W534" s="11" t="s">
        <f t="shared" si="942"/>
      </c>
      <c r="X534" s="11" t="s">
        <f t="shared" si="939"/>
      </c>
    </row>
    <row r="535" ht="12.50" customHeight="true">
      <c r="A535" s="10"/>
      <c r="B535" s="11"/>
      <c r="C535" s="11"/>
      <c r="D535" s="11"/>
      <c r="E535" s="11"/>
      <c r="F535" s="11"/>
      <c r="G535" s="11"/>
      <c r="H535" s="11"/>
      <c r="I535" s="11"/>
      <c r="J535" s="11"/>
      <c r="K535" s="11" t="s">
        <f>""</f>
      </c>
      <c r="L535" s="11" t="s">
        <f t="shared" si="944"/>
      </c>
      <c r="M535" s="8" t="s">
        <f t="shared" si="940"/>
      </c>
      <c r="N535" s="11"/>
      <c r="O535" s="10">
        <f ref="O535:P535" t="shared" si="1061">A535</f>
        <v>0</v>
      </c>
      <c r="P535" s="11">
        <f t="shared" si="1061"/>
        <v>0</v>
      </c>
      <c r="Q535" s="11" t="s">
        <f t="shared" si="937"/>
      </c>
      <c r="R535" s="11">
        <f t="shared" si="943"/>
        <v>0</v>
      </c>
      <c r="S535" s="11">
        <f ref="S535:U535" t="shared" si="1062">E535</f>
        <v>0</v>
      </c>
      <c r="T535" s="11">
        <f t="shared" si="1062"/>
        <v>0</v>
      </c>
      <c r="U535" s="11">
        <f t="shared" si="1062"/>
        <v>0</v>
      </c>
      <c r="V535" s="11">
        <f t="shared" si="938"/>
      </c>
      <c r="W535" s="11" t="s">
        <f t="shared" si="942"/>
      </c>
      <c r="X535" s="11" t="s">
        <f t="shared" si="939"/>
      </c>
    </row>
    <row r="536" ht="12.50" customHeight="true">
      <c r="A536" s="10"/>
      <c r="B536" s="11"/>
      <c r="C536" s="11"/>
      <c r="D536" s="11"/>
      <c r="E536" s="11"/>
      <c r="F536" s="11"/>
      <c r="G536" s="11"/>
      <c r="H536" s="11"/>
      <c r="I536" s="11"/>
      <c r="J536" s="11"/>
      <c r="K536" s="11" t="s">
        <f>""</f>
      </c>
      <c r="L536" s="11" t="s">
        <f t="shared" si="944"/>
      </c>
      <c r="M536" s="8" t="s">
        <f t="shared" si="940"/>
      </c>
      <c r="N536" s="11"/>
      <c r="O536" s="10">
        <f ref="O536:P536" t="shared" si="300">A536</f>
        <v>0</v>
      </c>
      <c r="P536" s="11">
        <f t="shared" si="300"/>
        <v>0</v>
      </c>
      <c r="Q536" s="11" t="s">
        <f t="shared" si="937"/>
      </c>
      <c r="R536" s="11">
        <f t="shared" si="943"/>
        <v>0</v>
      </c>
      <c r="S536" s="11">
        <f ref="S536:U536" t="shared" si="301">E536</f>
        <v>0</v>
      </c>
      <c r="T536" s="11">
        <f t="shared" si="301"/>
        <v>0</v>
      </c>
      <c r="U536" s="11">
        <f t="shared" si="301"/>
        <v>0</v>
      </c>
      <c r="V536" s="11">
        <f t="shared" si="938"/>
      </c>
      <c r="W536" s="11" t="s">
        <f t="shared" si="942"/>
      </c>
      <c r="X536" s="11" t="s">
        <f t="shared" si="939"/>
      </c>
    </row>
    <row r="537" ht="12.50" customHeight="true">
      <c r="A537" s="10"/>
      <c r="B537" s="11"/>
      <c r="C537" s="11"/>
      <c r="D537" s="11"/>
      <c r="E537" s="11"/>
      <c r="F537" s="11"/>
      <c r="G537" s="11"/>
      <c r="H537" s="11"/>
      <c r="I537" s="11"/>
      <c r="J537" s="11"/>
      <c r="K537" s="11" t="s">
        <f>""</f>
      </c>
      <c r="L537" s="11" t="s">
        <f t="shared" si="944"/>
      </c>
      <c r="M537" s="8" t="s">
        <f t="shared" si="940"/>
      </c>
      <c r="N537" s="11"/>
      <c r="O537" s="10">
        <f ref="O537:P537" t="shared" si="1440">A537</f>
        <v>0</v>
      </c>
      <c r="P537" s="11">
        <f t="shared" si="1440"/>
        <v>0</v>
      </c>
      <c r="Q537" s="11" t="s">
        <f t="shared" si="937"/>
      </c>
      <c r="R537" s="11">
        <f t="shared" si="943"/>
        <v>0</v>
      </c>
      <c r="S537" s="11">
        <f ref="S537:U537" t="shared" si="1441">E537</f>
        <v>0</v>
      </c>
      <c r="T537" s="11">
        <f t="shared" si="1441"/>
        <v>0</v>
      </c>
      <c r="U537" s="11">
        <f t="shared" si="1441"/>
        <v>0</v>
      </c>
      <c r="V537" s="11">
        <f t="shared" si="938"/>
      </c>
      <c r="W537" s="11" t="s">
        <f t="shared" si="942"/>
      </c>
      <c r="X537" s="11" t="s">
        <f t="shared" si="939"/>
      </c>
    </row>
    <row r="538" ht="12.50" customHeight="true">
      <c r="A538" s="10"/>
      <c r="B538" s="11"/>
      <c r="C538" s="11"/>
      <c r="D538" s="11"/>
      <c r="E538" s="11"/>
      <c r="F538" s="11"/>
      <c r="G538" s="11"/>
      <c r="H538" s="11"/>
      <c r="I538" s="11"/>
      <c r="J538" s="11"/>
      <c r="K538" s="11" t="s">
        <f>""</f>
      </c>
      <c r="L538" s="11" t="s">
        <f t="shared" si="944"/>
      </c>
      <c r="M538" s="8" t="s">
        <f t="shared" si="940"/>
      </c>
      <c r="N538" s="11"/>
      <c r="O538" s="10">
        <f ref="O538:P538" t="shared" si="1724">A538</f>
        <v>0</v>
      </c>
      <c r="P538" s="11">
        <f t="shared" si="1724"/>
        <v>0</v>
      </c>
      <c r="Q538" s="11" t="s">
        <f t="shared" si="937"/>
      </c>
      <c r="R538" s="11">
        <f t="shared" si="943"/>
        <v>0</v>
      </c>
      <c r="S538" s="11">
        <f ref="S538:U538" t="shared" si="1725">E538</f>
        <v>0</v>
      </c>
      <c r="T538" s="11">
        <f t="shared" si="1725"/>
        <v>0</v>
      </c>
      <c r="U538" s="11">
        <f t="shared" si="1725"/>
        <v>0</v>
      </c>
      <c r="V538" s="11">
        <f t="shared" si="938"/>
      </c>
      <c r="W538" s="11" t="s">
        <f t="shared" si="942"/>
      </c>
      <c r="X538" s="11" t="s">
        <f t="shared" si="939"/>
      </c>
    </row>
    <row r="539" ht="12.50" customHeight="true">
      <c r="A539" s="10"/>
      <c r="B539" s="11"/>
      <c r="C539" s="11"/>
      <c r="D539" s="11"/>
      <c r="E539" s="11"/>
      <c r="F539" s="11"/>
      <c r="G539" s="11"/>
      <c r="H539" s="11"/>
      <c r="I539" s="11"/>
      <c r="J539" s="11"/>
      <c r="K539" s="11" t="s">
        <f>""</f>
      </c>
      <c r="L539" s="11" t="s">
        <f t="shared" si="944"/>
      </c>
      <c r="M539" s="8" t="s">
        <f t="shared" si="940"/>
      </c>
      <c r="N539" s="11"/>
      <c r="O539" s="10">
        <f ref="O539:P539" t="shared" si="25">A539</f>
        <v>0</v>
      </c>
      <c r="P539" s="11">
        <f t="shared" si="25"/>
        <v>0</v>
      </c>
      <c r="Q539" s="11" t="s">
        <f t="shared" si="937"/>
      </c>
      <c r="R539" s="11">
        <f t="shared" si="943"/>
        <v>0</v>
      </c>
      <c r="S539" s="11">
        <f ref="S539:U539" t="shared" si="24">E539</f>
        <v>0</v>
      </c>
      <c r="T539" s="11">
        <f t="shared" si="24"/>
        <v>0</v>
      </c>
      <c r="U539" s="11">
        <f t="shared" si="24"/>
        <v>0</v>
      </c>
      <c r="V539" s="11">
        <f t="shared" si="938"/>
      </c>
      <c r="W539" s="11" t="s">
        <f t="shared" si="942"/>
      </c>
      <c r="X539" s="11" t="s">
        <f t="shared" si="939"/>
      </c>
    </row>
    <row r="540" ht="12.50" customHeight="true">
      <c r="A540" s="10"/>
      <c r="B540" s="11"/>
      <c r="C540" s="11"/>
      <c r="D540" s="11"/>
      <c r="E540" s="11"/>
      <c r="F540" s="11"/>
      <c r="G540" s="11"/>
      <c r="H540" s="11"/>
      <c r="I540" s="11"/>
      <c r="J540" s="11"/>
      <c r="K540" s="11" t="s">
        <f>""</f>
      </c>
      <c r="L540" s="11" t="s">
        <f t="shared" si="944"/>
      </c>
      <c r="M540" s="8" t="s">
        <f t="shared" si="940"/>
      </c>
      <c r="N540" s="11"/>
      <c r="O540" s="10">
        <f ref="O540:P540" t="shared" si="1805">A540</f>
        <v>0</v>
      </c>
      <c r="P540" s="11">
        <f t="shared" si="1805"/>
        <v>0</v>
      </c>
      <c r="Q540" s="11" t="s">
        <f t="shared" si="937"/>
      </c>
      <c r="R540" s="11">
        <f t="shared" si="943"/>
        <v>0</v>
      </c>
      <c r="S540" s="11">
        <f ref="S540:U540" t="shared" si="1804">E540</f>
        <v>0</v>
      </c>
      <c r="T540" s="11">
        <f t="shared" si="1804"/>
        <v>0</v>
      </c>
      <c r="U540" s="11">
        <f t="shared" si="1804"/>
        <v>0</v>
      </c>
      <c r="V540" s="11">
        <f t="shared" si="938"/>
      </c>
      <c r="W540" s="11" t="s">
        <f t="shared" si="942"/>
      </c>
      <c r="X540" s="11" t="s">
        <f t="shared" si="939"/>
      </c>
    </row>
    <row r="541" ht="12.50" customHeight="true">
      <c r="A541" s="10"/>
      <c r="B541" s="11"/>
      <c r="C541" s="11"/>
      <c r="D541" s="11"/>
      <c r="E541" s="11"/>
      <c r="F541" s="11"/>
      <c r="G541" s="11"/>
      <c r="H541" s="11"/>
      <c r="I541" s="11"/>
      <c r="J541" s="11"/>
      <c r="K541" s="11" t="s">
        <f>""</f>
      </c>
      <c r="L541" s="11" t="s">
        <f t="shared" si="944"/>
      </c>
      <c r="M541" s="8" t="s">
        <f t="shared" si="940"/>
      </c>
      <c r="N541" s="11"/>
      <c r="O541" s="10">
        <f ref="O541:P541" t="shared" si="1375">A541</f>
        <v>0</v>
      </c>
      <c r="P541" s="11">
        <f t="shared" si="1375"/>
        <v>0</v>
      </c>
      <c r="Q541" s="11" t="s">
        <f t="shared" si="937"/>
      </c>
      <c r="R541" s="11">
        <f t="shared" si="943"/>
        <v>0</v>
      </c>
      <c r="S541" s="11">
        <f ref="S541:U541" t="shared" si="1374">E541</f>
        <v>0</v>
      </c>
      <c r="T541" s="11">
        <f t="shared" si="1374"/>
        <v>0</v>
      </c>
      <c r="U541" s="11">
        <f t="shared" si="1374"/>
        <v>0</v>
      </c>
      <c r="V541" s="11">
        <f t="shared" si="938"/>
      </c>
      <c r="W541" s="11" t="s">
        <f t="shared" si="942"/>
      </c>
      <c r="X541" s="11" t="s">
        <f t="shared" si="939"/>
      </c>
    </row>
    <row r="542" ht="12.50" customHeight="true">
      <c r="A542" s="10"/>
      <c r="B542" s="11"/>
      <c r="C542" s="11"/>
      <c r="D542" s="11"/>
      <c r="E542" s="11"/>
      <c r="F542" s="11"/>
      <c r="G542" s="11"/>
      <c r="H542" s="11"/>
      <c r="I542" s="11"/>
      <c r="J542" s="11"/>
      <c r="K542" s="11" t="s">
        <f>""</f>
      </c>
      <c r="L542" s="11" t="s">
        <f t="shared" si="944"/>
      </c>
      <c r="M542" s="8" t="s">
        <f t="shared" si="940"/>
      </c>
      <c r="N542" s="11"/>
      <c r="O542" s="10">
        <f ref="O542:P542" t="shared" si="105">A542</f>
        <v>0</v>
      </c>
      <c r="P542" s="11">
        <f t="shared" si="105"/>
        <v>0</v>
      </c>
      <c r="Q542" s="11" t="s">
        <f t="shared" si="937"/>
      </c>
      <c r="R542" s="11">
        <f t="shared" si="943"/>
        <v>0</v>
      </c>
      <c r="S542" s="11">
        <f ref="S542:U542" t="shared" si="104">E542</f>
        <v>0</v>
      </c>
      <c r="T542" s="11">
        <f t="shared" si="104"/>
        <v>0</v>
      </c>
      <c r="U542" s="11">
        <f t="shared" si="104"/>
        <v>0</v>
      </c>
      <c r="V542" s="11">
        <f t="shared" si="938"/>
      </c>
      <c r="W542" s="11" t="s">
        <f t="shared" si="942"/>
      </c>
      <c r="X542" s="11" t="s">
        <f t="shared" si="939"/>
      </c>
    </row>
    <row r="543" ht="12.50" customHeight="true">
      <c r="A543" s="10"/>
      <c r="B543" s="11"/>
      <c r="C543" s="11"/>
      <c r="D543" s="11"/>
      <c r="E543" s="11"/>
      <c r="F543" s="11"/>
      <c r="G543" s="11"/>
      <c r="H543" s="11"/>
      <c r="I543" s="11"/>
      <c r="J543" s="11"/>
      <c r="K543" s="11" t="s">
        <f>""</f>
      </c>
      <c r="L543" s="11" t="s">
        <f t="shared" si="944"/>
      </c>
      <c r="M543" s="8" t="s">
        <f t="shared" si="940"/>
      </c>
      <c r="N543" s="11"/>
      <c r="O543" s="10">
        <f ref="O543:P543" t="shared" si="1730">A543</f>
        <v>0</v>
      </c>
      <c r="P543" s="11">
        <f t="shared" si="1730"/>
        <v>0</v>
      </c>
      <c r="Q543" s="11" t="s">
        <f t="shared" si="937"/>
      </c>
      <c r="R543" s="11">
        <f t="shared" si="943"/>
        <v>0</v>
      </c>
      <c r="S543" s="11">
        <f ref="S543:U543" t="shared" si="1731">E543</f>
        <v>0</v>
      </c>
      <c r="T543" s="11">
        <f t="shared" si="1731"/>
        <v>0</v>
      </c>
      <c r="U543" s="11">
        <f t="shared" si="1731"/>
        <v>0</v>
      </c>
      <c r="V543" s="11">
        <f t="shared" si="938"/>
      </c>
      <c r="W543" s="11" t="s">
        <f t="shared" si="942"/>
      </c>
      <c r="X543" s="11" t="s">
        <f t="shared" si="939"/>
      </c>
    </row>
    <row r="544" ht="12.50" customHeight="true">
      <c r="A544" s="10"/>
      <c r="B544" s="11"/>
      <c r="C544" s="11"/>
      <c r="D544" s="11"/>
      <c r="E544" s="11"/>
      <c r="F544" s="11"/>
      <c r="G544" s="11"/>
      <c r="H544" s="11"/>
      <c r="I544" s="11"/>
      <c r="J544" s="11"/>
      <c r="K544" s="11" t="s">
        <f>""</f>
      </c>
      <c r="L544" s="11" t="s">
        <f t="shared" si="944"/>
      </c>
      <c r="M544" s="8" t="s">
        <f t="shared" si="940"/>
      </c>
      <c r="N544" s="11"/>
      <c r="O544" s="10">
        <f ref="O544:P544" t="shared" si="1766">A544</f>
        <v>0</v>
      </c>
      <c r="P544" s="11">
        <f t="shared" si="1766"/>
        <v>0</v>
      </c>
      <c r="Q544" s="11" t="s">
        <f t="shared" si="937"/>
      </c>
      <c r="R544" s="11">
        <f t="shared" si="943"/>
        <v>0</v>
      </c>
      <c r="S544" s="11">
        <f ref="S544:U544" t="shared" si="1767">E544</f>
        <v>0</v>
      </c>
      <c r="T544" s="11">
        <f t="shared" si="1767"/>
        <v>0</v>
      </c>
      <c r="U544" s="11">
        <f t="shared" si="1767"/>
        <v>0</v>
      </c>
      <c r="V544" s="11">
        <f t="shared" si="938"/>
      </c>
      <c r="W544" s="11" t="s">
        <f t="shared" si="942"/>
      </c>
      <c r="X544" s="11" t="s">
        <f t="shared" si="939"/>
      </c>
    </row>
    <row r="545" ht="12.50" customHeight="true">
      <c r="A545" s="10"/>
      <c r="B545" s="11"/>
      <c r="C545" s="11"/>
      <c r="D545" s="11"/>
      <c r="E545" s="11"/>
      <c r="F545" s="11"/>
      <c r="G545" s="11"/>
      <c r="H545" s="11"/>
      <c r="I545" s="11"/>
      <c r="J545" s="11"/>
      <c r="K545" s="11" t="s">
        <f>""</f>
      </c>
      <c r="L545" s="11" t="s">
        <f t="shared" si="944"/>
      </c>
      <c r="M545" s="8" t="s">
        <f t="shared" si="940"/>
      </c>
      <c r="N545" s="11"/>
      <c r="O545" s="10">
        <f ref="O545:P545" t="shared" si="1994">A545</f>
        <v>0</v>
      </c>
      <c r="P545" s="11">
        <f t="shared" si="1994"/>
        <v>0</v>
      </c>
      <c r="Q545" s="11" t="s">
        <f t="shared" si="937"/>
      </c>
      <c r="R545" s="11">
        <f t="shared" si="943"/>
        <v>0</v>
      </c>
      <c r="S545" s="11">
        <f ref="S545:U545" t="shared" si="1995">E545</f>
        <v>0</v>
      </c>
      <c r="T545" s="11">
        <f t="shared" si="1995"/>
        <v>0</v>
      </c>
      <c r="U545" s="11">
        <f t="shared" si="1995"/>
        <v>0</v>
      </c>
      <c r="V545" s="11">
        <f t="shared" si="938"/>
      </c>
      <c r="W545" s="11" t="s">
        <f t="shared" si="942"/>
      </c>
      <c r="X545" s="11" t="s">
        <f t="shared" si="939"/>
      </c>
    </row>
    <row r="546" ht="12.50" customHeight="true">
      <c r="A546" s="10"/>
      <c r="B546" s="11"/>
      <c r="C546" s="11"/>
      <c r="D546" s="11"/>
      <c r="E546" s="11"/>
      <c r="F546" s="11"/>
      <c r="G546" s="11"/>
      <c r="H546" s="11"/>
      <c r="I546" s="11"/>
      <c r="J546" s="11"/>
      <c r="K546" s="11" t="s">
        <f>""</f>
      </c>
      <c r="L546" s="11" t="s">
        <f t="shared" si="944"/>
      </c>
      <c r="M546" s="8" t="s">
        <f t="shared" si="940"/>
      </c>
      <c r="N546" s="11"/>
      <c r="O546" s="10">
        <f ref="O546:P546" t="shared" si="1263">A546</f>
        <v>0</v>
      </c>
      <c r="P546" s="11">
        <f t="shared" si="1263"/>
        <v>0</v>
      </c>
      <c r="Q546" s="11" t="s">
        <f t="shared" si="937"/>
      </c>
      <c r="R546" s="11">
        <f t="shared" si="943"/>
        <v>0</v>
      </c>
      <c r="S546" s="11">
        <f ref="S546:U546" t="shared" si="1262">E546</f>
        <v>0</v>
      </c>
      <c r="T546" s="11">
        <f t="shared" si="1262"/>
        <v>0</v>
      </c>
      <c r="U546" s="11">
        <f t="shared" si="1262"/>
        <v>0</v>
      </c>
      <c r="V546" s="11">
        <f t="shared" si="938"/>
      </c>
      <c r="W546" s="11" t="s">
        <f t="shared" si="942"/>
      </c>
      <c r="X546" s="11" t="s">
        <f t="shared" si="939"/>
      </c>
    </row>
    <row r="547" ht="12.50" customHeight="true">
      <c r="A547" s="10"/>
      <c r="B547" s="11"/>
      <c r="C547" s="11"/>
      <c r="D547" s="11"/>
      <c r="E547" s="11"/>
      <c r="F547" s="11"/>
      <c r="G547" s="11"/>
      <c r="H547" s="11"/>
      <c r="I547" s="11"/>
      <c r="J547" s="11"/>
      <c r="K547" s="11" t="s">
        <f>""</f>
      </c>
      <c r="L547" s="11" t="s">
        <f t="shared" si="944"/>
      </c>
      <c r="M547" s="8" t="s">
        <f t="shared" si="940"/>
      </c>
      <c r="N547" s="11"/>
      <c r="O547" s="10">
        <f ref="O547:P547" t="shared" si="1351">A547</f>
        <v>0</v>
      </c>
      <c r="P547" s="11">
        <f t="shared" si="1351"/>
        <v>0</v>
      </c>
      <c r="Q547" s="11" t="s">
        <f t="shared" si="937"/>
      </c>
      <c r="R547" s="11">
        <f t="shared" si="943"/>
        <v>0</v>
      </c>
      <c r="S547" s="11">
        <f ref="S547:U547" t="shared" si="1350">E547</f>
        <v>0</v>
      </c>
      <c r="T547" s="11">
        <f t="shared" si="1350"/>
        <v>0</v>
      </c>
      <c r="U547" s="11">
        <f t="shared" si="1350"/>
        <v>0</v>
      </c>
      <c r="V547" s="11">
        <f t="shared" si="938"/>
      </c>
      <c r="W547" s="11" t="s">
        <f t="shared" si="942"/>
      </c>
      <c r="X547" s="11" t="s">
        <f t="shared" si="939"/>
      </c>
    </row>
    <row r="548" ht="12.50" customHeight="true">
      <c r="A548" s="10"/>
      <c r="B548" s="11"/>
      <c r="C548" s="11"/>
      <c r="D548" s="11"/>
      <c r="E548" s="11"/>
      <c r="F548" s="11"/>
      <c r="G548" s="11"/>
      <c r="H548" s="11"/>
      <c r="I548" s="11"/>
      <c r="J548" s="11"/>
      <c r="K548" s="11" t="s">
        <f>""</f>
      </c>
      <c r="L548" s="11" t="s">
        <f t="shared" si="944"/>
      </c>
      <c r="M548" s="8" t="s">
        <f t="shared" si="940"/>
      </c>
      <c r="N548" s="11"/>
      <c r="O548" s="10">
        <f ref="O548:P548" t="shared" si="1005">A548</f>
        <v>0</v>
      </c>
      <c r="P548" s="11">
        <f t="shared" si="1005"/>
        <v>0</v>
      </c>
      <c r="Q548" s="11" t="s">
        <f t="shared" si="937"/>
      </c>
      <c r="R548" s="11">
        <f t="shared" si="943"/>
        <v>0</v>
      </c>
      <c r="S548" s="11">
        <f ref="S548:U548" t="shared" si="1006">E548</f>
        <v>0</v>
      </c>
      <c r="T548" s="11">
        <f t="shared" si="1006"/>
        <v>0</v>
      </c>
      <c r="U548" s="11">
        <f t="shared" si="1006"/>
        <v>0</v>
      </c>
      <c r="V548" s="11">
        <f t="shared" si="938"/>
      </c>
      <c r="W548" s="11" t="s">
        <f t="shared" si="942"/>
      </c>
      <c r="X548" s="11" t="s">
        <f t="shared" si="939"/>
      </c>
    </row>
    <row r="549" ht="12.50" customHeight="true">
      <c r="A549" s="10"/>
      <c r="B549" s="11"/>
      <c r="C549" s="11"/>
      <c r="D549" s="11"/>
      <c r="E549" s="11"/>
      <c r="F549" s="11"/>
      <c r="G549" s="11"/>
      <c r="H549" s="11"/>
      <c r="I549" s="11"/>
      <c r="J549" s="11"/>
      <c r="K549" s="11" t="s">
        <f>""</f>
      </c>
      <c r="L549" s="11" t="s">
        <f t="shared" si="944"/>
      </c>
      <c r="M549" s="8" t="s">
        <f t="shared" si="940"/>
      </c>
      <c r="N549" s="11"/>
      <c r="O549" s="10">
        <f ref="O549:P549" t="shared" si="1026">A549</f>
        <v>0</v>
      </c>
      <c r="P549" s="11">
        <f t="shared" si="1026"/>
        <v>0</v>
      </c>
      <c r="Q549" s="11" t="s">
        <f t="shared" si="937"/>
      </c>
      <c r="R549" s="11">
        <f t="shared" si="943"/>
        <v>0</v>
      </c>
      <c r="S549" s="11">
        <f ref="S549:U549" t="shared" si="1025">E549</f>
        <v>0</v>
      </c>
      <c r="T549" s="11">
        <f t="shared" si="1025"/>
        <v>0</v>
      </c>
      <c r="U549" s="11">
        <f t="shared" si="1025"/>
        <v>0</v>
      </c>
      <c r="V549" s="11">
        <f t="shared" si="938"/>
      </c>
      <c r="W549" s="11" t="s">
        <f t="shared" si="942"/>
      </c>
      <c r="X549" s="11" t="s">
        <f t="shared" si="939"/>
      </c>
    </row>
    <row r="550" ht="12.50" customHeight="true">
      <c r="A550" s="10"/>
      <c r="B550" s="11"/>
      <c r="C550" s="11"/>
      <c r="D550" s="11"/>
      <c r="E550" s="11"/>
      <c r="F550" s="11"/>
      <c r="G550" s="11"/>
      <c r="H550" s="11"/>
      <c r="I550" s="11"/>
      <c r="J550" s="11"/>
      <c r="K550" s="11" t="s">
        <f>""</f>
      </c>
      <c r="L550" s="11" t="s">
        <f t="shared" si="944"/>
      </c>
      <c r="M550" s="8" t="s">
        <f t="shared" si="940"/>
      </c>
      <c r="N550" s="11"/>
      <c r="O550" s="10">
        <f ref="O550:P550" t="shared" si="1901">A550</f>
        <v>0</v>
      </c>
      <c r="P550" s="11">
        <f t="shared" si="1901"/>
        <v>0</v>
      </c>
      <c r="Q550" s="11" t="s">
        <f t="shared" si="937"/>
      </c>
      <c r="R550" s="11">
        <f t="shared" si="943"/>
        <v>0</v>
      </c>
      <c r="S550" s="11">
        <f ref="S550:U550" t="shared" si="1900">E550</f>
        <v>0</v>
      </c>
      <c r="T550" s="11">
        <f t="shared" si="1900"/>
        <v>0</v>
      </c>
      <c r="U550" s="11">
        <f t="shared" si="1900"/>
        <v>0</v>
      </c>
      <c r="V550" s="11">
        <f t="shared" si="938"/>
      </c>
      <c r="W550" s="11" t="s">
        <f t="shared" si="942"/>
      </c>
      <c r="X550" s="11" t="s">
        <f t="shared" si="939"/>
      </c>
    </row>
    <row r="551" ht="12.50" customHeight="true">
      <c r="A551" s="10"/>
      <c r="B551" s="11"/>
      <c r="C551" s="11"/>
      <c r="D551" s="11"/>
      <c r="E551" s="11"/>
      <c r="F551" s="11"/>
      <c r="G551" s="11"/>
      <c r="H551" s="11"/>
      <c r="I551" s="11"/>
      <c r="J551" s="11"/>
      <c r="K551" s="11" t="s">
        <f>""</f>
      </c>
      <c r="L551" s="11" t="s">
        <f t="shared" si="944"/>
      </c>
      <c r="M551" s="8" t="s">
        <f t="shared" si="940"/>
      </c>
      <c r="N551" s="11"/>
      <c r="O551" s="10">
        <f ref="O551:P551" t="shared" si="389">A551</f>
        <v>0</v>
      </c>
      <c r="P551" s="11">
        <f t="shared" si="389"/>
        <v>0</v>
      </c>
      <c r="Q551" s="11" t="s">
        <f t="shared" si="937"/>
      </c>
      <c r="R551" s="11">
        <f t="shared" si="943"/>
        <v>0</v>
      </c>
      <c r="S551" s="11">
        <f ref="S551:U551" t="shared" si="388">E551</f>
        <v>0</v>
      </c>
      <c r="T551" s="11">
        <f t="shared" si="388"/>
        <v>0</v>
      </c>
      <c r="U551" s="11">
        <f t="shared" si="388"/>
        <v>0</v>
      </c>
      <c r="V551" s="11">
        <f t="shared" si="938"/>
      </c>
      <c r="W551" s="11" t="s">
        <f t="shared" si="942"/>
      </c>
      <c r="X551" s="11" t="s">
        <f t="shared" si="939"/>
      </c>
    </row>
    <row r="552" ht="12.50" customHeight="true">
      <c r="A552" s="10"/>
      <c r="B552" s="11"/>
      <c r="C552" s="11"/>
      <c r="D552" s="11"/>
      <c r="E552" s="11"/>
      <c r="F552" s="11"/>
      <c r="G552" s="11"/>
      <c r="H552" s="11"/>
      <c r="I552" s="11"/>
      <c r="J552" s="11"/>
      <c r="K552" s="11" t="s">
        <f>""</f>
      </c>
      <c r="L552" s="11" t="s">
        <f t="shared" si="944"/>
      </c>
      <c r="M552" s="8" t="s">
        <f t="shared" si="940"/>
      </c>
      <c r="N552" s="11"/>
      <c r="O552" s="10">
        <f ref="O552:P552" t="shared" si="439">A552</f>
        <v>0</v>
      </c>
      <c r="P552" s="11">
        <f t="shared" si="439"/>
        <v>0</v>
      </c>
      <c r="Q552" s="11" t="s">
        <f t="shared" si="937"/>
      </c>
      <c r="R552" s="11">
        <f t="shared" si="943"/>
        <v>0</v>
      </c>
      <c r="S552" s="11">
        <f ref="S552:U552" t="shared" si="438">E552</f>
        <v>0</v>
      </c>
      <c r="T552" s="11">
        <f t="shared" si="438"/>
        <v>0</v>
      </c>
      <c r="U552" s="11">
        <f t="shared" si="438"/>
        <v>0</v>
      </c>
      <c r="V552" s="11">
        <f t="shared" si="938"/>
      </c>
      <c r="W552" s="11" t="s">
        <f t="shared" si="942"/>
      </c>
      <c r="X552" s="11" t="s">
        <f t="shared" si="939"/>
      </c>
    </row>
    <row r="553" ht="12.50" customHeight="true">
      <c r="A553" s="10"/>
      <c r="B553" s="11"/>
      <c r="C553" s="11"/>
      <c r="D553" s="11"/>
      <c r="E553" s="11"/>
      <c r="F553" s="11"/>
      <c r="G553" s="11"/>
      <c r="H553" s="11"/>
      <c r="I553" s="11"/>
      <c r="J553" s="11"/>
      <c r="K553" s="11" t="s">
        <f>""</f>
      </c>
      <c r="L553" s="11" t="s">
        <f t="shared" si="944"/>
      </c>
      <c r="M553" s="8" t="s">
        <f t="shared" si="940"/>
      </c>
      <c r="N553" s="11"/>
      <c r="O553" s="10">
        <f ref="O553:P553" t="shared" si="57">A553</f>
        <v>0</v>
      </c>
      <c r="P553" s="11">
        <f t="shared" si="57"/>
        <v>0</v>
      </c>
      <c r="Q553" s="11" t="s">
        <f t="shared" si="937"/>
      </c>
      <c r="R553" s="11">
        <f t="shared" si="943"/>
        <v>0</v>
      </c>
      <c r="S553" s="11">
        <f ref="S553:U553" t="shared" si="56">E553</f>
        <v>0</v>
      </c>
      <c r="T553" s="11">
        <f t="shared" si="56"/>
        <v>0</v>
      </c>
      <c r="U553" s="11">
        <f t="shared" si="56"/>
        <v>0</v>
      </c>
      <c r="V553" s="11">
        <f t="shared" si="938"/>
      </c>
      <c r="W553" s="11" t="s">
        <f t="shared" si="942"/>
      </c>
      <c r="X553" s="11" t="s">
        <f t="shared" si="939"/>
      </c>
    </row>
    <row r="554" ht="12.50" customHeight="true">
      <c r="A554" s="10"/>
      <c r="B554" s="11"/>
      <c r="C554" s="11"/>
      <c r="D554" s="11"/>
      <c r="E554" s="11"/>
      <c r="F554" s="11"/>
      <c r="G554" s="11"/>
      <c r="H554" s="11"/>
      <c r="I554" s="11"/>
      <c r="J554" s="11"/>
      <c r="K554" s="11" t="s">
        <f>""</f>
      </c>
      <c r="L554" s="11" t="s">
        <f t="shared" si="944"/>
      </c>
      <c r="M554" s="8" t="s">
        <f t="shared" si="940"/>
      </c>
      <c r="N554" s="11"/>
      <c r="O554" s="10">
        <f ref="O554:P554" t="shared" si="519">A554</f>
        <v>0</v>
      </c>
      <c r="P554" s="11">
        <f t="shared" si="519"/>
        <v>0</v>
      </c>
      <c r="Q554" s="11" t="s">
        <f t="shared" si="937"/>
      </c>
      <c r="R554" s="11">
        <f t="shared" si="943"/>
        <v>0</v>
      </c>
      <c r="S554" s="11">
        <f ref="S554:U554" t="shared" si="518">E554</f>
        <v>0</v>
      </c>
      <c r="T554" s="11">
        <f t="shared" si="518"/>
        <v>0</v>
      </c>
      <c r="U554" s="11">
        <f t="shared" si="518"/>
        <v>0</v>
      </c>
      <c r="V554" s="11">
        <f t="shared" si="938"/>
      </c>
      <c r="W554" s="11" t="s">
        <f t="shared" si="942"/>
      </c>
      <c r="X554" s="11" t="s">
        <f t="shared" si="939"/>
      </c>
    </row>
    <row r="555" ht="12.50" customHeight="true">
      <c r="A555" s="10"/>
      <c r="B555" s="11"/>
      <c r="C555" s="11"/>
      <c r="D555" s="11"/>
      <c r="E555" s="11"/>
      <c r="F555" s="11"/>
      <c r="G555" s="11"/>
      <c r="H555" s="11"/>
      <c r="I555" s="11"/>
      <c r="J555" s="11"/>
      <c r="K555" s="11" t="s">
        <f>""</f>
      </c>
      <c r="L555" s="11" t="s">
        <f t="shared" si="944"/>
      </c>
      <c r="M555" s="8" t="s">
        <f t="shared" si="940"/>
      </c>
      <c r="N555" s="11"/>
      <c r="O555" s="10">
        <f ref="O555:P555" t="shared" si="1610">A555</f>
        <v>0</v>
      </c>
      <c r="P555" s="11">
        <f t="shared" si="1610"/>
        <v>0</v>
      </c>
      <c r="Q555" s="11" t="s">
        <f t="shared" si="937"/>
      </c>
      <c r="R555" s="11">
        <f t="shared" si="943"/>
        <v>0</v>
      </c>
      <c r="S555" s="11">
        <f ref="S555:U555" t="shared" si="1611">E555</f>
        <v>0</v>
      </c>
      <c r="T555" s="11">
        <f t="shared" si="1611"/>
        <v>0</v>
      </c>
      <c r="U555" s="11">
        <f t="shared" si="1611"/>
        <v>0</v>
      </c>
      <c r="V555" s="11">
        <f t="shared" si="938"/>
      </c>
      <c r="W555" s="11" t="s">
        <f t="shared" si="942"/>
      </c>
      <c r="X555" s="11" t="s">
        <f t="shared" si="939"/>
      </c>
    </row>
    <row r="556" ht="12.50" customHeight="true">
      <c r="A556" s="10"/>
      <c r="B556" s="11"/>
      <c r="C556" s="11"/>
      <c r="D556" s="11"/>
      <c r="E556" s="11"/>
      <c r="F556" s="11"/>
      <c r="G556" s="11"/>
      <c r="H556" s="11"/>
      <c r="I556" s="11"/>
      <c r="J556" s="11"/>
      <c r="K556" s="11" t="s">
        <f>""</f>
      </c>
      <c r="L556" s="11" t="s">
        <f t="shared" si="944"/>
      </c>
      <c r="M556" s="8" t="s">
        <f t="shared" si="940"/>
      </c>
      <c r="N556" s="11"/>
      <c r="O556" s="10">
        <f ref="O556:P556" t="shared" si="126">A556</f>
        <v>0</v>
      </c>
      <c r="P556" s="11">
        <f t="shared" si="126"/>
        <v>0</v>
      </c>
      <c r="Q556" s="11" t="s">
        <f t="shared" si="937"/>
      </c>
      <c r="R556" s="11">
        <f t="shared" si="943"/>
        <v>0</v>
      </c>
      <c r="S556" s="11">
        <f ref="S556:U556" t="shared" si="127">E556</f>
        <v>0</v>
      </c>
      <c r="T556" s="11">
        <f t="shared" si="127"/>
        <v>0</v>
      </c>
      <c r="U556" s="11">
        <f t="shared" si="127"/>
        <v>0</v>
      </c>
      <c r="V556" s="11">
        <f t="shared" si="938"/>
      </c>
      <c r="W556" s="11" t="s">
        <f t="shared" si="942"/>
      </c>
      <c r="X556" s="11" t="s">
        <f t="shared" si="939"/>
      </c>
    </row>
    <row r="557" ht="12.50" customHeight="true">
      <c r="A557" s="10"/>
      <c r="B557" s="11"/>
      <c r="C557" s="11"/>
      <c r="D557" s="11"/>
      <c r="E557" s="11"/>
      <c r="F557" s="11"/>
      <c r="G557" s="11"/>
      <c r="H557" s="11"/>
      <c r="I557" s="11"/>
      <c r="J557" s="11"/>
      <c r="K557" s="11" t="s">
        <f>""</f>
      </c>
      <c r="L557" s="11" t="s">
        <f t="shared" si="944"/>
      </c>
      <c r="M557" s="8" t="s">
        <f t="shared" si="940"/>
      </c>
      <c r="N557" s="11"/>
      <c r="O557" s="10">
        <f ref="O557:P557" t="shared" si="1331">A557</f>
        <v>0</v>
      </c>
      <c r="P557" s="11">
        <f t="shared" si="1331"/>
        <v>0</v>
      </c>
      <c r="Q557" s="11" t="s">
        <f t="shared" si="937"/>
      </c>
      <c r="R557" s="11">
        <f t="shared" si="943"/>
        <v>0</v>
      </c>
      <c r="S557" s="11">
        <f ref="S557:U557" t="shared" si="1330">E557</f>
        <v>0</v>
      </c>
      <c r="T557" s="11">
        <f t="shared" si="1330"/>
        <v>0</v>
      </c>
      <c r="U557" s="11">
        <f t="shared" si="1330"/>
        <v>0</v>
      </c>
      <c r="V557" s="11">
        <f t="shared" si="938"/>
      </c>
      <c r="W557" s="11" t="s">
        <f t="shared" si="942"/>
      </c>
      <c r="X557" s="11" t="s">
        <f t="shared" si="939"/>
      </c>
    </row>
    <row r="558" ht="12.50" customHeight="true">
      <c r="A558" s="10"/>
      <c r="B558" s="11"/>
      <c r="C558" s="11"/>
      <c r="D558" s="11"/>
      <c r="E558" s="11"/>
      <c r="F558" s="11"/>
      <c r="G558" s="11"/>
      <c r="H558" s="11"/>
      <c r="I558" s="11"/>
      <c r="J558" s="11"/>
      <c r="K558" s="11" t="s">
        <f>""</f>
      </c>
      <c r="L558" s="11" t="s">
        <f t="shared" si="944"/>
      </c>
      <c r="M558" s="8" t="s">
        <f t="shared" si="940"/>
      </c>
      <c r="N558" s="11"/>
      <c r="O558" s="10">
        <f ref="O558:P558" t="shared" si="557">A558</f>
        <v>0</v>
      </c>
      <c r="P558" s="11">
        <f t="shared" si="557"/>
        <v>0</v>
      </c>
      <c r="Q558" s="11" t="s">
        <f t="shared" si="937"/>
      </c>
      <c r="R558" s="11">
        <f t="shared" si="943"/>
        <v>0</v>
      </c>
      <c r="S558" s="11">
        <f ref="S558:U558" t="shared" si="556">E558</f>
        <v>0</v>
      </c>
      <c r="T558" s="11">
        <f t="shared" si="556"/>
        <v>0</v>
      </c>
      <c r="U558" s="11">
        <f t="shared" si="556"/>
        <v>0</v>
      </c>
      <c r="V558" s="11">
        <f t="shared" si="938"/>
      </c>
      <c r="W558" s="11" t="s">
        <f t="shared" si="942"/>
      </c>
      <c r="X558" s="11" t="s">
        <f t="shared" si="939"/>
      </c>
    </row>
    <row r="559" ht="12.50" customHeight="true">
      <c r="A559" s="10"/>
      <c r="B559" s="11"/>
      <c r="C559" s="11"/>
      <c r="D559" s="11"/>
      <c r="E559" s="11"/>
      <c r="F559" s="11"/>
      <c r="G559" s="11"/>
      <c r="H559" s="11"/>
      <c r="I559" s="11"/>
      <c r="J559" s="11"/>
      <c r="K559" s="11" t="s">
        <f>""</f>
      </c>
      <c r="L559" s="11" t="s">
        <f t="shared" si="944"/>
      </c>
      <c r="M559" s="8" t="s">
        <f t="shared" si="940"/>
      </c>
      <c r="N559" s="11"/>
      <c r="O559" s="10">
        <f ref="O559:P559" t="shared" si="1843">A559</f>
        <v>0</v>
      </c>
      <c r="P559" s="11">
        <f t="shared" si="1843"/>
        <v>0</v>
      </c>
      <c r="Q559" s="11" t="s">
        <f t="shared" si="937"/>
      </c>
      <c r="R559" s="11">
        <f t="shared" si="943"/>
        <v>0</v>
      </c>
      <c r="S559" s="11">
        <f ref="S559:U559" t="shared" si="1842">E559</f>
        <v>0</v>
      </c>
      <c r="T559" s="11">
        <f t="shared" si="1842"/>
        <v>0</v>
      </c>
      <c r="U559" s="11">
        <f t="shared" si="1842"/>
        <v>0</v>
      </c>
      <c r="V559" s="11">
        <f t="shared" si="938"/>
      </c>
      <c r="W559" s="11" t="s">
        <f t="shared" si="942"/>
      </c>
      <c r="X559" s="11" t="s">
        <f t="shared" si="939"/>
      </c>
    </row>
    <row r="560" ht="12.50" customHeight="true">
      <c r="A560" s="10"/>
      <c r="B560" s="11"/>
      <c r="C560" s="11"/>
      <c r="D560" s="11"/>
      <c r="E560" s="11"/>
      <c r="F560" s="11"/>
      <c r="G560" s="11"/>
      <c r="H560" s="11"/>
      <c r="I560" s="11"/>
      <c r="J560" s="11"/>
      <c r="K560" s="11" t="s">
        <f>""</f>
      </c>
      <c r="L560" s="11" t="s">
        <f t="shared" si="944"/>
      </c>
      <c r="M560" s="8" t="s">
        <f t="shared" si="940"/>
      </c>
      <c r="N560" s="11"/>
      <c r="O560" s="10">
        <f ref="O560:P560" t="shared" si="485">A560</f>
        <v>0</v>
      </c>
      <c r="P560" s="11">
        <f t="shared" si="485"/>
        <v>0</v>
      </c>
      <c r="Q560" s="11" t="s">
        <f t="shared" si="937"/>
      </c>
      <c r="R560" s="11">
        <f t="shared" si="943"/>
        <v>0</v>
      </c>
      <c r="S560" s="11">
        <f ref="S560:U560" t="shared" si="484">E560</f>
        <v>0</v>
      </c>
      <c r="T560" s="11">
        <f t="shared" si="484"/>
        <v>0</v>
      </c>
      <c r="U560" s="11">
        <f t="shared" si="484"/>
        <v>0</v>
      </c>
      <c r="V560" s="11">
        <f t="shared" si="938"/>
      </c>
      <c r="W560" s="11" t="s">
        <f t="shared" si="942"/>
      </c>
      <c r="X560" s="11" t="s">
        <f t="shared" si="939"/>
      </c>
    </row>
    <row r="561" ht="12.50" customHeight="true">
      <c r="A561" s="10"/>
      <c r="B561" s="11"/>
      <c r="C561" s="11"/>
      <c r="D561" s="11"/>
      <c r="E561" s="11"/>
      <c r="F561" s="11"/>
      <c r="G561" s="11"/>
      <c r="H561" s="11"/>
      <c r="I561" s="11"/>
      <c r="J561" s="11"/>
      <c r="K561" s="11" t="s">
        <f>""</f>
      </c>
      <c r="L561" s="11" t="s">
        <f t="shared" si="944"/>
      </c>
      <c r="M561" s="8" t="s">
        <f t="shared" si="940"/>
      </c>
      <c r="N561" s="11"/>
      <c r="O561" s="10">
        <f ref="O561:P561" t="shared" si="2015">A561</f>
        <v>0</v>
      </c>
      <c r="P561" s="11">
        <f t="shared" si="2015"/>
        <v>0</v>
      </c>
      <c r="Q561" s="11" t="s">
        <f t="shared" si="937"/>
      </c>
      <c r="R561" s="11">
        <f t="shared" si="943"/>
        <v>0</v>
      </c>
      <c r="S561" s="11">
        <f ref="S561:U561" t="shared" si="2014">E561</f>
        <v>0</v>
      </c>
      <c r="T561" s="11">
        <f t="shared" si="2014"/>
        <v>0</v>
      </c>
      <c r="U561" s="11">
        <f t="shared" si="2014"/>
        <v>0</v>
      </c>
      <c r="V561" s="11">
        <f t="shared" si="938"/>
      </c>
      <c r="W561" s="11" t="s">
        <f t="shared" si="942"/>
      </c>
      <c r="X561" s="11" t="s">
        <f t="shared" si="939"/>
      </c>
    </row>
    <row r="562" ht="12.50" customHeight="true">
      <c r="A562" s="10"/>
      <c r="B562" s="11"/>
      <c r="C562" s="11"/>
      <c r="D562" s="11"/>
      <c r="E562" s="11"/>
      <c r="F562" s="11"/>
      <c r="G562" s="11"/>
      <c r="H562" s="11"/>
      <c r="I562" s="11"/>
      <c r="J562" s="11"/>
      <c r="K562" s="11" t="s">
        <f>""</f>
      </c>
      <c r="L562" s="11" t="s">
        <f t="shared" si="944"/>
      </c>
      <c r="M562" s="8" t="s">
        <f t="shared" si="940"/>
      </c>
      <c r="N562" s="11"/>
      <c r="O562" s="10">
        <f ref="O562:P562" t="shared" si="1218">A562</f>
        <v>0</v>
      </c>
      <c r="P562" s="11">
        <f t="shared" si="1218"/>
        <v>0</v>
      </c>
      <c r="Q562" s="11" t="s">
        <f t="shared" si="937"/>
      </c>
      <c r="R562" s="11">
        <f t="shared" si="943"/>
        <v>0</v>
      </c>
      <c r="S562" s="11">
        <f ref="S562:U562" t="shared" si="1217">E562</f>
        <v>0</v>
      </c>
      <c r="T562" s="11">
        <f t="shared" si="1217"/>
        <v>0</v>
      </c>
      <c r="U562" s="11">
        <f t="shared" si="1217"/>
        <v>0</v>
      </c>
      <c r="V562" s="11">
        <f t="shared" si="938"/>
      </c>
      <c r="W562" s="11" t="s">
        <f t="shared" si="942"/>
      </c>
      <c r="X562" s="11" t="s">
        <f t="shared" si="939"/>
      </c>
    </row>
    <row r="563" ht="12.50" customHeight="true">
      <c r="A563" s="10"/>
      <c r="B563" s="11"/>
      <c r="C563" s="11"/>
      <c r="D563" s="11"/>
      <c r="E563" s="11"/>
      <c r="F563" s="11"/>
      <c r="G563" s="11"/>
      <c r="H563" s="11"/>
      <c r="I563" s="11"/>
      <c r="J563" s="11"/>
      <c r="K563" s="11" t="s">
        <f>""</f>
      </c>
      <c r="L563" s="11" t="s">
        <f t="shared" si="944"/>
      </c>
      <c r="M563" s="8" t="s">
        <f t="shared" si="940"/>
      </c>
      <c r="N563" s="11"/>
      <c r="O563" s="10">
        <f ref="O563:P563" t="shared" si="1617">A563</f>
        <v>0</v>
      </c>
      <c r="P563" s="11">
        <f t="shared" si="1617"/>
        <v>0</v>
      </c>
      <c r="Q563" s="11" t="s">
        <f t="shared" si="937"/>
      </c>
      <c r="R563" s="11">
        <f t="shared" si="943"/>
        <v>0</v>
      </c>
      <c r="S563" s="11">
        <f ref="S563:U563" t="shared" si="1616">E563</f>
        <v>0</v>
      </c>
      <c r="T563" s="11">
        <f t="shared" si="1616"/>
        <v>0</v>
      </c>
      <c r="U563" s="11">
        <f t="shared" si="1616"/>
        <v>0</v>
      </c>
      <c r="V563" s="11">
        <f t="shared" si="938"/>
      </c>
      <c r="W563" s="11" t="s">
        <f t="shared" si="942"/>
      </c>
      <c r="X563" s="11" t="s">
        <f t="shared" si="939"/>
      </c>
    </row>
    <row r="564" ht="12.50" customHeight="true">
      <c r="A564" s="10"/>
      <c r="B564" s="11"/>
      <c r="C564" s="11"/>
      <c r="D564" s="11"/>
      <c r="E564" s="11"/>
      <c r="F564" s="11"/>
      <c r="G564" s="11"/>
      <c r="H564" s="11"/>
      <c r="I564" s="11"/>
      <c r="J564" s="11"/>
      <c r="K564" s="11" t="s">
        <f>""</f>
      </c>
      <c r="L564" s="11" t="s">
        <f t="shared" si="944"/>
      </c>
      <c r="M564" s="8" t="s">
        <f t="shared" si="940"/>
      </c>
      <c r="N564" s="11"/>
      <c r="O564" s="10">
        <f ref="O564:P564" t="shared" si="1172">A564</f>
        <v>0</v>
      </c>
      <c r="P564" s="11">
        <f t="shared" si="1172"/>
        <v>0</v>
      </c>
      <c r="Q564" s="11" t="s">
        <f t="shared" si="937"/>
      </c>
      <c r="R564" s="11">
        <f t="shared" si="943"/>
        <v>0</v>
      </c>
      <c r="S564" s="11">
        <f ref="S564:U564" t="shared" si="1171">E564</f>
        <v>0</v>
      </c>
      <c r="T564" s="11">
        <f t="shared" si="1171"/>
        <v>0</v>
      </c>
      <c r="U564" s="11">
        <f t="shared" si="1171"/>
        <v>0</v>
      </c>
      <c r="V564" s="11">
        <f t="shared" si="938"/>
      </c>
      <c r="W564" s="11" t="s">
        <f t="shared" si="942"/>
      </c>
      <c r="X564" s="11" t="s">
        <f t="shared" si="939"/>
      </c>
    </row>
    <row r="565" ht="12.50" customHeight="true">
      <c r="A565" s="10"/>
      <c r="B565" s="11"/>
      <c r="C565" s="11"/>
      <c r="D565" s="11"/>
      <c r="E565" s="11"/>
      <c r="F565" s="11"/>
      <c r="G565" s="11"/>
      <c r="H565" s="11"/>
      <c r="I565" s="11"/>
      <c r="J565" s="11"/>
      <c r="K565" s="11" t="s">
        <f>""</f>
      </c>
      <c r="L565" s="11" t="s">
        <f t="shared" si="944"/>
      </c>
      <c r="M565" s="8" t="s">
        <f t="shared" si="940"/>
      </c>
      <c r="N565" s="11"/>
      <c r="O565" s="10">
        <f ref="O565:P565" t="shared" si="211">A565</f>
        <v>0</v>
      </c>
      <c r="P565" s="11">
        <f t="shared" si="211"/>
        <v>0</v>
      </c>
      <c r="Q565" s="11" t="s">
        <f t="shared" si="937"/>
      </c>
      <c r="R565" s="11">
        <f t="shared" si="943"/>
        <v>0</v>
      </c>
      <c r="S565" s="11">
        <f ref="S565:U565" t="shared" si="212">E565</f>
        <v>0</v>
      </c>
      <c r="T565" s="11">
        <f t="shared" si="212"/>
        <v>0</v>
      </c>
      <c r="U565" s="11">
        <f t="shared" si="212"/>
        <v>0</v>
      </c>
      <c r="V565" s="11">
        <f t="shared" si="938"/>
      </c>
      <c r="W565" s="11" t="s">
        <f t="shared" si="942"/>
      </c>
      <c r="X565" s="11" t="s">
        <f t="shared" si="939"/>
      </c>
    </row>
    <row r="566" ht="12.50" customHeight="true">
      <c r="A566" s="10"/>
      <c r="B566" s="11"/>
      <c r="C566" s="11"/>
      <c r="D566" s="11"/>
      <c r="E566" s="11"/>
      <c r="F566" s="11"/>
      <c r="G566" s="11"/>
      <c r="H566" s="11"/>
      <c r="I566" s="11"/>
      <c r="J566" s="11"/>
      <c r="K566" s="11" t="s">
        <f>""</f>
      </c>
      <c r="L566" s="11" t="s">
        <f t="shared" si="944"/>
      </c>
      <c r="M566" s="8" t="s">
        <f t="shared" si="940"/>
      </c>
      <c r="N566" s="11"/>
      <c r="O566" s="10">
        <f ref="O566:P566" t="shared" si="1412">A566</f>
        <v>0</v>
      </c>
      <c r="P566" s="11">
        <f t="shared" si="1412"/>
        <v>0</v>
      </c>
      <c r="Q566" s="11" t="s">
        <f t="shared" si="937"/>
      </c>
      <c r="R566" s="11">
        <f t="shared" si="943"/>
        <v>0</v>
      </c>
      <c r="S566" s="11">
        <f ref="S566:U566" t="shared" si="1413">E566</f>
        <v>0</v>
      </c>
      <c r="T566" s="11">
        <f t="shared" si="1413"/>
        <v>0</v>
      </c>
      <c r="U566" s="11">
        <f t="shared" si="1413"/>
        <v>0</v>
      </c>
      <c r="V566" s="11">
        <f t="shared" si="938"/>
      </c>
      <c r="W566" s="11" t="s">
        <f t="shared" si="942"/>
      </c>
      <c r="X566" s="11" t="s">
        <f t="shared" si="939"/>
      </c>
    </row>
    <row r="567" ht="12.50" customHeight="true">
      <c r="A567" s="10"/>
      <c r="B567" s="11"/>
      <c r="C567" s="11"/>
      <c r="D567" s="11"/>
      <c r="E567" s="11"/>
      <c r="F567" s="11"/>
      <c r="G567" s="11"/>
      <c r="H567" s="11"/>
      <c r="I567" s="11"/>
      <c r="J567" s="11"/>
      <c r="K567" s="11" t="s">
        <f>""</f>
      </c>
      <c r="L567" s="11" t="s">
        <f t="shared" si="944"/>
      </c>
      <c r="M567" s="8" t="s">
        <f t="shared" si="940"/>
      </c>
      <c r="N567" s="11"/>
      <c r="O567" s="10">
        <f ref="O567:P567" t="shared" si="1890">A567</f>
        <v>0</v>
      </c>
      <c r="P567" s="11">
        <f t="shared" si="1890"/>
        <v>0</v>
      </c>
      <c r="Q567" s="11" t="s">
        <f t="shared" si="937"/>
      </c>
      <c r="R567" s="11">
        <f t="shared" si="943"/>
        <v>0</v>
      </c>
      <c r="S567" s="11">
        <f ref="S567:U567" t="shared" si="1891">E567</f>
        <v>0</v>
      </c>
      <c r="T567" s="11">
        <f t="shared" si="1891"/>
        <v>0</v>
      </c>
      <c r="U567" s="11">
        <f t="shared" si="1891"/>
        <v>0</v>
      </c>
      <c r="V567" s="11">
        <f t="shared" si="938"/>
      </c>
      <c r="W567" s="11" t="s">
        <f t="shared" si="942"/>
      </c>
      <c r="X567" s="11" t="s">
        <f t="shared" si="939"/>
      </c>
    </row>
    <row r="568" ht="12.50" customHeight="true">
      <c r="A568" s="10"/>
      <c r="B568" s="11"/>
      <c r="C568" s="11"/>
      <c r="D568" s="11"/>
      <c r="E568" s="11"/>
      <c r="F568" s="11"/>
      <c r="G568" s="11"/>
      <c r="H568" s="11"/>
      <c r="I568" s="11"/>
      <c r="J568" s="11"/>
      <c r="K568" s="11" t="s">
        <f>""</f>
      </c>
      <c r="L568" s="11" t="s">
        <f t="shared" si="944"/>
      </c>
      <c r="M568" s="8" t="s">
        <f t="shared" si="940"/>
      </c>
      <c r="N568" s="11"/>
      <c r="O568" s="10">
        <f ref="O568:P568" t="shared" si="1757">A568</f>
        <v>0</v>
      </c>
      <c r="P568" s="11">
        <f t="shared" si="1757"/>
        <v>0</v>
      </c>
      <c r="Q568" s="11" t="s">
        <f t="shared" si="937"/>
      </c>
      <c r="R568" s="11">
        <f t="shared" si="943"/>
        <v>0</v>
      </c>
      <c r="S568" s="11">
        <f ref="S568:U568" t="shared" si="1756">E568</f>
        <v>0</v>
      </c>
      <c r="T568" s="11">
        <f t="shared" si="1756"/>
        <v>0</v>
      </c>
      <c r="U568" s="11">
        <f t="shared" si="1756"/>
        <v>0</v>
      </c>
      <c r="V568" s="11">
        <f t="shared" si="938"/>
      </c>
      <c r="W568" s="11" t="s">
        <f t="shared" si="942"/>
      </c>
      <c r="X568" s="11" t="s">
        <f t="shared" si="939"/>
      </c>
    </row>
    <row r="569" ht="12.50" customHeight="true">
      <c r="A569" s="10"/>
      <c r="B569" s="11"/>
      <c r="C569" s="11"/>
      <c r="D569" s="11"/>
      <c r="E569" s="11"/>
      <c r="F569" s="11"/>
      <c r="G569" s="11"/>
      <c r="H569" s="11"/>
      <c r="I569" s="11"/>
      <c r="J569" s="11"/>
      <c r="K569" s="11" t="s">
        <f>""</f>
      </c>
      <c r="L569" s="11" t="s">
        <f t="shared" si="944"/>
      </c>
      <c r="M569" s="8" t="s">
        <f t="shared" si="940"/>
      </c>
      <c r="N569" s="11"/>
      <c r="O569" s="10">
        <f ref="O569:P569" t="shared" si="854">A569</f>
        <v>0</v>
      </c>
      <c r="P569" s="11">
        <f t="shared" si="854"/>
        <v>0</v>
      </c>
      <c r="Q569" s="11" t="s">
        <f t="shared" si="937"/>
      </c>
      <c r="R569" s="11">
        <f t="shared" si="943"/>
        <v>0</v>
      </c>
      <c r="S569" s="11">
        <f ref="S569:U569" t="shared" si="855">E569</f>
        <v>0</v>
      </c>
      <c r="T569" s="11">
        <f t="shared" si="855"/>
        <v>0</v>
      </c>
      <c r="U569" s="11">
        <f t="shared" si="855"/>
        <v>0</v>
      </c>
      <c r="V569" s="11">
        <f t="shared" si="938"/>
      </c>
      <c r="W569" s="11" t="s">
        <f t="shared" si="942"/>
      </c>
      <c r="X569" s="11" t="s">
        <f t="shared" si="939"/>
      </c>
    </row>
    <row r="570" ht="12.50" customHeight="true">
      <c r="A570" s="10"/>
      <c r="B570" s="11"/>
      <c r="C570" s="11"/>
      <c r="D570" s="11"/>
      <c r="E570" s="11"/>
      <c r="F570" s="11"/>
      <c r="G570" s="11"/>
      <c r="H570" s="11"/>
      <c r="I570" s="11"/>
      <c r="J570" s="11"/>
      <c r="K570" s="11" t="s">
        <f>""</f>
      </c>
      <c r="L570" s="11" t="s">
        <f t="shared" si="944"/>
      </c>
      <c r="M570" s="8" t="s">
        <f t="shared" si="940"/>
      </c>
      <c r="N570" s="11"/>
      <c r="O570" s="10">
        <f ref="O570:P570" t="shared" si="652">A570</f>
        <v>0</v>
      </c>
      <c r="P570" s="11">
        <f t="shared" si="652"/>
        <v>0</v>
      </c>
      <c r="Q570" s="11" t="s">
        <f t="shared" si="937"/>
      </c>
      <c r="R570" s="11">
        <f t="shared" si="943"/>
        <v>0</v>
      </c>
      <c r="S570" s="11">
        <f ref="S570:U570" t="shared" si="653">E570</f>
        <v>0</v>
      </c>
      <c r="T570" s="11">
        <f t="shared" si="653"/>
        <v>0</v>
      </c>
      <c r="U570" s="11">
        <f t="shared" si="653"/>
        <v>0</v>
      </c>
      <c r="V570" s="11">
        <f t="shared" si="938"/>
      </c>
      <c r="W570" s="11" t="s">
        <f t="shared" si="942"/>
      </c>
      <c r="X570" s="11" t="s">
        <f t="shared" si="939"/>
      </c>
    </row>
    <row r="571" ht="12.50" customHeight="true">
      <c r="A571" s="10"/>
      <c r="B571" s="11"/>
      <c r="C571" s="11"/>
      <c r="D571" s="11"/>
      <c r="E571" s="11"/>
      <c r="F571" s="11"/>
      <c r="G571" s="11"/>
      <c r="H571" s="11"/>
      <c r="I571" s="11"/>
      <c r="J571" s="11"/>
      <c r="K571" s="11" t="s">
        <f>""</f>
      </c>
      <c r="L571" s="11" t="s">
        <f t="shared" si="944"/>
      </c>
      <c r="M571" s="8" t="s">
        <f t="shared" si="940"/>
      </c>
      <c r="N571" s="11"/>
      <c r="O571" s="10">
        <f ref="O571:P571" t="shared" si="0">A571</f>
        <v>0</v>
      </c>
      <c r="P571" s="11">
        <f t="shared" si="0"/>
        <v>0</v>
      </c>
      <c r="Q571" s="11" t="s">
        <f t="shared" si="937"/>
      </c>
      <c r="R571" s="11">
        <f t="shared" si="943"/>
        <v>0</v>
      </c>
      <c r="S571" s="11">
        <f ref="S571:U571" t="shared" si="1">E571</f>
        <v>0</v>
      </c>
      <c r="T571" s="11">
        <f t="shared" si="1"/>
        <v>0</v>
      </c>
      <c r="U571" s="11">
        <f t="shared" si="1"/>
        <v>0</v>
      </c>
      <c r="V571" s="11">
        <f t="shared" si="938"/>
      </c>
      <c r="W571" s="11" t="s">
        <f t="shared" si="942"/>
      </c>
      <c r="X571" s="11" t="s">
        <f t="shared" si="939"/>
      </c>
    </row>
    <row r="572" ht="12.50" customHeight="true">
      <c r="A572" s="10"/>
      <c r="B572" s="11"/>
      <c r="C572" s="11"/>
      <c r="D572" s="11"/>
      <c r="E572" s="11"/>
      <c r="F572" s="11"/>
      <c r="G572" s="11"/>
      <c r="H572" s="11"/>
      <c r="I572" s="11"/>
      <c r="J572" s="11"/>
      <c r="K572" s="11" t="s">
        <f>""</f>
      </c>
      <c r="L572" s="11" t="s">
        <f t="shared" si="944"/>
      </c>
      <c r="M572" s="8" t="s">
        <f t="shared" si="940"/>
      </c>
      <c r="N572" s="11"/>
      <c r="O572" s="10">
        <f ref="O572:P572" t="shared" si="1575">A572</f>
        <v>0</v>
      </c>
      <c r="P572" s="11">
        <f t="shared" si="1575"/>
        <v>0</v>
      </c>
      <c r="Q572" s="11" t="s">
        <f t="shared" si="937"/>
      </c>
      <c r="R572" s="11">
        <f t="shared" si="943"/>
        <v>0</v>
      </c>
      <c r="S572" s="11">
        <f ref="S572:U572" t="shared" si="1574">E572</f>
        <v>0</v>
      </c>
      <c r="T572" s="11">
        <f t="shared" si="1574"/>
        <v>0</v>
      </c>
      <c r="U572" s="11">
        <f t="shared" si="1574"/>
        <v>0</v>
      </c>
      <c r="V572" s="11">
        <f t="shared" si="938"/>
      </c>
      <c r="W572" s="11" t="s">
        <f t="shared" si="942"/>
      </c>
      <c r="X572" s="11" t="s">
        <f t="shared" si="939"/>
      </c>
    </row>
    <row r="573" ht="12.50" customHeight="true">
      <c r="A573" s="10"/>
      <c r="B573" s="11"/>
      <c r="C573" s="11"/>
      <c r="D573" s="11"/>
      <c r="E573" s="11"/>
      <c r="F573" s="11"/>
      <c r="G573" s="11"/>
      <c r="H573" s="11"/>
      <c r="I573" s="11"/>
      <c r="J573" s="11"/>
      <c r="K573" s="11" t="s">
        <f>""</f>
      </c>
      <c r="L573" s="11" t="s">
        <f t="shared" si="944"/>
      </c>
      <c r="M573" s="8" t="s">
        <f t="shared" si="940"/>
      </c>
      <c r="N573" s="11"/>
      <c r="O573" s="10">
        <f ref="O573:P573" t="shared" si="674">A573</f>
        <v>0</v>
      </c>
      <c r="P573" s="11">
        <f t="shared" si="674"/>
        <v>0</v>
      </c>
      <c r="Q573" s="11" t="s">
        <f t="shared" si="937"/>
      </c>
      <c r="R573" s="11">
        <f t="shared" si="943"/>
        <v>0</v>
      </c>
      <c r="S573" s="11">
        <f ref="S573:U573" t="shared" si="675">E573</f>
        <v>0</v>
      </c>
      <c r="T573" s="11">
        <f t="shared" si="675"/>
        <v>0</v>
      </c>
      <c r="U573" s="11">
        <f t="shared" si="675"/>
        <v>0</v>
      </c>
      <c r="V573" s="11">
        <f t="shared" si="938"/>
      </c>
      <c r="W573" s="11" t="s">
        <f t="shared" si="942"/>
      </c>
      <c r="X573" s="11" t="s">
        <f t="shared" si="939"/>
      </c>
    </row>
    <row r="574" ht="12.50" customHeight="true">
      <c r="A574" s="10"/>
      <c r="B574" s="11"/>
      <c r="C574" s="11"/>
      <c r="D574" s="11"/>
      <c r="E574" s="11"/>
      <c r="F574" s="11"/>
      <c r="G574" s="11"/>
      <c r="H574" s="11"/>
      <c r="I574" s="11"/>
      <c r="J574" s="11"/>
      <c r="K574" s="11" t="s">
        <f>""</f>
      </c>
      <c r="L574" s="11" t="s">
        <f t="shared" si="944"/>
      </c>
      <c r="M574" s="8" t="s">
        <f t="shared" si="940"/>
      </c>
      <c r="N574" s="11"/>
      <c r="O574" s="10">
        <f ref="O574:P574" t="shared" si="1720">A574</f>
        <v>0</v>
      </c>
      <c r="P574" s="11">
        <f t="shared" si="1720"/>
        <v>0</v>
      </c>
      <c r="Q574" s="11" t="s">
        <f t="shared" si="937"/>
      </c>
      <c r="R574" s="11">
        <f t="shared" si="943"/>
        <v>0</v>
      </c>
      <c r="S574" s="11">
        <f ref="S574:U574" t="shared" si="1721">E574</f>
        <v>0</v>
      </c>
      <c r="T574" s="11">
        <f t="shared" si="1721"/>
        <v>0</v>
      </c>
      <c r="U574" s="11">
        <f t="shared" si="1721"/>
        <v>0</v>
      </c>
      <c r="V574" s="11">
        <f t="shared" si="938"/>
      </c>
      <c r="W574" s="11" t="s">
        <f t="shared" si="942"/>
      </c>
      <c r="X574" s="11" t="s">
        <f t="shared" si="939"/>
      </c>
    </row>
    <row r="575" ht="12.50" customHeight="true">
      <c r="A575" s="10"/>
      <c r="B575" s="11"/>
      <c r="C575" s="11"/>
      <c r="D575" s="11"/>
      <c r="E575" s="11"/>
      <c r="F575" s="11"/>
      <c r="G575" s="11"/>
      <c r="H575" s="11"/>
      <c r="I575" s="11"/>
      <c r="J575" s="11"/>
      <c r="K575" s="11" t="s">
        <f>""</f>
      </c>
      <c r="L575" s="11" t="s">
        <f t="shared" si="944"/>
      </c>
      <c r="M575" s="8" t="s">
        <f t="shared" si="940"/>
      </c>
      <c r="N575" s="11"/>
      <c r="O575" s="10">
        <f ref="O575:P575" t="shared" si="1861">A575</f>
        <v>0</v>
      </c>
      <c r="P575" s="11">
        <f t="shared" si="1861"/>
        <v>0</v>
      </c>
      <c r="Q575" s="11" t="s">
        <f t="shared" si="937"/>
      </c>
      <c r="R575" s="11">
        <f t="shared" si="943"/>
        <v>0</v>
      </c>
      <c r="S575" s="11">
        <f ref="S575:U575" t="shared" si="1860">E575</f>
        <v>0</v>
      </c>
      <c r="T575" s="11">
        <f t="shared" si="1860"/>
        <v>0</v>
      </c>
      <c r="U575" s="11">
        <f t="shared" si="1860"/>
        <v>0</v>
      </c>
      <c r="V575" s="11">
        <f t="shared" si="938"/>
      </c>
      <c r="W575" s="11" t="s">
        <f t="shared" si="942"/>
      </c>
      <c r="X575" s="11" t="s">
        <f t="shared" si="939"/>
      </c>
    </row>
    <row r="576" ht="12.50" customHeight="true">
      <c r="A576" s="10"/>
      <c r="B576" s="11"/>
      <c r="C576" s="11"/>
      <c r="D576" s="11"/>
      <c r="E576" s="11"/>
      <c r="F576" s="11"/>
      <c r="G576" s="11"/>
      <c r="H576" s="11"/>
      <c r="I576" s="11"/>
      <c r="J576" s="11"/>
      <c r="K576" s="11" t="s">
        <f>""</f>
      </c>
      <c r="L576" s="11" t="s">
        <f t="shared" si="944"/>
      </c>
      <c r="M576" s="8" t="s">
        <f t="shared" si="940"/>
      </c>
      <c r="N576" s="11"/>
      <c r="O576" s="10">
        <f ref="O576:P576" t="shared" si="1099">A576</f>
        <v>0</v>
      </c>
      <c r="P576" s="11">
        <f t="shared" si="1099"/>
        <v>0</v>
      </c>
      <c r="Q576" s="11" t="s">
        <f t="shared" si="937"/>
      </c>
      <c r="R576" s="11">
        <f t="shared" si="943"/>
        <v>0</v>
      </c>
      <c r="S576" s="11">
        <f ref="S576:U576" t="shared" si="1100">E576</f>
        <v>0</v>
      </c>
      <c r="T576" s="11">
        <f t="shared" si="1100"/>
        <v>0</v>
      </c>
      <c r="U576" s="11">
        <f t="shared" si="1100"/>
        <v>0</v>
      </c>
      <c r="V576" s="11">
        <f t="shared" si="938"/>
      </c>
      <c r="W576" s="11" t="s">
        <f t="shared" si="942"/>
      </c>
      <c r="X576" s="11" t="s">
        <f t="shared" si="939"/>
      </c>
    </row>
    <row r="577" ht="12.50" customHeight="true">
      <c r="A577" s="10"/>
      <c r="B577" s="11"/>
      <c r="C577" s="11"/>
      <c r="D577" s="11"/>
      <c r="E577" s="11"/>
      <c r="F577" s="11"/>
      <c r="G577" s="11"/>
      <c r="H577" s="11"/>
      <c r="I577" s="11"/>
      <c r="J577" s="11"/>
      <c r="K577" s="11" t="s">
        <f>""</f>
      </c>
      <c r="L577" s="11" t="s">
        <f t="shared" si="944"/>
      </c>
      <c r="M577" s="8" t="s">
        <f t="shared" si="940"/>
      </c>
      <c r="N577" s="11"/>
      <c r="O577" s="10">
        <f ref="O577:P577" t="shared" si="1547">A577</f>
        <v>0</v>
      </c>
      <c r="P577" s="11">
        <f t="shared" si="1547"/>
        <v>0</v>
      </c>
      <c r="Q577" s="11" t="s">
        <f t="shared" si="937"/>
      </c>
      <c r="R577" s="11">
        <f t="shared" si="943"/>
        <v>0</v>
      </c>
      <c r="S577" s="11">
        <f ref="S577:U577" t="shared" si="1546">E577</f>
        <v>0</v>
      </c>
      <c r="T577" s="11">
        <f t="shared" si="1546"/>
        <v>0</v>
      </c>
      <c r="U577" s="11">
        <f t="shared" si="1546"/>
        <v>0</v>
      </c>
      <c r="V577" s="11">
        <f t="shared" si="938"/>
      </c>
      <c r="W577" s="11" t="s">
        <f t="shared" si="942"/>
      </c>
      <c r="X577" s="11" t="s">
        <f t="shared" si="939"/>
      </c>
    </row>
    <row r="578" ht="12.50" customHeight="true">
      <c r="A578" s="10"/>
      <c r="B578" s="11"/>
      <c r="C578" s="11"/>
      <c r="D578" s="11"/>
      <c r="E578" s="11"/>
      <c r="F578" s="11"/>
      <c r="G578" s="11"/>
      <c r="H578" s="11"/>
      <c r="I578" s="11"/>
      <c r="J578" s="11"/>
      <c r="K578" s="11" t="s">
        <f>""</f>
      </c>
      <c r="L578" s="11" t="s">
        <f t="shared" si="944"/>
      </c>
      <c r="M578" s="8" t="s">
        <f t="shared" si="940"/>
      </c>
      <c r="N578" s="11"/>
      <c r="O578" s="10">
        <f ref="O578:P578" t="shared" si="547">A578</f>
        <v>0</v>
      </c>
      <c r="P578" s="11">
        <f t="shared" si="547"/>
        <v>0</v>
      </c>
      <c r="Q578" s="11" t="s">
        <f t="shared" si="937"/>
      </c>
      <c r="R578" s="11">
        <f t="shared" si="943"/>
        <v>0</v>
      </c>
      <c r="S578" s="11">
        <f ref="S578:U578" t="shared" si="546">E578</f>
        <v>0</v>
      </c>
      <c r="T578" s="11">
        <f t="shared" si="546"/>
        <v>0</v>
      </c>
      <c r="U578" s="11">
        <f t="shared" si="546"/>
        <v>0</v>
      </c>
      <c r="V578" s="11">
        <f t="shared" si="938"/>
      </c>
      <c r="W578" s="11" t="s">
        <f t="shared" si="942"/>
      </c>
      <c r="X578" s="11" t="s">
        <f t="shared" si="939"/>
      </c>
    </row>
    <row r="579" ht="12.50" customHeight="true">
      <c r="A579" s="10"/>
      <c r="B579" s="11"/>
      <c r="C579" s="11"/>
      <c r="D579" s="11"/>
      <c r="E579" s="11"/>
      <c r="F579" s="11"/>
      <c r="G579" s="11"/>
      <c r="H579" s="11"/>
      <c r="I579" s="11"/>
      <c r="J579" s="11"/>
      <c r="K579" s="11" t="s">
        <f>""</f>
      </c>
      <c r="L579" s="11" t="s">
        <f t="shared" si="944"/>
      </c>
      <c r="M579" s="8" t="s">
        <f t="shared" si="940"/>
      </c>
      <c r="N579" s="11"/>
      <c r="O579" s="10">
        <f ref="O579:P579" t="shared" si="1187">A579</f>
        <v>0</v>
      </c>
      <c r="P579" s="11">
        <f t="shared" si="1187"/>
        <v>0</v>
      </c>
      <c r="Q579" s="11" t="s">
        <f t="shared" si="937"/>
      </c>
      <c r="R579" s="11">
        <f t="shared" si="943"/>
        <v>0</v>
      </c>
      <c r="S579" s="11">
        <f ref="S579:U579" t="shared" si="1188">E579</f>
        <v>0</v>
      </c>
      <c r="T579" s="11">
        <f t="shared" si="1188"/>
        <v>0</v>
      </c>
      <c r="U579" s="11">
        <f t="shared" si="1188"/>
        <v>0</v>
      </c>
      <c r="V579" s="11">
        <f t="shared" si="938"/>
      </c>
      <c r="W579" s="11" t="s">
        <f t="shared" si="942"/>
      </c>
      <c r="X579" s="11" t="s">
        <f t="shared" si="939"/>
      </c>
    </row>
    <row r="580" ht="12.50" customHeight="true">
      <c r="A580" s="10"/>
      <c r="B580" s="11"/>
      <c r="C580" s="11"/>
      <c r="D580" s="11"/>
      <c r="E580" s="11"/>
      <c r="F580" s="11"/>
      <c r="G580" s="11"/>
      <c r="H580" s="11"/>
      <c r="I580" s="11"/>
      <c r="J580" s="11"/>
      <c r="K580" s="11" t="s">
        <f>""</f>
      </c>
      <c r="L580" s="11" t="s">
        <f t="shared" si="944"/>
      </c>
      <c r="M580" s="8" t="s">
        <f t="shared" si="940"/>
      </c>
      <c r="N580" s="11"/>
      <c r="O580" s="10">
        <f ref="O580:P580" t="shared" si="717">A580</f>
        <v>0</v>
      </c>
      <c r="P580" s="11">
        <f t="shared" si="717"/>
        <v>0</v>
      </c>
      <c r="Q580" s="11" t="s">
        <f t="shared" si="937"/>
      </c>
      <c r="R580" s="11">
        <f t="shared" si="943"/>
        <v>0</v>
      </c>
      <c r="S580" s="11">
        <f ref="S580:U580" t="shared" si="716">E580</f>
        <v>0</v>
      </c>
      <c r="T580" s="11">
        <f t="shared" si="716"/>
        <v>0</v>
      </c>
      <c r="U580" s="11">
        <f t="shared" si="716"/>
        <v>0</v>
      </c>
      <c r="V580" s="11">
        <f t="shared" si="938"/>
      </c>
      <c r="W580" s="11" t="s">
        <f t="shared" si="942"/>
      </c>
      <c r="X580" s="11" t="s">
        <f t="shared" si="939"/>
      </c>
    </row>
    <row r="581" ht="12.50" customHeight="true">
      <c r="A581" s="10"/>
      <c r="B581" s="11"/>
      <c r="C581" s="11"/>
      <c r="D581" s="11"/>
      <c r="E581" s="11"/>
      <c r="F581" s="11"/>
      <c r="G581" s="11"/>
      <c r="H581" s="11"/>
      <c r="I581" s="11"/>
      <c r="J581" s="11"/>
      <c r="K581" s="11" t="s">
        <f>""</f>
      </c>
      <c r="L581" s="11" t="s">
        <f t="shared" si="944"/>
      </c>
      <c r="M581" s="8" t="s">
        <f t="shared" si="940"/>
      </c>
      <c r="N581" s="11"/>
      <c r="O581" s="10">
        <f ref="O581:P581" t="shared" si="644">A581</f>
        <v>0</v>
      </c>
      <c r="P581" s="11">
        <f t="shared" si="644"/>
        <v>0</v>
      </c>
      <c r="Q581" s="11" t="s">
        <f t="shared" si="937"/>
      </c>
      <c r="R581" s="11">
        <f t="shared" si="943"/>
        <v>0</v>
      </c>
      <c r="S581" s="11">
        <f ref="S581:U581" t="shared" si="645">E581</f>
        <v>0</v>
      </c>
      <c r="T581" s="11">
        <f t="shared" si="645"/>
        <v>0</v>
      </c>
      <c r="U581" s="11">
        <f t="shared" si="645"/>
        <v>0</v>
      </c>
      <c r="V581" s="11">
        <f t="shared" si="938"/>
      </c>
      <c r="W581" s="11" t="s">
        <f t="shared" si="942"/>
      </c>
      <c r="X581" s="11" t="s">
        <f t="shared" si="939"/>
      </c>
    </row>
    <row r="582" ht="12.50" customHeight="true">
      <c r="A582" s="10"/>
      <c r="B582" s="11"/>
      <c r="C582" s="11"/>
      <c r="D582" s="11"/>
      <c r="E582" s="11"/>
      <c r="F582" s="11"/>
      <c r="G582" s="11"/>
      <c r="H582" s="11"/>
      <c r="I582" s="11"/>
      <c r="J582" s="11"/>
      <c r="K582" s="11" t="s">
        <f>""</f>
      </c>
      <c r="L582" s="11" t="s">
        <f t="shared" si="944"/>
      </c>
      <c r="M582" s="8" t="s">
        <f t="shared" si="940"/>
      </c>
      <c r="N582" s="11"/>
      <c r="O582" s="10">
        <f ref="O582:P582" t="shared" si="251">A582</f>
        <v>0</v>
      </c>
      <c r="P582" s="11">
        <f t="shared" si="251"/>
        <v>0</v>
      </c>
      <c r="Q582" s="11" t="s">
        <f t="shared" si="937"/>
      </c>
      <c r="R582" s="11">
        <f t="shared" si="943"/>
        <v>0</v>
      </c>
      <c r="S582" s="11">
        <f ref="S582:U582" t="shared" si="250">E582</f>
        <v>0</v>
      </c>
      <c r="T582" s="11">
        <f t="shared" si="250"/>
        <v>0</v>
      </c>
      <c r="U582" s="11">
        <f t="shared" si="250"/>
        <v>0</v>
      </c>
      <c r="V582" s="11">
        <f t="shared" si="938"/>
      </c>
      <c r="W582" s="11" t="s">
        <f t="shared" si="942"/>
      </c>
      <c r="X582" s="11" t="s">
        <f t="shared" si="939"/>
      </c>
    </row>
    <row r="583" ht="12.50" customHeight="true">
      <c r="A583" s="10"/>
      <c r="B583" s="11"/>
      <c r="C583" s="11"/>
      <c r="D583" s="11"/>
      <c r="E583" s="11"/>
      <c r="F583" s="11"/>
      <c r="G583" s="11"/>
      <c r="H583" s="11"/>
      <c r="I583" s="11"/>
      <c r="J583" s="11"/>
      <c r="K583" s="11" t="s">
        <f>""</f>
      </c>
      <c r="L583" s="11" t="s">
        <f t="shared" si="944"/>
      </c>
      <c r="M583" s="8" t="s">
        <f t="shared" si="940"/>
      </c>
      <c r="N583" s="11"/>
      <c r="O583" s="10">
        <f ref="O583:P583" t="shared" si="367">A583</f>
        <v>0</v>
      </c>
      <c r="P583" s="11">
        <f t="shared" si="367"/>
        <v>0</v>
      </c>
      <c r="Q583" s="11" t="s">
        <f t="shared" si="937"/>
      </c>
      <c r="R583" s="11">
        <f t="shared" si="943"/>
        <v>0</v>
      </c>
      <c r="S583" s="11">
        <f ref="S583:U583" t="shared" si="366">E583</f>
        <v>0</v>
      </c>
      <c r="T583" s="11">
        <f t="shared" si="366"/>
        <v>0</v>
      </c>
      <c r="U583" s="11">
        <f t="shared" si="366"/>
        <v>0</v>
      </c>
      <c r="V583" s="11">
        <f t="shared" si="938"/>
      </c>
      <c r="W583" s="11" t="s">
        <f t="shared" si="942"/>
      </c>
      <c r="X583" s="11" t="s">
        <f t="shared" si="939"/>
      </c>
    </row>
    <row r="584" ht="12.50" customHeight="true">
      <c r="A584" s="10"/>
      <c r="B584" s="11"/>
      <c r="C584" s="11"/>
      <c r="D584" s="11"/>
      <c r="E584" s="11"/>
      <c r="F584" s="11"/>
      <c r="G584" s="11"/>
      <c r="H584" s="11"/>
      <c r="I584" s="11"/>
      <c r="J584" s="11"/>
      <c r="K584" s="11" t="s">
        <f>""</f>
      </c>
      <c r="L584" s="11" t="s">
        <f t="shared" si="944"/>
      </c>
      <c r="M584" s="8" t="s">
        <f t="shared" si="940"/>
      </c>
      <c r="N584" s="11"/>
      <c r="O584" s="10">
        <f ref="O584:P584" t="shared" si="1751">A584</f>
        <v>0</v>
      </c>
      <c r="P584" s="11">
        <f t="shared" si="1751"/>
        <v>0</v>
      </c>
      <c r="Q584" s="11" t="s">
        <f t="shared" si="937"/>
      </c>
      <c r="R584" s="11">
        <f t="shared" si="943"/>
        <v>0</v>
      </c>
      <c r="S584" s="11">
        <f ref="S584:U584" t="shared" si="1750">E584</f>
        <v>0</v>
      </c>
      <c r="T584" s="11">
        <f t="shared" si="1750"/>
        <v>0</v>
      </c>
      <c r="U584" s="11">
        <f t="shared" si="1750"/>
        <v>0</v>
      </c>
      <c r="V584" s="11">
        <f t="shared" si="938"/>
      </c>
      <c r="W584" s="11" t="s">
        <f t="shared" si="942"/>
      </c>
      <c r="X584" s="11" t="s">
        <f t="shared" si="939"/>
      </c>
    </row>
    <row r="585" ht="12.50" customHeight="true">
      <c r="A585" s="10"/>
      <c r="B585" s="11"/>
      <c r="C585" s="11"/>
      <c r="D585" s="11"/>
      <c r="E585" s="11"/>
      <c r="F585" s="11"/>
      <c r="G585" s="11"/>
      <c r="H585" s="11"/>
      <c r="I585" s="11"/>
      <c r="J585" s="11"/>
      <c r="K585" s="11" t="s">
        <f>""</f>
      </c>
      <c r="L585" s="11" t="s">
        <f t="shared" si="944"/>
      </c>
      <c r="M585" s="8" t="s">
        <f t="shared" si="940"/>
      </c>
      <c r="N585" s="11"/>
      <c r="O585" s="10">
        <f ref="O585:P585" t="shared" si="1460">A585</f>
        <v>0</v>
      </c>
      <c r="P585" s="11">
        <f t="shared" si="1460"/>
        <v>0</v>
      </c>
      <c r="Q585" s="11" t="s">
        <f t="shared" si="937"/>
      </c>
      <c r="R585" s="11">
        <f t="shared" si="943"/>
        <v>0</v>
      </c>
      <c r="S585" s="11">
        <f ref="S585:U585" t="shared" si="1461">E585</f>
        <v>0</v>
      </c>
      <c r="T585" s="11">
        <f t="shared" si="1461"/>
        <v>0</v>
      </c>
      <c r="U585" s="11">
        <f t="shared" si="1461"/>
        <v>0</v>
      </c>
      <c r="V585" s="11">
        <f t="shared" si="938"/>
      </c>
      <c r="W585" s="11" t="s">
        <f t="shared" si="942"/>
      </c>
      <c r="X585" s="11" t="s">
        <f t="shared" si="939"/>
      </c>
    </row>
    <row r="586" ht="12.50" customHeight="true">
      <c r="A586" s="10"/>
      <c r="B586" s="11"/>
      <c r="C586" s="11"/>
      <c r="D586" s="11"/>
      <c r="E586" s="11"/>
      <c r="F586" s="11"/>
      <c r="G586" s="11"/>
      <c r="H586" s="11"/>
      <c r="I586" s="11"/>
      <c r="J586" s="11"/>
      <c r="K586" s="11" t="s">
        <f>""</f>
      </c>
      <c r="L586" s="11" t="s">
        <f t="shared" si="944"/>
      </c>
      <c r="M586" s="8" t="s">
        <f t="shared" si="940"/>
      </c>
      <c r="N586" s="11"/>
      <c r="O586" s="10">
        <f ref="O586:P586" t="shared" si="260">A586</f>
        <v>0</v>
      </c>
      <c r="P586" s="11">
        <f t="shared" si="260"/>
        <v>0</v>
      </c>
      <c r="Q586" s="11" t="s">
        <f t="shared" si="937"/>
      </c>
      <c r="R586" s="11">
        <f t="shared" si="943"/>
        <v>0</v>
      </c>
      <c r="S586" s="11">
        <f ref="S586:U586" t="shared" si="261">E586</f>
        <v>0</v>
      </c>
      <c r="T586" s="11">
        <f t="shared" si="261"/>
        <v>0</v>
      </c>
      <c r="U586" s="11">
        <f t="shared" si="261"/>
        <v>0</v>
      </c>
      <c r="V586" s="11">
        <f t="shared" si="938"/>
      </c>
      <c r="W586" s="11" t="s">
        <f t="shared" si="942"/>
      </c>
      <c r="X586" s="11" t="s">
        <f t="shared" si="939"/>
      </c>
    </row>
    <row r="587" ht="12.50" customHeight="true">
      <c r="A587" s="10"/>
      <c r="B587" s="11"/>
      <c r="C587" s="11"/>
      <c r="D587" s="11"/>
      <c r="E587" s="11"/>
      <c r="F587" s="11"/>
      <c r="G587" s="11"/>
      <c r="H587" s="11"/>
      <c r="I587" s="11"/>
      <c r="J587" s="11"/>
      <c r="K587" s="11" t="s">
        <f>""</f>
      </c>
      <c r="L587" s="11" t="s">
        <f t="shared" si="944"/>
      </c>
      <c r="M587" s="8" t="s">
        <f t="shared" si="940"/>
      </c>
      <c r="N587" s="11"/>
      <c r="O587" s="10">
        <f ref="O587:P587" t="shared" si="1657">A587</f>
        <v>0</v>
      </c>
      <c r="P587" s="11">
        <f t="shared" si="1657"/>
        <v>0</v>
      </c>
      <c r="Q587" s="11" t="s">
        <f t="shared" si="937"/>
      </c>
      <c r="R587" s="11">
        <f t="shared" si="943"/>
        <v>0</v>
      </c>
      <c r="S587" s="11">
        <f ref="S587:U587" t="shared" si="1656">E587</f>
        <v>0</v>
      </c>
      <c r="T587" s="11">
        <f t="shared" si="1656"/>
        <v>0</v>
      </c>
      <c r="U587" s="11">
        <f t="shared" si="1656"/>
        <v>0</v>
      </c>
      <c r="V587" s="11">
        <f t="shared" si="938"/>
      </c>
      <c r="W587" s="11" t="s">
        <f t="shared" si="942"/>
      </c>
      <c r="X587" s="11" t="s">
        <f t="shared" si="939"/>
      </c>
    </row>
    <row r="588" ht="12.50" customHeight="true">
      <c r="A588" s="10"/>
      <c r="B588" s="11"/>
      <c r="C588" s="11"/>
      <c r="D588" s="11"/>
      <c r="E588" s="11"/>
      <c r="F588" s="11"/>
      <c r="G588" s="11"/>
      <c r="H588" s="11"/>
      <c r="I588" s="11"/>
      <c r="J588" s="11"/>
      <c r="K588" s="11" t="s">
        <f>""</f>
      </c>
      <c r="L588" s="11" t="s">
        <f t="shared" si="944"/>
      </c>
      <c r="M588" s="8" t="s">
        <f t="shared" si="940"/>
      </c>
      <c r="N588" s="11"/>
      <c r="O588" s="10">
        <f ref="O588:P588" t="shared" si="372">A588</f>
        <v>0</v>
      </c>
      <c r="P588" s="11">
        <f t="shared" si="372"/>
        <v>0</v>
      </c>
      <c r="Q588" s="11" t="s">
        <f t="shared" si="937"/>
      </c>
      <c r="R588" s="11">
        <f t="shared" si="943"/>
        <v>0</v>
      </c>
      <c r="S588" s="11">
        <f ref="S588:U588" t="shared" si="373">E588</f>
        <v>0</v>
      </c>
      <c r="T588" s="11">
        <f t="shared" si="373"/>
        <v>0</v>
      </c>
      <c r="U588" s="11">
        <f t="shared" si="373"/>
        <v>0</v>
      </c>
      <c r="V588" s="11">
        <f t="shared" si="938"/>
      </c>
      <c r="W588" s="11" t="s">
        <f t="shared" si="942"/>
      </c>
      <c r="X588" s="11" t="s">
        <f t="shared" si="939"/>
      </c>
    </row>
    <row r="589" ht="12.50" customHeight="true">
      <c r="A589" s="10"/>
      <c r="B589" s="11"/>
      <c r="C589" s="11"/>
      <c r="D589" s="11"/>
      <c r="E589" s="11"/>
      <c r="F589" s="11"/>
      <c r="G589" s="11"/>
      <c r="H589" s="11"/>
      <c r="I589" s="11"/>
      <c r="J589" s="11"/>
      <c r="K589" s="11" t="s">
        <f>""</f>
      </c>
      <c r="L589" s="11" t="s">
        <f t="shared" si="944"/>
      </c>
      <c r="M589" s="8" t="s">
        <f t="shared" si="940"/>
      </c>
      <c r="N589" s="11"/>
      <c r="O589" s="10">
        <f ref="O589:P589" t="shared" si="1851">A589</f>
        <v>0</v>
      </c>
      <c r="P589" s="11">
        <f t="shared" si="1851"/>
        <v>0</v>
      </c>
      <c r="Q589" s="11" t="s">
        <f t="shared" si="937"/>
      </c>
      <c r="R589" s="11">
        <f t="shared" si="943"/>
        <v>0</v>
      </c>
      <c r="S589" s="11">
        <f ref="S589:U589" t="shared" si="1850">E589</f>
        <v>0</v>
      </c>
      <c r="T589" s="11">
        <f t="shared" si="1850"/>
        <v>0</v>
      </c>
      <c r="U589" s="11">
        <f t="shared" si="1850"/>
        <v>0</v>
      </c>
      <c r="V589" s="11">
        <f t="shared" si="938"/>
      </c>
      <c r="W589" s="11" t="s">
        <f t="shared" si="942"/>
      </c>
      <c r="X589" s="11" t="s">
        <f t="shared" si="939"/>
      </c>
    </row>
    <row r="590" ht="12.50" customHeight="true">
      <c r="A590" s="10"/>
      <c r="B590" s="11"/>
      <c r="C590" s="11"/>
      <c r="D590" s="11"/>
      <c r="E590" s="11"/>
      <c r="F590" s="11"/>
      <c r="G590" s="11"/>
      <c r="H590" s="11"/>
      <c r="I590" s="11"/>
      <c r="J590" s="11"/>
      <c r="K590" s="11" t="s">
        <f>""</f>
      </c>
      <c r="L590" s="11" t="s">
        <f t="shared" si="944"/>
      </c>
      <c r="M590" s="8" t="s">
        <f t="shared" si="940"/>
      </c>
      <c r="N590" s="11"/>
      <c r="O590" s="10">
        <f ref="O590:P590" t="shared" si="969">A590</f>
        <v>0</v>
      </c>
      <c r="P590" s="11">
        <f t="shared" si="969"/>
        <v>0</v>
      </c>
      <c r="Q590" s="11" t="s">
        <f t="shared" si="937"/>
      </c>
      <c r="R590" s="11">
        <f t="shared" si="943"/>
        <v>0</v>
      </c>
      <c r="S590" s="11">
        <f ref="S590:U590" t="shared" si="970">E590</f>
        <v>0</v>
      </c>
      <c r="T590" s="11">
        <f t="shared" si="970"/>
        <v>0</v>
      </c>
      <c r="U590" s="11">
        <f t="shared" si="970"/>
        <v>0</v>
      </c>
      <c r="V590" s="11">
        <f t="shared" si="938"/>
      </c>
      <c r="W590" s="11" t="s">
        <f t="shared" si="942"/>
      </c>
      <c r="X590" s="11" t="s">
        <f t="shared" si="939"/>
      </c>
    </row>
    <row r="591" ht="12.50" customHeight="true">
      <c r="A591" s="10"/>
      <c r="B591" s="11"/>
      <c r="C591" s="11"/>
      <c r="D591" s="11"/>
      <c r="E591" s="11"/>
      <c r="F591" s="11"/>
      <c r="G591" s="11"/>
      <c r="H591" s="11"/>
      <c r="I591" s="11"/>
      <c r="J591" s="11"/>
      <c r="K591" s="11" t="s">
        <f>""</f>
      </c>
      <c r="L591" s="11" t="s">
        <f t="shared" si="944"/>
      </c>
      <c r="M591" s="8" t="s">
        <f t="shared" si="940"/>
      </c>
      <c r="N591" s="11"/>
      <c r="O591" s="10">
        <f ref="O591:P591" t="shared" si="610">A591</f>
        <v>0</v>
      </c>
      <c r="P591" s="11">
        <f t="shared" si="610"/>
        <v>0</v>
      </c>
      <c r="Q591" s="11" t="s">
        <f t="shared" si="937"/>
      </c>
      <c r="R591" s="11">
        <f t="shared" si="943"/>
        <v>0</v>
      </c>
      <c r="S591" s="11">
        <f ref="S591:U591" t="shared" si="611">E591</f>
        <v>0</v>
      </c>
      <c r="T591" s="11">
        <f t="shared" si="611"/>
        <v>0</v>
      </c>
      <c r="U591" s="11">
        <f t="shared" si="611"/>
        <v>0</v>
      </c>
      <c r="V591" s="11">
        <f t="shared" si="938"/>
      </c>
      <c r="W591" s="11" t="s">
        <f t="shared" si="942"/>
      </c>
      <c r="X591" s="11" t="s">
        <f t="shared" si="939"/>
      </c>
    </row>
    <row r="592" ht="12.50" customHeight="true">
      <c r="A592" s="10"/>
      <c r="B592" s="11"/>
      <c r="C592" s="11"/>
      <c r="D592" s="11"/>
      <c r="E592" s="11"/>
      <c r="F592" s="11"/>
      <c r="G592" s="11"/>
      <c r="H592" s="11"/>
      <c r="I592" s="11"/>
      <c r="J592" s="11"/>
      <c r="K592" s="11" t="s">
        <f>""</f>
      </c>
      <c r="L592" s="11" t="s">
        <f t="shared" si="944"/>
      </c>
      <c r="M592" s="8" t="s">
        <f t="shared" si="940"/>
      </c>
      <c r="N592" s="11"/>
      <c r="O592" s="10">
        <f ref="O592:P592" t="shared" si="1033">A592</f>
        <v>0</v>
      </c>
      <c r="P592" s="11">
        <f t="shared" si="1033"/>
        <v>0</v>
      </c>
      <c r="Q592" s="11" t="s">
        <f t="shared" si="937"/>
      </c>
      <c r="R592" s="11">
        <f t="shared" si="943"/>
        <v>0</v>
      </c>
      <c r="S592" s="11">
        <f ref="S592:U592" t="shared" si="1034">E592</f>
        <v>0</v>
      </c>
      <c r="T592" s="11">
        <f t="shared" si="1034"/>
        <v>0</v>
      </c>
      <c r="U592" s="11">
        <f t="shared" si="1034"/>
        <v>0</v>
      </c>
      <c r="V592" s="11">
        <f t="shared" si="938"/>
      </c>
      <c r="W592" s="11" t="s">
        <f t="shared" si="942"/>
      </c>
      <c r="X592" s="11" t="s">
        <f t="shared" si="939"/>
      </c>
    </row>
    <row r="593" ht="12.50" customHeight="true">
      <c r="A593" s="10"/>
      <c r="B593" s="11"/>
      <c r="C593" s="11"/>
      <c r="D593" s="11"/>
      <c r="E593" s="11"/>
      <c r="F593" s="11"/>
      <c r="G593" s="11"/>
      <c r="H593" s="11"/>
      <c r="I593" s="11"/>
      <c r="J593" s="11"/>
      <c r="K593" s="11" t="s">
        <f>""</f>
      </c>
      <c r="L593" s="11" t="s">
        <f t="shared" si="944"/>
      </c>
      <c r="M593" s="8" t="s">
        <f t="shared" si="940"/>
      </c>
      <c r="N593" s="11"/>
      <c r="O593" s="10">
        <f ref="O593:P593" t="shared" si="1514">A593</f>
        <v>0</v>
      </c>
      <c r="P593" s="11">
        <f t="shared" si="1514"/>
        <v>0</v>
      </c>
      <c r="Q593" s="11" t="s">
        <f t="shared" si="937"/>
      </c>
      <c r="R593" s="11">
        <f t="shared" si="943"/>
        <v>0</v>
      </c>
      <c r="S593" s="11">
        <f ref="S593:U593" t="shared" si="1515">E593</f>
        <v>0</v>
      </c>
      <c r="T593" s="11">
        <f t="shared" si="1515"/>
        <v>0</v>
      </c>
      <c r="U593" s="11">
        <f t="shared" si="1515"/>
        <v>0</v>
      </c>
      <c r="V593" s="11">
        <f t="shared" si="938"/>
      </c>
      <c r="W593" s="11" t="s">
        <f t="shared" si="942"/>
      </c>
      <c r="X593" s="11" t="s">
        <f t="shared" si="939"/>
      </c>
    </row>
    <row r="594" ht="12.50" customHeight="true">
      <c r="A594" s="10"/>
      <c r="B594" s="11"/>
      <c r="C594" s="11"/>
      <c r="D594" s="11"/>
      <c r="E594" s="11"/>
      <c r="F594" s="11"/>
      <c r="G594" s="11"/>
      <c r="H594" s="11"/>
      <c r="I594" s="11"/>
      <c r="J594" s="11"/>
      <c r="K594" s="11" t="s">
        <f>""</f>
      </c>
      <c r="L594" s="11" t="s">
        <f t="shared" si="944"/>
      </c>
      <c r="M594" s="8" t="s">
        <f t="shared" si="940"/>
      </c>
      <c r="N594" s="11"/>
      <c r="O594" s="10">
        <f ref="O594:P594" t="shared" si="771">A594</f>
        <v>0</v>
      </c>
      <c r="P594" s="11">
        <f t="shared" si="771"/>
        <v>0</v>
      </c>
      <c r="Q594" s="11" t="s">
        <f t="shared" si="937"/>
      </c>
      <c r="R594" s="11">
        <f t="shared" si="943"/>
        <v>0</v>
      </c>
      <c r="S594" s="11">
        <f ref="S594:U594" t="shared" si="770">E594</f>
        <v>0</v>
      </c>
      <c r="T594" s="11">
        <f t="shared" si="770"/>
        <v>0</v>
      </c>
      <c r="U594" s="11">
        <f t="shared" si="770"/>
        <v>0</v>
      </c>
      <c r="V594" s="11">
        <f t="shared" si="938"/>
      </c>
      <c r="W594" s="11" t="s">
        <f t="shared" si="942"/>
      </c>
      <c r="X594" s="11" t="s">
        <f t="shared" si="939"/>
      </c>
    </row>
    <row r="595" ht="12.50" customHeight="true">
      <c r="A595" s="10"/>
      <c r="B595" s="11"/>
      <c r="C595" s="11"/>
      <c r="D595" s="11"/>
      <c r="E595" s="11"/>
      <c r="F595" s="11"/>
      <c r="G595" s="11"/>
      <c r="H595" s="11"/>
      <c r="I595" s="11"/>
      <c r="J595" s="11"/>
      <c r="K595" s="11" t="s">
        <f>""</f>
      </c>
      <c r="L595" s="11" t="s">
        <f t="shared" si="944"/>
      </c>
      <c r="M595" s="8" t="s">
        <f t="shared" si="940"/>
      </c>
      <c r="N595" s="11"/>
      <c r="O595" s="10">
        <f ref="O595:P595" t="shared" si="348">A595</f>
        <v>0</v>
      </c>
      <c r="P595" s="11">
        <f t="shared" si="348"/>
        <v>0</v>
      </c>
      <c r="Q595" s="11" t="s">
        <f t="shared" si="937"/>
      </c>
      <c r="R595" s="11">
        <f t="shared" si="943"/>
        <v>0</v>
      </c>
      <c r="S595" s="11">
        <f ref="S595:U595" t="shared" si="349">E595</f>
        <v>0</v>
      </c>
      <c r="T595" s="11">
        <f t="shared" si="349"/>
        <v>0</v>
      </c>
      <c r="U595" s="11">
        <f t="shared" si="349"/>
        <v>0</v>
      </c>
      <c r="V595" s="11">
        <f t="shared" si="938"/>
      </c>
      <c r="W595" s="11" t="s">
        <f t="shared" si="942"/>
      </c>
      <c r="X595" s="11" t="s">
        <f t="shared" si="939"/>
      </c>
    </row>
    <row r="596" ht="12.50" customHeight="true">
      <c r="A596" s="10"/>
      <c r="B596" s="11"/>
      <c r="C596" s="11"/>
      <c r="D596" s="11"/>
      <c r="E596" s="11"/>
      <c r="F596" s="11"/>
      <c r="G596" s="11"/>
      <c r="H596" s="11"/>
      <c r="I596" s="11"/>
      <c r="J596" s="11"/>
      <c r="K596" s="11" t="s">
        <f>""</f>
      </c>
      <c r="L596" s="11" t="s">
        <f t="shared" si="944"/>
      </c>
      <c r="M596" s="8" t="s">
        <f t="shared" si="940"/>
      </c>
      <c r="N596" s="11"/>
      <c r="O596" s="10">
        <f ref="O596:P596" t="shared" si="447">A596</f>
        <v>0</v>
      </c>
      <c r="P596" s="11">
        <f t="shared" si="447"/>
        <v>0</v>
      </c>
      <c r="Q596" s="11" t="s">
        <f t="shared" si="937"/>
      </c>
      <c r="R596" s="11">
        <f t="shared" si="943"/>
        <v>0</v>
      </c>
      <c r="S596" s="11">
        <f ref="S596:U596" t="shared" si="446">E596</f>
        <v>0</v>
      </c>
      <c r="T596" s="11">
        <f t="shared" si="446"/>
        <v>0</v>
      </c>
      <c r="U596" s="11">
        <f t="shared" si="446"/>
        <v>0</v>
      </c>
      <c r="V596" s="11">
        <f t="shared" si="938"/>
      </c>
      <c r="W596" s="11" t="s">
        <f t="shared" si="942"/>
      </c>
      <c r="X596" s="11" t="s">
        <f t="shared" si="939"/>
      </c>
    </row>
    <row r="597" ht="12.50" customHeight="true">
      <c r="A597" s="10"/>
      <c r="B597" s="11"/>
      <c r="C597" s="11"/>
      <c r="D597" s="11"/>
      <c r="E597" s="11"/>
      <c r="F597" s="11"/>
      <c r="G597" s="11"/>
      <c r="H597" s="11"/>
      <c r="I597" s="11"/>
      <c r="J597" s="11"/>
      <c r="K597" s="11" t="s">
        <f>""</f>
      </c>
      <c r="L597" s="11" t="s">
        <f t="shared" si="944"/>
      </c>
      <c r="M597" s="8" t="s">
        <f t="shared" si="940"/>
      </c>
      <c r="N597" s="11"/>
      <c r="O597" s="10">
        <f ref="O597:P597" t="shared" si="1538">A597</f>
        <v>0</v>
      </c>
      <c r="P597" s="11">
        <f t="shared" si="1538"/>
        <v>0</v>
      </c>
      <c r="Q597" s="11" t="s">
        <f t="shared" si="937"/>
      </c>
      <c r="R597" s="11">
        <f t="shared" si="943"/>
        <v>0</v>
      </c>
      <c r="S597" s="11">
        <f ref="S597:U597" t="shared" si="1539">E597</f>
        <v>0</v>
      </c>
      <c r="T597" s="11">
        <f t="shared" si="1539"/>
        <v>0</v>
      </c>
      <c r="U597" s="11">
        <f t="shared" si="1539"/>
        <v>0</v>
      </c>
      <c r="V597" s="11">
        <f t="shared" si="938"/>
      </c>
      <c r="W597" s="11" t="s">
        <f t="shared" si="942"/>
      </c>
      <c r="X597" s="11" t="s">
        <f t="shared" si="939"/>
      </c>
    </row>
    <row r="598" ht="12.50" customHeight="true">
      <c r="A598" s="10"/>
      <c r="B598" s="11"/>
      <c r="C598" s="11"/>
      <c r="D598" s="11"/>
      <c r="E598" s="11"/>
      <c r="F598" s="11"/>
      <c r="G598" s="11"/>
      <c r="H598" s="11"/>
      <c r="I598" s="11"/>
      <c r="J598" s="11"/>
      <c r="K598" s="11" t="s">
        <f>""</f>
      </c>
      <c r="L598" s="11" t="s">
        <f t="shared" si="944"/>
      </c>
      <c r="M598" s="8" t="s">
        <f t="shared" si="940"/>
      </c>
      <c r="N598" s="11"/>
      <c r="O598" s="10">
        <f ref="O598:P598" t="shared" si="1071">A598</f>
        <v>0</v>
      </c>
      <c r="P598" s="11">
        <f t="shared" si="1071"/>
        <v>0</v>
      </c>
      <c r="Q598" s="11" t="s">
        <f t="shared" si="937"/>
      </c>
      <c r="R598" s="11">
        <f t="shared" si="943"/>
        <v>0</v>
      </c>
      <c r="S598" s="11">
        <f ref="S598:U598" t="shared" si="1072">E598</f>
        <v>0</v>
      </c>
      <c r="T598" s="11">
        <f t="shared" si="1072"/>
        <v>0</v>
      </c>
      <c r="U598" s="11">
        <f t="shared" si="1072"/>
        <v>0</v>
      </c>
      <c r="V598" s="11">
        <f t="shared" si="938"/>
      </c>
      <c r="W598" s="11" t="s">
        <f t="shared" si="942"/>
      </c>
      <c r="X598" s="11" t="s">
        <f t="shared" si="939"/>
      </c>
    </row>
    <row r="599" ht="12.50" customHeight="true">
      <c r="A599" s="10"/>
      <c r="B599" s="11"/>
      <c r="C599" s="11"/>
      <c r="D599" s="11"/>
      <c r="E599" s="11"/>
      <c r="F599" s="11"/>
      <c r="G599" s="11"/>
      <c r="H599" s="11"/>
      <c r="I599" s="11"/>
      <c r="J599" s="11"/>
      <c r="K599" s="11" t="s">
        <f>""</f>
      </c>
      <c r="L599" s="11" t="s">
        <f t="shared" si="944"/>
      </c>
      <c r="M599" s="8" t="s">
        <f t="shared" si="940"/>
      </c>
      <c r="N599" s="11"/>
      <c r="O599" s="10">
        <f ref="O599:P599" t="shared" si="918">A599</f>
        <v>0</v>
      </c>
      <c r="P599" s="11">
        <f t="shared" si="918"/>
        <v>0</v>
      </c>
      <c r="Q599" s="11" t="s">
        <f t="shared" si="937"/>
      </c>
      <c r="R599" s="11">
        <f t="shared" si="943"/>
        <v>0</v>
      </c>
      <c r="S599" s="11">
        <f ref="S599:U599" t="shared" si="919">E599</f>
        <v>0</v>
      </c>
      <c r="T599" s="11">
        <f t="shared" si="919"/>
        <v>0</v>
      </c>
      <c r="U599" s="11">
        <f t="shared" si="919"/>
        <v>0</v>
      </c>
      <c r="V599" s="11">
        <f t="shared" si="938"/>
      </c>
      <c r="W599" s="11" t="s">
        <f t="shared" si="942"/>
      </c>
      <c r="X599" s="11" t="s">
        <f t="shared" si="939"/>
      </c>
    </row>
    <row r="600" ht="12.50" customHeight="true">
      <c r="A600" s="10"/>
      <c r="B600" s="11"/>
      <c r="C600" s="11"/>
      <c r="D600" s="11"/>
      <c r="E600" s="11"/>
      <c r="F600" s="11"/>
      <c r="G600" s="11"/>
      <c r="H600" s="11"/>
      <c r="I600" s="11"/>
      <c r="J600" s="11"/>
      <c r="K600" s="11" t="s">
        <f>""</f>
      </c>
      <c r="L600" s="11" t="s">
        <f t="shared" si="944"/>
      </c>
      <c r="M600" s="8" t="s">
        <f t="shared" si="940"/>
      </c>
      <c r="N600" s="11"/>
      <c r="O600" s="10">
        <f ref="O600:P600" t="shared" si="1894">A600</f>
        <v>0</v>
      </c>
      <c r="P600" s="11">
        <f t="shared" si="1894"/>
        <v>0</v>
      </c>
      <c r="Q600" s="11" t="s">
        <f t="shared" si="937"/>
      </c>
      <c r="R600" s="11">
        <f t="shared" si="943"/>
        <v>0</v>
      </c>
      <c r="S600" s="11">
        <f ref="S600:U600" t="shared" si="1895">E600</f>
        <v>0</v>
      </c>
      <c r="T600" s="11">
        <f t="shared" si="1895"/>
        <v>0</v>
      </c>
      <c r="U600" s="11">
        <f t="shared" si="1895"/>
        <v>0</v>
      </c>
      <c r="V600" s="11">
        <f t="shared" si="938"/>
      </c>
      <c r="W600" s="11" t="s">
        <f t="shared" si="942"/>
      </c>
      <c r="X600" s="11" t="s">
        <f t="shared" si="939"/>
      </c>
    </row>
    <row r="601" ht="12.50" customHeight="true">
      <c r="A601" s="10"/>
      <c r="B601" s="11"/>
      <c r="C601" s="11"/>
      <c r="D601" s="11"/>
      <c r="E601" s="11"/>
      <c r="F601" s="11"/>
      <c r="G601" s="11"/>
      <c r="H601" s="11"/>
      <c r="I601" s="11"/>
      <c r="J601" s="11"/>
      <c r="K601" s="11" t="s">
        <f>""</f>
      </c>
      <c r="L601" s="11" t="s">
        <f t="shared" si="944"/>
      </c>
      <c r="M601" s="8" t="s">
        <f t="shared" si="940"/>
      </c>
      <c r="N601" s="11"/>
      <c r="O601" s="10">
        <f ref="O601:P601" t="shared" si="878">A601</f>
        <v>0</v>
      </c>
      <c r="P601" s="11">
        <f t="shared" si="878"/>
        <v>0</v>
      </c>
      <c r="Q601" s="11" t="s">
        <f t="shared" si="937"/>
      </c>
      <c r="R601" s="11">
        <f t="shared" si="943"/>
        <v>0</v>
      </c>
      <c r="S601" s="11">
        <f ref="S601:U601" t="shared" si="879">E601</f>
        <v>0</v>
      </c>
      <c r="T601" s="11">
        <f t="shared" si="879"/>
        <v>0</v>
      </c>
      <c r="U601" s="11">
        <f t="shared" si="879"/>
        <v>0</v>
      </c>
      <c r="V601" s="11">
        <f t="shared" si="938"/>
      </c>
      <c r="W601" s="11" t="s">
        <f t="shared" si="942"/>
      </c>
      <c r="X601" s="11" t="s">
        <f t="shared" si="939"/>
      </c>
    </row>
    <row r="602" ht="12.50" customHeight="true">
      <c r="A602" s="10"/>
      <c r="B602" s="11"/>
      <c r="C602" s="11"/>
      <c r="D602" s="11"/>
      <c r="E602" s="11"/>
      <c r="F602" s="11"/>
      <c r="G602" s="11"/>
      <c r="H602" s="11"/>
      <c r="I602" s="11"/>
      <c r="J602" s="11"/>
      <c r="K602" s="11" t="s">
        <f>""</f>
      </c>
      <c r="L602" s="11" t="s">
        <f t="shared" si="944"/>
      </c>
      <c r="M602" s="8" t="s">
        <f t="shared" si="940"/>
      </c>
      <c r="N602" s="11"/>
      <c r="O602" s="10">
        <f ref="O602:P602" t="shared" si="780">A602</f>
        <v>0</v>
      </c>
      <c r="P602" s="11">
        <f t="shared" si="780"/>
        <v>0</v>
      </c>
      <c r="Q602" s="11" t="s">
        <f t="shared" si="937"/>
      </c>
      <c r="R602" s="11">
        <f t="shared" si="943"/>
        <v>0</v>
      </c>
      <c r="S602" s="11">
        <f ref="S602:U602" t="shared" si="781">E602</f>
        <v>0</v>
      </c>
      <c r="T602" s="11">
        <f t="shared" si="781"/>
        <v>0</v>
      </c>
      <c r="U602" s="11">
        <f t="shared" si="781"/>
        <v>0</v>
      </c>
      <c r="V602" s="11">
        <f t="shared" si="938"/>
      </c>
      <c r="W602" s="11" t="s">
        <f t="shared" si="942"/>
      </c>
      <c r="X602" s="11" t="s">
        <f t="shared" si="939"/>
      </c>
    </row>
    <row r="603" ht="12.50" customHeight="true">
      <c r="A603" s="10"/>
      <c r="B603" s="11"/>
      <c r="C603" s="11"/>
      <c r="D603" s="11"/>
      <c r="E603" s="11"/>
      <c r="F603" s="11"/>
      <c r="G603" s="11"/>
      <c r="H603" s="11"/>
      <c r="I603" s="11"/>
      <c r="J603" s="11"/>
      <c r="K603" s="11" t="s">
        <f>""</f>
      </c>
      <c r="L603" s="11" t="s">
        <f t="shared" si="944"/>
      </c>
      <c r="M603" s="8" t="s">
        <f t="shared" si="940"/>
      </c>
      <c r="N603" s="11"/>
      <c r="O603" s="10">
        <f ref="O603:P603" t="shared" si="642">A603</f>
        <v>0</v>
      </c>
      <c r="P603" s="11">
        <f t="shared" si="642"/>
        <v>0</v>
      </c>
      <c r="Q603" s="11" t="s">
        <f t="shared" si="937"/>
      </c>
      <c r="R603" s="11">
        <f t="shared" si="943"/>
        <v>0</v>
      </c>
      <c r="S603" s="11">
        <f ref="S603:U603" t="shared" si="643">E603</f>
        <v>0</v>
      </c>
      <c r="T603" s="11">
        <f t="shared" si="643"/>
        <v>0</v>
      </c>
      <c r="U603" s="11">
        <f t="shared" si="643"/>
        <v>0</v>
      </c>
      <c r="V603" s="11">
        <f t="shared" si="938"/>
      </c>
      <c r="W603" s="11" t="s">
        <f t="shared" si="942"/>
      </c>
      <c r="X603" s="11" t="s">
        <f t="shared" si="939"/>
      </c>
    </row>
    <row r="604" ht="12.50" customHeight="true">
      <c r="A604" s="10"/>
      <c r="B604" s="11"/>
      <c r="C604" s="11"/>
      <c r="D604" s="11"/>
      <c r="E604" s="11"/>
      <c r="F604" s="11"/>
      <c r="G604" s="11"/>
      <c r="H604" s="11"/>
      <c r="I604" s="11"/>
      <c r="J604" s="11"/>
      <c r="K604" s="11" t="s">
        <f>""</f>
      </c>
      <c r="L604" s="11" t="s">
        <f t="shared" si="944"/>
      </c>
      <c r="M604" s="8" t="s">
        <f t="shared" si="940"/>
      </c>
      <c r="N604" s="11"/>
      <c r="O604" s="10">
        <f ref="O604:P604" t="shared" si="991">A604</f>
        <v>0</v>
      </c>
      <c r="P604" s="11">
        <f t="shared" si="991"/>
        <v>0</v>
      </c>
      <c r="Q604" s="11" t="s">
        <f t="shared" si="937"/>
      </c>
      <c r="R604" s="11">
        <f t="shared" si="943"/>
        <v>0</v>
      </c>
      <c r="S604" s="11">
        <f ref="S604:U604" t="shared" si="992">E604</f>
        <v>0</v>
      </c>
      <c r="T604" s="11">
        <f t="shared" si="992"/>
        <v>0</v>
      </c>
      <c r="U604" s="11">
        <f t="shared" si="992"/>
        <v>0</v>
      </c>
      <c r="V604" s="11">
        <f t="shared" si="938"/>
      </c>
      <c r="W604" s="11" t="s">
        <f t="shared" si="942"/>
      </c>
      <c r="X604" s="11" t="s">
        <f t="shared" si="939"/>
      </c>
    </row>
    <row r="605" ht="12.50" customHeight="true">
      <c r="A605" s="10"/>
      <c r="B605" s="11"/>
      <c r="C605" s="11"/>
      <c r="D605" s="11"/>
      <c r="E605" s="11"/>
      <c r="F605" s="11"/>
      <c r="G605" s="11"/>
      <c r="H605" s="11"/>
      <c r="I605" s="11"/>
      <c r="J605" s="11"/>
      <c r="K605" s="11" t="s">
        <f>""</f>
      </c>
      <c r="L605" s="11" t="s">
        <f t="shared" si="944"/>
      </c>
      <c r="M605" s="8" t="s">
        <f t="shared" si="940"/>
      </c>
      <c r="N605" s="11"/>
      <c r="O605" s="10">
        <f ref="O605:P605" t="shared" si="1792">A605</f>
        <v>0</v>
      </c>
      <c r="P605" s="11">
        <f t="shared" si="1792"/>
        <v>0</v>
      </c>
      <c r="Q605" s="11" t="s">
        <f t="shared" si="937"/>
      </c>
      <c r="R605" s="11">
        <f t="shared" si="943"/>
        <v>0</v>
      </c>
      <c r="S605" s="11">
        <f ref="S605:U605" t="shared" si="1793">E605</f>
        <v>0</v>
      </c>
      <c r="T605" s="11">
        <f t="shared" si="1793"/>
        <v>0</v>
      </c>
      <c r="U605" s="11">
        <f t="shared" si="1793"/>
        <v>0</v>
      </c>
      <c r="V605" s="11">
        <f t="shared" si="938"/>
      </c>
      <c r="W605" s="11" t="s">
        <f t="shared" si="942"/>
      </c>
      <c r="X605" s="11" t="s">
        <f t="shared" si="939"/>
      </c>
    </row>
    <row r="606" ht="12.50" customHeight="true">
      <c r="A606" s="10"/>
      <c r="B606" s="11"/>
      <c r="C606" s="11"/>
      <c r="D606" s="11"/>
      <c r="E606" s="11"/>
      <c r="F606" s="11"/>
      <c r="G606" s="11"/>
      <c r="H606" s="11"/>
      <c r="I606" s="11"/>
      <c r="J606" s="11"/>
      <c r="K606" s="11" t="s">
        <f>""</f>
      </c>
      <c r="L606" s="11" t="s">
        <f t="shared" si="944"/>
      </c>
      <c r="M606" s="8" t="s">
        <f t="shared" si="940"/>
      </c>
      <c r="N606" s="11"/>
      <c r="O606" s="10">
        <f ref="O606:P606" t="shared" si="624">A606</f>
        <v>0</v>
      </c>
      <c r="P606" s="11">
        <f t="shared" si="624"/>
        <v>0</v>
      </c>
      <c r="Q606" s="11" t="s">
        <f t="shared" si="937"/>
      </c>
      <c r="R606" s="11">
        <f t="shared" si="943"/>
        <v>0</v>
      </c>
      <c r="S606" s="11">
        <f ref="S606:U606" t="shared" si="625">E606</f>
        <v>0</v>
      </c>
      <c r="T606" s="11">
        <f t="shared" si="625"/>
        <v>0</v>
      </c>
      <c r="U606" s="11">
        <f t="shared" si="625"/>
        <v>0</v>
      </c>
      <c r="V606" s="11">
        <f t="shared" si="938"/>
      </c>
      <c r="W606" s="11" t="s">
        <f t="shared" si="942"/>
      </c>
      <c r="X606" s="11" t="s">
        <f t="shared" si="939"/>
      </c>
    </row>
    <row r="607" ht="12.50" customHeight="true">
      <c r="A607" s="10"/>
      <c r="B607" s="11"/>
      <c r="C607" s="11"/>
      <c r="D607" s="11"/>
      <c r="E607" s="11"/>
      <c r="F607" s="11"/>
      <c r="G607" s="11"/>
      <c r="H607" s="11"/>
      <c r="I607" s="11"/>
      <c r="J607" s="11"/>
      <c r="K607" s="11" t="s">
        <f>""</f>
      </c>
      <c r="L607" s="11" t="s">
        <f t="shared" si="944"/>
      </c>
      <c r="M607" s="8" t="s">
        <f t="shared" si="940"/>
      </c>
      <c r="N607" s="11"/>
      <c r="O607" s="10">
        <f ref="O607:P607" t="shared" si="1785">A607</f>
        <v>0</v>
      </c>
      <c r="P607" s="11">
        <f t="shared" si="1785"/>
        <v>0</v>
      </c>
      <c r="Q607" s="11" t="s">
        <f t="shared" si="937"/>
      </c>
      <c r="R607" s="11">
        <f t="shared" si="943"/>
        <v>0</v>
      </c>
      <c r="S607" s="11">
        <f ref="S607:U607" t="shared" si="1784">E607</f>
        <v>0</v>
      </c>
      <c r="T607" s="11">
        <f t="shared" si="1784"/>
        <v>0</v>
      </c>
      <c r="U607" s="11">
        <f t="shared" si="1784"/>
        <v>0</v>
      </c>
      <c r="V607" s="11">
        <f t="shared" si="938"/>
      </c>
      <c r="W607" s="11" t="s">
        <f t="shared" si="942"/>
      </c>
      <c r="X607" s="11" t="s">
        <f t="shared" si="939"/>
      </c>
    </row>
    <row r="608" ht="12.50" customHeight="true">
      <c r="A608" s="10"/>
      <c r="B608" s="11"/>
      <c r="C608" s="11"/>
      <c r="D608" s="11"/>
      <c r="E608" s="11"/>
      <c r="F608" s="11"/>
      <c r="G608" s="11"/>
      <c r="H608" s="11"/>
      <c r="I608" s="11"/>
      <c r="J608" s="11"/>
      <c r="K608" s="11" t="s">
        <f>""</f>
      </c>
      <c r="L608" s="11" t="s">
        <f t="shared" si="944"/>
      </c>
      <c r="M608" s="8" t="s">
        <f t="shared" si="940"/>
      </c>
      <c r="N608" s="11"/>
      <c r="O608" s="10">
        <f ref="O608:P608" t="shared" si="2024">A608</f>
        <v>0</v>
      </c>
      <c r="P608" s="11">
        <f t="shared" si="2024"/>
        <v>0</v>
      </c>
      <c r="Q608" s="11" t="s">
        <f t="shared" si="937"/>
      </c>
      <c r="R608" s="11">
        <f t="shared" si="943"/>
        <v>0</v>
      </c>
      <c r="S608" s="11">
        <f ref="S608:U608" t="shared" si="2025">E608</f>
        <v>0</v>
      </c>
      <c r="T608" s="11">
        <f t="shared" si="2025"/>
        <v>0</v>
      </c>
      <c r="U608" s="11">
        <f t="shared" si="2025"/>
        <v>0</v>
      </c>
      <c r="V608" s="11">
        <f t="shared" si="938"/>
      </c>
      <c r="W608" s="11" t="s">
        <f t="shared" si="942"/>
      </c>
      <c r="X608" s="11" t="s">
        <f t="shared" si="939"/>
      </c>
    </row>
    <row r="609" ht="12.50" customHeight="true">
      <c r="A609" s="10"/>
      <c r="B609" s="11"/>
      <c r="C609" s="11"/>
      <c r="D609" s="11"/>
      <c r="E609" s="11"/>
      <c r="F609" s="11"/>
      <c r="G609" s="11"/>
      <c r="H609" s="11"/>
      <c r="I609" s="11"/>
      <c r="J609" s="11"/>
      <c r="K609" s="11" t="s">
        <f>""</f>
      </c>
      <c r="L609" s="11" t="s">
        <f t="shared" si="944"/>
      </c>
      <c r="M609" s="8" t="s">
        <f t="shared" si="940"/>
      </c>
      <c r="N609" s="11"/>
      <c r="O609" s="10">
        <f ref="O609:P609" t="shared" si="1810">A609</f>
        <v>0</v>
      </c>
      <c r="P609" s="11">
        <f t="shared" si="1810"/>
        <v>0</v>
      </c>
      <c r="Q609" s="11" t="s">
        <f t="shared" si="937"/>
      </c>
      <c r="R609" s="11">
        <f t="shared" si="943"/>
        <v>0</v>
      </c>
      <c r="S609" s="11">
        <f ref="S609:U609" t="shared" si="1811">E609</f>
        <v>0</v>
      </c>
      <c r="T609" s="11">
        <f t="shared" si="1811"/>
        <v>0</v>
      </c>
      <c r="U609" s="11">
        <f t="shared" si="1811"/>
        <v>0</v>
      </c>
      <c r="V609" s="11">
        <f t="shared" si="938"/>
      </c>
      <c r="W609" s="11" t="s">
        <f t="shared" si="942"/>
      </c>
      <c r="X609" s="11" t="s">
        <f t="shared" si="939"/>
      </c>
    </row>
    <row r="610" ht="12.50" customHeight="true">
      <c r="A610" s="10"/>
      <c r="B610" s="11"/>
      <c r="C610" s="11"/>
      <c r="D610" s="11"/>
      <c r="E610" s="11"/>
      <c r="F610" s="11"/>
      <c r="G610" s="11"/>
      <c r="H610" s="11"/>
      <c r="I610" s="11"/>
      <c r="J610" s="11"/>
      <c r="K610" s="11" t="s">
        <f>""</f>
      </c>
      <c r="L610" s="11" t="s">
        <f t="shared" si="944"/>
      </c>
      <c r="M610" s="8" t="s">
        <f t="shared" si="940"/>
      </c>
      <c r="N610" s="11"/>
      <c r="O610" s="10">
        <f ref="O610:P610" t="shared" si="793">A610</f>
        <v>0</v>
      </c>
      <c r="P610" s="11">
        <f t="shared" si="793"/>
        <v>0</v>
      </c>
      <c r="Q610" s="11" t="s">
        <f t="shared" si="937"/>
      </c>
      <c r="R610" s="11">
        <f t="shared" si="943"/>
        <v>0</v>
      </c>
      <c r="S610" s="11">
        <f ref="S610:U610" t="shared" si="792">E610</f>
        <v>0</v>
      </c>
      <c r="T610" s="11">
        <f t="shared" si="792"/>
        <v>0</v>
      </c>
      <c r="U610" s="11">
        <f t="shared" si="792"/>
        <v>0</v>
      </c>
      <c r="V610" s="11">
        <f t="shared" si="938"/>
      </c>
      <c r="W610" s="11" t="s">
        <f t="shared" si="942"/>
      </c>
      <c r="X610" s="11" t="s">
        <f t="shared" si="939"/>
      </c>
    </row>
    <row r="611" ht="12.50" customHeight="true">
      <c r="A611" s="10"/>
      <c r="B611" s="11"/>
      <c r="C611" s="11"/>
      <c r="D611" s="11"/>
      <c r="E611" s="11"/>
      <c r="F611" s="11"/>
      <c r="G611" s="11"/>
      <c r="H611" s="11"/>
      <c r="I611" s="11"/>
      <c r="J611" s="11"/>
      <c r="K611" s="11" t="s">
        <f>""</f>
      </c>
      <c r="L611" s="11" t="s">
        <f t="shared" si="944"/>
      </c>
      <c r="M611" s="8" t="s">
        <f t="shared" si="940"/>
      </c>
      <c r="N611" s="11"/>
      <c r="O611" s="10">
        <f ref="O611:P611" t="shared" si="807">A611</f>
        <v>0</v>
      </c>
      <c r="P611" s="11">
        <f t="shared" si="807"/>
        <v>0</v>
      </c>
      <c r="Q611" s="11" t="s">
        <f t="shared" si="937"/>
      </c>
      <c r="R611" s="11">
        <f t="shared" si="943"/>
        <v>0</v>
      </c>
      <c r="S611" s="11">
        <f ref="S611:U611" t="shared" si="806">E611</f>
        <v>0</v>
      </c>
      <c r="T611" s="11">
        <f t="shared" si="806"/>
        <v>0</v>
      </c>
      <c r="U611" s="11">
        <f t="shared" si="806"/>
        <v>0</v>
      </c>
      <c r="V611" s="11">
        <f t="shared" si="938"/>
      </c>
      <c r="W611" s="11" t="s">
        <f t="shared" si="942"/>
      </c>
      <c r="X611" s="11" t="s">
        <f t="shared" si="939"/>
      </c>
    </row>
    <row r="612" ht="12.50" customHeight="true">
      <c r="A612" s="10"/>
      <c r="B612" s="11"/>
      <c r="C612" s="11"/>
      <c r="D612" s="11"/>
      <c r="E612" s="11"/>
      <c r="F612" s="11"/>
      <c r="G612" s="11"/>
      <c r="H612" s="11"/>
      <c r="I612" s="11"/>
      <c r="J612" s="11"/>
      <c r="K612" s="11" t="s">
        <f>""</f>
      </c>
      <c r="L612" s="11" t="s">
        <f t="shared" si="944"/>
      </c>
      <c r="M612" s="8" t="s">
        <f t="shared" si="940"/>
      </c>
      <c r="N612" s="11"/>
      <c r="O612" s="10">
        <f ref="O612:P612" t="shared" si="1529">A612</f>
        <v>0</v>
      </c>
      <c r="P612" s="11">
        <f t="shared" si="1529"/>
        <v>0</v>
      </c>
      <c r="Q612" s="11" t="s">
        <f t="shared" si="937"/>
      </c>
      <c r="R612" s="11">
        <f t="shared" si="943"/>
        <v>0</v>
      </c>
      <c r="S612" s="11">
        <f ref="S612:U612" t="shared" si="1528">E612</f>
        <v>0</v>
      </c>
      <c r="T612" s="11">
        <f t="shared" si="1528"/>
        <v>0</v>
      </c>
      <c r="U612" s="11">
        <f t="shared" si="1528"/>
        <v>0</v>
      </c>
      <c r="V612" s="11">
        <f t="shared" si="938"/>
      </c>
      <c r="W612" s="11" t="s">
        <f t="shared" si="942"/>
      </c>
      <c r="X612" s="11" t="s">
        <f t="shared" si="939"/>
      </c>
    </row>
    <row r="613" ht="12.50" customHeight="true">
      <c r="A613" s="10"/>
      <c r="B613" s="11"/>
      <c r="C613" s="11"/>
      <c r="D613" s="11"/>
      <c r="E613" s="11"/>
      <c r="F613" s="11"/>
      <c r="G613" s="11"/>
      <c r="H613" s="11"/>
      <c r="I613" s="11"/>
      <c r="J613" s="11"/>
      <c r="K613" s="11" t="s">
        <f>""</f>
      </c>
      <c r="L613" s="11" t="s">
        <f t="shared" si="944"/>
      </c>
      <c r="M613" s="8" t="s">
        <f t="shared" si="940"/>
      </c>
      <c r="N613" s="11"/>
      <c r="O613" s="10">
        <f ref="O613:P613" t="shared" si="1600">A613</f>
        <v>0</v>
      </c>
      <c r="P613" s="11">
        <f t="shared" si="1600"/>
        <v>0</v>
      </c>
      <c r="Q613" s="11" t="s">
        <f t="shared" si="937"/>
      </c>
      <c r="R613" s="11">
        <f t="shared" si="943"/>
        <v>0</v>
      </c>
      <c r="S613" s="11">
        <f ref="S613:U613" t="shared" si="1601">E613</f>
        <v>0</v>
      </c>
      <c r="T613" s="11">
        <f t="shared" si="1601"/>
        <v>0</v>
      </c>
      <c r="U613" s="11">
        <f t="shared" si="1601"/>
        <v>0</v>
      </c>
      <c r="V613" s="11">
        <f t="shared" si="938"/>
      </c>
      <c r="W613" s="11" t="s">
        <f t="shared" si="942"/>
      </c>
      <c r="X613" s="11" t="s">
        <f t="shared" si="939"/>
      </c>
    </row>
    <row r="614" ht="12.50" customHeight="true">
      <c r="A614" s="10"/>
      <c r="B614" s="11"/>
      <c r="C614" s="11"/>
      <c r="D614" s="11"/>
      <c r="E614" s="11"/>
      <c r="F614" s="11"/>
      <c r="G614" s="11"/>
      <c r="H614" s="11"/>
      <c r="I614" s="11"/>
      <c r="J614" s="11"/>
      <c r="K614" s="11" t="s">
        <f>""</f>
      </c>
      <c r="L614" s="11" t="s">
        <f t="shared" si="944"/>
      </c>
      <c r="M614" s="8" t="s">
        <f t="shared" si="940"/>
      </c>
      <c r="N614" s="11"/>
      <c r="O614" s="10">
        <f ref="O614:P614" t="shared" si="377">A614</f>
        <v>0</v>
      </c>
      <c r="P614" s="11">
        <f t="shared" si="377"/>
        <v>0</v>
      </c>
      <c r="Q614" s="11" t="s">
        <f t="shared" si="937"/>
      </c>
      <c r="R614" s="11">
        <f t="shared" si="943"/>
        <v>0</v>
      </c>
      <c r="S614" s="11">
        <f ref="S614:U614" t="shared" si="376">E614</f>
        <v>0</v>
      </c>
      <c r="T614" s="11">
        <f t="shared" si="376"/>
        <v>0</v>
      </c>
      <c r="U614" s="11">
        <f t="shared" si="376"/>
        <v>0</v>
      </c>
      <c r="V614" s="11">
        <f t="shared" si="938"/>
      </c>
      <c r="W614" s="11" t="s">
        <f t="shared" si="942"/>
      </c>
      <c r="X614" s="11" t="s">
        <f t="shared" si="939"/>
      </c>
    </row>
    <row r="615" ht="12.50" customHeight="true">
      <c r="A615" s="10"/>
      <c r="B615" s="11"/>
      <c r="C615" s="11"/>
      <c r="D615" s="11"/>
      <c r="E615" s="11"/>
      <c r="F615" s="11"/>
      <c r="G615" s="11"/>
      <c r="H615" s="11"/>
      <c r="I615" s="11"/>
      <c r="J615" s="11"/>
      <c r="K615" s="11" t="s">
        <f>""</f>
      </c>
      <c r="L615" s="11" t="s">
        <f t="shared" si="944"/>
      </c>
      <c r="M615" s="8" t="s">
        <f t="shared" si="940"/>
      </c>
      <c r="N615" s="11"/>
      <c r="O615" s="10">
        <f ref="O615:P615" t="shared" si="64">A615</f>
        <v>0</v>
      </c>
      <c r="P615" s="11">
        <f t="shared" si="64"/>
        <v>0</v>
      </c>
      <c r="Q615" s="11" t="s">
        <f t="shared" si="937"/>
      </c>
      <c r="R615" s="11">
        <f t="shared" si="943"/>
        <v>0</v>
      </c>
      <c r="S615" s="11">
        <f ref="S615:U615" t="shared" si="65">E615</f>
        <v>0</v>
      </c>
      <c r="T615" s="11">
        <f t="shared" si="65"/>
        <v>0</v>
      </c>
      <c r="U615" s="11">
        <f t="shared" si="65"/>
        <v>0</v>
      </c>
      <c r="V615" s="11">
        <f t="shared" si="938"/>
      </c>
      <c r="W615" s="11" t="s">
        <f t="shared" si="942"/>
      </c>
      <c r="X615" s="11" t="s">
        <f t="shared" si="939"/>
      </c>
    </row>
    <row r="616" ht="12.50" customHeight="true">
      <c r="A616" s="10"/>
      <c r="B616" s="11"/>
      <c r="C616" s="11"/>
      <c r="D616" s="11"/>
      <c r="E616" s="11"/>
      <c r="F616" s="11"/>
      <c r="G616" s="11"/>
      <c r="H616" s="11"/>
      <c r="I616" s="11"/>
      <c r="J616" s="11"/>
      <c r="K616" s="11" t="s">
        <f>""</f>
      </c>
      <c r="L616" s="11" t="s">
        <f t="shared" si="944"/>
      </c>
      <c r="M616" s="8" t="s">
        <f t="shared" si="940"/>
      </c>
      <c r="N616" s="11"/>
      <c r="O616" s="10">
        <f ref="O616:P616" t="shared" si="1404">A616</f>
        <v>0</v>
      </c>
      <c r="P616" s="11">
        <f t="shared" si="1404"/>
        <v>0</v>
      </c>
      <c r="Q616" s="11" t="s">
        <f t="shared" si="937"/>
      </c>
      <c r="R616" s="11">
        <f t="shared" si="943"/>
        <v>0</v>
      </c>
      <c r="S616" s="11">
        <f ref="S616:U616" t="shared" si="1405">E616</f>
        <v>0</v>
      </c>
      <c r="T616" s="11">
        <f t="shared" si="1405"/>
        <v>0</v>
      </c>
      <c r="U616" s="11">
        <f t="shared" si="1405"/>
        <v>0</v>
      </c>
      <c r="V616" s="11">
        <f t="shared" si="938"/>
      </c>
      <c r="W616" s="11" t="s">
        <f t="shared" si="942"/>
      </c>
      <c r="X616" s="11" t="s">
        <f t="shared" si="939"/>
      </c>
    </row>
    <row r="617" ht="12.50" customHeight="true">
      <c r="A617" s="10"/>
      <c r="B617" s="11"/>
      <c r="C617" s="11"/>
      <c r="D617" s="11"/>
      <c r="E617" s="11"/>
      <c r="F617" s="11"/>
      <c r="G617" s="11"/>
      <c r="H617" s="11"/>
      <c r="I617" s="11"/>
      <c r="J617" s="11"/>
      <c r="K617" s="11" t="s">
        <f>""</f>
      </c>
      <c r="L617" s="11" t="s">
        <f t="shared" si="944"/>
      </c>
      <c r="M617" s="8" t="s">
        <f t="shared" si="940"/>
      </c>
      <c r="N617" s="11"/>
      <c r="O617" s="10">
        <f ref="O617:P617" t="shared" si="1198">A617</f>
        <v>0</v>
      </c>
      <c r="P617" s="11">
        <f t="shared" si="1198"/>
        <v>0</v>
      </c>
      <c r="Q617" s="11" t="s">
        <f t="shared" si="937"/>
      </c>
      <c r="R617" s="11">
        <f t="shared" si="943"/>
        <v>0</v>
      </c>
      <c r="S617" s="11">
        <f ref="S617:U617" t="shared" si="1197">E617</f>
        <v>0</v>
      </c>
      <c r="T617" s="11">
        <f t="shared" si="1197"/>
        <v>0</v>
      </c>
      <c r="U617" s="11">
        <f t="shared" si="1197"/>
        <v>0</v>
      </c>
      <c r="V617" s="11">
        <f t="shared" si="938"/>
      </c>
      <c r="W617" s="11" t="s">
        <f t="shared" si="942"/>
      </c>
      <c r="X617" s="11" t="s">
        <f t="shared" si="939"/>
      </c>
    </row>
    <row r="618" ht="12.50" customHeight="true">
      <c r="A618" s="10"/>
      <c r="B618" s="11"/>
      <c r="C618" s="11"/>
      <c r="D618" s="11"/>
      <c r="E618" s="11"/>
      <c r="F618" s="11"/>
      <c r="G618" s="11"/>
      <c r="H618" s="11"/>
      <c r="I618" s="11"/>
      <c r="J618" s="11"/>
      <c r="K618" s="11" t="s">
        <f>""</f>
      </c>
      <c r="L618" s="11" t="s">
        <f t="shared" si="944"/>
      </c>
      <c r="M618" s="8" t="s">
        <f t="shared" si="940"/>
      </c>
      <c r="N618" s="11"/>
      <c r="O618" s="10">
        <f ref="O618:P618" t="shared" si="1008">A618</f>
        <v>0</v>
      </c>
      <c r="P618" s="11">
        <f t="shared" si="1008"/>
        <v>0</v>
      </c>
      <c r="Q618" s="11" t="s">
        <f t="shared" si="937"/>
      </c>
      <c r="R618" s="11">
        <f t="shared" si="943"/>
        <v>0</v>
      </c>
      <c r="S618" s="11">
        <f ref="S618:U618" t="shared" si="1007">E618</f>
        <v>0</v>
      </c>
      <c r="T618" s="11">
        <f t="shared" si="1007"/>
        <v>0</v>
      </c>
      <c r="U618" s="11">
        <f t="shared" si="1007"/>
        <v>0</v>
      </c>
      <c r="V618" s="11">
        <f t="shared" si="938"/>
      </c>
      <c r="W618" s="11" t="s">
        <f t="shared" si="942"/>
      </c>
      <c r="X618" s="11" t="s">
        <f t="shared" si="939"/>
      </c>
    </row>
    <row r="619" ht="12.50" customHeight="true">
      <c r="A619" s="10"/>
      <c r="B619" s="11"/>
      <c r="C619" s="11"/>
      <c r="D619" s="11"/>
      <c r="E619" s="11"/>
      <c r="F619" s="11"/>
      <c r="G619" s="11"/>
      <c r="H619" s="11"/>
      <c r="I619" s="11"/>
      <c r="J619" s="11"/>
      <c r="K619" s="11" t="s">
        <f>""</f>
      </c>
      <c r="L619" s="11" t="s">
        <f t="shared" si="944"/>
      </c>
      <c r="M619" s="8" t="s">
        <f t="shared" si="940"/>
      </c>
      <c r="N619" s="11"/>
      <c r="O619" s="10">
        <f ref="O619:P619" t="shared" si="1485">A619</f>
        <v>0</v>
      </c>
      <c r="P619" s="11">
        <f t="shared" si="1485"/>
        <v>0</v>
      </c>
      <c r="Q619" s="11" t="s">
        <f t="shared" si="937"/>
      </c>
      <c r="R619" s="11">
        <f t="shared" si="943"/>
        <v>0</v>
      </c>
      <c r="S619" s="11">
        <f ref="S619:U619" t="shared" si="1484">E619</f>
        <v>0</v>
      </c>
      <c r="T619" s="11">
        <f t="shared" si="1484"/>
        <v>0</v>
      </c>
      <c r="U619" s="11">
        <f t="shared" si="1484"/>
        <v>0</v>
      </c>
      <c r="V619" s="11">
        <f t="shared" si="938"/>
      </c>
      <c r="W619" s="11" t="s">
        <f t="shared" si="942"/>
      </c>
      <c r="X619" s="11" t="s">
        <f t="shared" si="939"/>
      </c>
    </row>
    <row r="620" ht="12.50" customHeight="true">
      <c r="A620" s="10"/>
      <c r="B620" s="11"/>
      <c r="C620" s="11"/>
      <c r="D620" s="11"/>
      <c r="E620" s="11"/>
      <c r="F620" s="11"/>
      <c r="G620" s="11"/>
      <c r="H620" s="11"/>
      <c r="I620" s="11"/>
      <c r="J620" s="11"/>
      <c r="K620" s="11" t="s">
        <f>""</f>
      </c>
      <c r="L620" s="11" t="s">
        <f t="shared" si="944"/>
      </c>
      <c r="M620" s="8" t="s">
        <f t="shared" si="940"/>
      </c>
      <c r="N620" s="11"/>
      <c r="O620" s="10">
        <f ref="O620:P620" t="shared" si="1345">A620</f>
        <v>0</v>
      </c>
      <c r="P620" s="11">
        <f t="shared" si="1345"/>
        <v>0</v>
      </c>
      <c r="Q620" s="11" t="s">
        <f t="shared" si="937"/>
      </c>
      <c r="R620" s="11">
        <f t="shared" si="943"/>
        <v>0</v>
      </c>
      <c r="S620" s="11">
        <f ref="S620:U620" t="shared" si="1344">E620</f>
        <v>0</v>
      </c>
      <c r="T620" s="11">
        <f t="shared" si="1344"/>
        <v>0</v>
      </c>
      <c r="U620" s="11">
        <f t="shared" si="1344"/>
        <v>0</v>
      </c>
      <c r="V620" s="11">
        <f t="shared" si="938"/>
      </c>
      <c r="W620" s="11" t="s">
        <f t="shared" si="942"/>
      </c>
      <c r="X620" s="11" t="s">
        <f t="shared" si="939"/>
      </c>
    </row>
    <row r="621" ht="12.50" customHeight="true">
      <c r="A621" s="10"/>
      <c r="B621" s="11"/>
      <c r="C621" s="11"/>
      <c r="D621" s="11"/>
      <c r="E621" s="11"/>
      <c r="F621" s="11"/>
      <c r="G621" s="11"/>
      <c r="H621" s="11"/>
      <c r="I621" s="11"/>
      <c r="J621" s="11"/>
      <c r="K621" s="11" t="s">
        <f>""</f>
      </c>
      <c r="L621" s="11" t="s">
        <f t="shared" si="944"/>
      </c>
      <c r="M621" s="8" t="s">
        <f t="shared" si="940"/>
      </c>
      <c r="N621" s="11"/>
      <c r="O621" s="10">
        <f ref="O621:P621" t="shared" si="692">A621</f>
        <v>0</v>
      </c>
      <c r="P621" s="11">
        <f t="shared" si="692"/>
        <v>0</v>
      </c>
      <c r="Q621" s="11" t="s">
        <f t="shared" si="937"/>
      </c>
      <c r="R621" s="11">
        <f t="shared" si="943"/>
        <v>0</v>
      </c>
      <c r="S621" s="11">
        <f ref="S621:U621" t="shared" si="693">E621</f>
        <v>0</v>
      </c>
      <c r="T621" s="11">
        <f t="shared" si="693"/>
        <v>0</v>
      </c>
      <c r="U621" s="11">
        <f t="shared" si="693"/>
        <v>0</v>
      </c>
      <c r="V621" s="11">
        <f t="shared" si="938"/>
      </c>
      <c r="W621" s="11" t="s">
        <f t="shared" si="942"/>
      </c>
      <c r="X621" s="11" t="s">
        <f t="shared" si="939"/>
      </c>
    </row>
    <row r="622" ht="12.50" customHeight="true">
      <c r="A622" s="10"/>
      <c r="B622" s="11"/>
      <c r="C622" s="11"/>
      <c r="D622" s="11"/>
      <c r="E622" s="11"/>
      <c r="F622" s="11"/>
      <c r="G622" s="11"/>
      <c r="H622" s="11"/>
      <c r="I622" s="11"/>
      <c r="J622" s="11"/>
      <c r="K622" s="11" t="s">
        <f>""</f>
      </c>
      <c r="L622" s="11" t="s">
        <f t="shared" si="944"/>
      </c>
      <c r="M622" s="8" t="s">
        <f t="shared" si="940"/>
      </c>
      <c r="N622" s="11"/>
      <c r="O622" s="10">
        <f ref="O622:P622" t="shared" si="419">A622</f>
        <v>0</v>
      </c>
      <c r="P622" s="11">
        <f t="shared" si="419"/>
        <v>0</v>
      </c>
      <c r="Q622" s="11" t="s">
        <f t="shared" si="937"/>
      </c>
      <c r="R622" s="11">
        <f t="shared" si="943"/>
        <v>0</v>
      </c>
      <c r="S622" s="11">
        <f ref="S622:U622" t="shared" si="418">E622</f>
        <v>0</v>
      </c>
      <c r="T622" s="11">
        <f t="shared" si="418"/>
        <v>0</v>
      </c>
      <c r="U622" s="11">
        <f t="shared" si="418"/>
        <v>0</v>
      </c>
      <c r="V622" s="11">
        <f t="shared" si="938"/>
      </c>
      <c r="W622" s="11" t="s">
        <f t="shared" si="942"/>
      </c>
      <c r="X622" s="11" t="s">
        <f t="shared" si="939"/>
      </c>
    </row>
    <row r="623" ht="12.50" customHeight="true">
      <c r="A623" s="10"/>
      <c r="B623" s="11"/>
      <c r="C623" s="11"/>
      <c r="D623" s="11"/>
      <c r="E623" s="11"/>
      <c r="F623" s="11"/>
      <c r="G623" s="11"/>
      <c r="H623" s="11"/>
      <c r="I623" s="11"/>
      <c r="J623" s="11"/>
      <c r="K623" s="11" t="s">
        <f>""</f>
      </c>
      <c r="L623" s="11" t="s">
        <f t="shared" si="944"/>
      </c>
      <c r="M623" s="8" t="s">
        <f t="shared" si="940"/>
      </c>
      <c r="N623" s="11"/>
      <c r="O623" s="10">
        <f ref="O623:P623" t="shared" si="1318">A623</f>
        <v>0</v>
      </c>
      <c r="P623" s="11">
        <f t="shared" si="1318"/>
        <v>0</v>
      </c>
      <c r="Q623" s="11" t="s">
        <f t="shared" si="937"/>
      </c>
      <c r="R623" s="11">
        <f t="shared" si="943"/>
        <v>0</v>
      </c>
      <c r="S623" s="11">
        <f ref="S623:U623" t="shared" si="1319">E623</f>
        <v>0</v>
      </c>
      <c r="T623" s="11">
        <f t="shared" si="1319"/>
        <v>0</v>
      </c>
      <c r="U623" s="11">
        <f t="shared" si="1319"/>
        <v>0</v>
      </c>
      <c r="V623" s="11">
        <f t="shared" si="938"/>
      </c>
      <c r="W623" s="11" t="s">
        <f t="shared" si="942"/>
      </c>
      <c r="X623" s="11" t="s">
        <f t="shared" si="939"/>
      </c>
    </row>
    <row r="624" ht="12.50" customHeight="true">
      <c r="A624" s="10"/>
      <c r="B624" s="11"/>
      <c r="C624" s="11"/>
      <c r="D624" s="11"/>
      <c r="E624" s="11"/>
      <c r="F624" s="11"/>
      <c r="G624" s="11"/>
      <c r="H624" s="11"/>
      <c r="I624" s="11"/>
      <c r="J624" s="11"/>
      <c r="K624" s="11" t="s">
        <f>""</f>
      </c>
      <c r="L624" s="11" t="s">
        <f t="shared" si="944"/>
      </c>
      <c r="M624" s="8" t="s">
        <f t="shared" si="940"/>
      </c>
      <c r="N624" s="11"/>
      <c r="O624" s="10">
        <f ref="O624:P624" t="shared" si="951">A624</f>
        <v>0</v>
      </c>
      <c r="P624" s="11">
        <f t="shared" si="951"/>
        <v>0</v>
      </c>
      <c r="Q624" s="11" t="s">
        <f t="shared" si="937"/>
      </c>
      <c r="R624" s="11">
        <f t="shared" si="943"/>
        <v>0</v>
      </c>
      <c r="S624" s="11">
        <f ref="S624:U624" t="shared" si="952">E624</f>
        <v>0</v>
      </c>
      <c r="T624" s="11">
        <f t="shared" si="952"/>
        <v>0</v>
      </c>
      <c r="U624" s="11">
        <f t="shared" si="952"/>
        <v>0</v>
      </c>
      <c r="V624" s="11">
        <f t="shared" si="938"/>
      </c>
      <c r="W624" s="11" t="s">
        <f t="shared" si="942"/>
      </c>
      <c r="X624" s="11" t="s">
        <f t="shared" si="939"/>
      </c>
    </row>
    <row r="625" ht="12.50" customHeight="true">
      <c r="A625" s="10"/>
      <c r="B625" s="11"/>
      <c r="C625" s="11"/>
      <c r="D625" s="11"/>
      <c r="E625" s="11"/>
      <c r="F625" s="11"/>
      <c r="G625" s="11"/>
      <c r="H625" s="11"/>
      <c r="I625" s="11"/>
      <c r="J625" s="11"/>
      <c r="K625" s="11" t="s">
        <f>""</f>
      </c>
      <c r="L625" s="11" t="s">
        <f t="shared" si="944"/>
      </c>
      <c r="M625" s="8" t="s">
        <f t="shared" si="940"/>
      </c>
      <c r="N625" s="11"/>
      <c r="O625" s="10">
        <f ref="O625:P625" t="shared" si="532">A625</f>
        <v>0</v>
      </c>
      <c r="P625" s="11">
        <f t="shared" si="532"/>
        <v>0</v>
      </c>
      <c r="Q625" s="11" t="s">
        <f t="shared" si="937"/>
      </c>
      <c r="R625" s="11">
        <f t="shared" si="943"/>
        <v>0</v>
      </c>
      <c r="S625" s="11">
        <f ref="S625:U625" t="shared" si="533">E625</f>
        <v>0</v>
      </c>
      <c r="T625" s="11">
        <f t="shared" si="533"/>
        <v>0</v>
      </c>
      <c r="U625" s="11">
        <f t="shared" si="533"/>
        <v>0</v>
      </c>
      <c r="V625" s="11">
        <f t="shared" si="938"/>
      </c>
      <c r="W625" s="11" t="s">
        <f t="shared" si="942"/>
      </c>
      <c r="X625" s="11" t="s">
        <f t="shared" si="939"/>
      </c>
    </row>
    <row r="626" ht="12.50" customHeight="true">
      <c r="A626" s="10"/>
      <c r="B626" s="11"/>
      <c r="C626" s="11"/>
      <c r="D626" s="11"/>
      <c r="E626" s="11"/>
      <c r="F626" s="11"/>
      <c r="G626" s="11"/>
      <c r="H626" s="11"/>
      <c r="I626" s="11"/>
      <c r="J626" s="11"/>
      <c r="K626" s="11" t="s">
        <f>""</f>
      </c>
      <c r="L626" s="11" t="s">
        <f t="shared" si="944"/>
      </c>
      <c r="M626" s="8" t="s">
        <f t="shared" si="940"/>
      </c>
      <c r="N626" s="11"/>
      <c r="O626" s="10">
        <f ref="O626:P626" t="shared" si="1912">A626</f>
        <v>0</v>
      </c>
      <c r="P626" s="11">
        <f t="shared" si="1912"/>
        <v>0</v>
      </c>
      <c r="Q626" s="11" t="s">
        <f t="shared" si="937"/>
      </c>
      <c r="R626" s="11">
        <f t="shared" si="943"/>
        <v>0</v>
      </c>
      <c r="S626" s="11">
        <f ref="S626:U626" t="shared" si="1913">E626</f>
        <v>0</v>
      </c>
      <c r="T626" s="11">
        <f t="shared" si="1913"/>
        <v>0</v>
      </c>
      <c r="U626" s="11">
        <f t="shared" si="1913"/>
        <v>0</v>
      </c>
      <c r="V626" s="11">
        <f t="shared" si="938"/>
      </c>
      <c r="W626" s="11" t="s">
        <f t="shared" si="942"/>
      </c>
      <c r="X626" s="11" t="s">
        <f t="shared" si="939"/>
      </c>
    </row>
    <row r="627" ht="12.50" customHeight="true">
      <c r="A627" s="10"/>
      <c r="B627" s="11"/>
      <c r="C627" s="11"/>
      <c r="D627" s="11"/>
      <c r="E627" s="11"/>
      <c r="F627" s="11"/>
      <c r="G627" s="11"/>
      <c r="H627" s="11"/>
      <c r="I627" s="11"/>
      <c r="J627" s="11"/>
      <c r="K627" s="11" t="s">
        <f>""</f>
      </c>
      <c r="L627" s="11" t="s">
        <f t="shared" si="944"/>
      </c>
      <c r="M627" s="8" t="s">
        <f t="shared" si="940"/>
      </c>
      <c r="N627" s="11"/>
      <c r="O627" s="10">
        <f ref="O627:P627" t="shared" si="871">A627</f>
        <v>0</v>
      </c>
      <c r="P627" s="11">
        <f t="shared" si="871"/>
        <v>0</v>
      </c>
      <c r="Q627" s="11" t="s">
        <f t="shared" si="937"/>
      </c>
      <c r="R627" s="11">
        <f t="shared" si="943"/>
        <v>0</v>
      </c>
      <c r="S627" s="11">
        <f ref="S627:U627" t="shared" si="870">E627</f>
        <v>0</v>
      </c>
      <c r="T627" s="11">
        <f t="shared" si="870"/>
        <v>0</v>
      </c>
      <c r="U627" s="11">
        <f t="shared" si="870"/>
        <v>0</v>
      </c>
      <c r="V627" s="11">
        <f t="shared" si="938"/>
      </c>
      <c r="W627" s="11" t="s">
        <f t="shared" si="942"/>
      </c>
      <c r="X627" s="11" t="s">
        <f t="shared" si="939"/>
      </c>
    </row>
    <row r="628" ht="12.50" customHeight="true">
      <c r="A628" s="10"/>
      <c r="B628" s="11"/>
      <c r="C628" s="11"/>
      <c r="D628" s="11"/>
      <c r="E628" s="11"/>
      <c r="F628" s="11"/>
      <c r="G628" s="11"/>
      <c r="H628" s="11"/>
      <c r="I628" s="11"/>
      <c r="J628" s="11"/>
      <c r="K628" s="11" t="s">
        <f>""</f>
      </c>
      <c r="L628" s="11" t="s">
        <f t="shared" si="944"/>
      </c>
      <c r="M628" s="8" t="s">
        <f t="shared" si="940"/>
      </c>
      <c r="N628" s="11"/>
      <c r="O628" s="10">
        <f ref="O628:P628" t="shared" si="359">A628</f>
        <v>0</v>
      </c>
      <c r="P628" s="11">
        <f t="shared" si="359"/>
        <v>0</v>
      </c>
      <c r="Q628" s="11" t="s">
        <f t="shared" si="937"/>
      </c>
      <c r="R628" s="11">
        <f t="shared" si="943"/>
        <v>0</v>
      </c>
      <c r="S628" s="11">
        <f ref="S628:U628" t="shared" si="358">E628</f>
        <v>0</v>
      </c>
      <c r="T628" s="11">
        <f t="shared" si="358"/>
        <v>0</v>
      </c>
      <c r="U628" s="11">
        <f t="shared" si="358"/>
        <v>0</v>
      </c>
      <c r="V628" s="11">
        <f t="shared" si="938"/>
      </c>
      <c r="W628" s="11" t="s">
        <f t="shared" si="942"/>
      </c>
      <c r="X628" s="11" t="s">
        <f t="shared" si="939"/>
      </c>
    </row>
    <row r="629" ht="12.50" customHeight="true">
      <c r="A629" s="10"/>
      <c r="B629" s="11"/>
      <c r="C629" s="11"/>
      <c r="D629" s="11"/>
      <c r="E629" s="11"/>
      <c r="F629" s="11"/>
      <c r="G629" s="11"/>
      <c r="H629" s="11"/>
      <c r="I629" s="11"/>
      <c r="J629" s="11"/>
      <c r="K629" s="11" t="s">
        <f>""</f>
      </c>
      <c r="L629" s="11" t="s">
        <f t="shared" si="944"/>
      </c>
      <c r="M629" s="8" t="s">
        <f t="shared" si="940"/>
      </c>
      <c r="N629" s="11"/>
      <c r="O629" s="10">
        <f ref="O629:P629" t="shared" si="1812">A629</f>
        <v>0</v>
      </c>
      <c r="P629" s="11">
        <f t="shared" si="1812"/>
        <v>0</v>
      </c>
      <c r="Q629" s="11" t="s">
        <f t="shared" si="937"/>
      </c>
      <c r="R629" s="11">
        <f t="shared" si="943"/>
        <v>0</v>
      </c>
      <c r="S629" s="11">
        <f ref="S629:U629" t="shared" si="1813">E629</f>
        <v>0</v>
      </c>
      <c r="T629" s="11">
        <f t="shared" si="1813"/>
        <v>0</v>
      </c>
      <c r="U629" s="11">
        <f t="shared" si="1813"/>
        <v>0</v>
      </c>
      <c r="V629" s="11">
        <f t="shared" si="938"/>
      </c>
      <c r="W629" s="11" t="s">
        <f t="shared" si="942"/>
      </c>
      <c r="X629" s="11" t="s">
        <f t="shared" si="939"/>
      </c>
    </row>
    <row r="630" ht="12.50" customHeight="true">
      <c r="A630" s="10"/>
      <c r="B630" s="11"/>
      <c r="C630" s="11"/>
      <c r="D630" s="11"/>
      <c r="E630" s="11"/>
      <c r="F630" s="11"/>
      <c r="G630" s="11"/>
      <c r="H630" s="11"/>
      <c r="I630" s="11"/>
      <c r="J630" s="11"/>
      <c r="K630" s="11" t="s">
        <f>""</f>
      </c>
      <c r="L630" s="11" t="s">
        <f t="shared" si="944"/>
      </c>
      <c r="M630" s="8" t="s">
        <f t="shared" si="940"/>
      </c>
      <c r="N630" s="11"/>
      <c r="O630" s="10">
        <f ref="O630:P630" t="shared" si="321">A630</f>
        <v>0</v>
      </c>
      <c r="P630" s="11">
        <f t="shared" si="321"/>
        <v>0</v>
      </c>
      <c r="Q630" s="11" t="s">
        <f t="shared" si="937"/>
      </c>
      <c r="R630" s="11">
        <f t="shared" si="943"/>
        <v>0</v>
      </c>
      <c r="S630" s="11">
        <f ref="S630:U630" t="shared" si="320">E630</f>
        <v>0</v>
      </c>
      <c r="T630" s="11">
        <f t="shared" si="320"/>
        <v>0</v>
      </c>
      <c r="U630" s="11">
        <f t="shared" si="320"/>
        <v>0</v>
      </c>
      <c r="V630" s="11">
        <f t="shared" si="938"/>
      </c>
      <c r="W630" s="11" t="s">
        <f t="shared" si="942"/>
      </c>
      <c r="X630" s="11" t="s">
        <f t="shared" si="939"/>
      </c>
    </row>
    <row r="631" ht="12.50" customHeight="true">
      <c r="A631" s="10"/>
      <c r="B631" s="11"/>
      <c r="C631" s="11"/>
      <c r="D631" s="11"/>
      <c r="E631" s="11"/>
      <c r="F631" s="11"/>
      <c r="G631" s="11"/>
      <c r="H631" s="11"/>
      <c r="I631" s="11"/>
      <c r="J631" s="11"/>
      <c r="K631" s="11" t="s">
        <f>""</f>
      </c>
      <c r="L631" s="11" t="s">
        <f t="shared" si="944"/>
      </c>
      <c r="M631" s="8" t="s">
        <f t="shared" si="940"/>
      </c>
      <c r="N631" s="11"/>
      <c r="O631" s="10">
        <f ref="O631:P631" t="shared" si="1555">A631</f>
        <v>0</v>
      </c>
      <c r="P631" s="11">
        <f t="shared" si="1555"/>
        <v>0</v>
      </c>
      <c r="Q631" s="11" t="s">
        <f t="shared" si="937"/>
      </c>
      <c r="R631" s="11">
        <f t="shared" si="943"/>
        <v>0</v>
      </c>
      <c r="S631" s="11">
        <f ref="S631:U631" t="shared" si="1554">E631</f>
        <v>0</v>
      </c>
      <c r="T631" s="11">
        <f t="shared" si="1554"/>
        <v>0</v>
      </c>
      <c r="U631" s="11">
        <f t="shared" si="1554"/>
        <v>0</v>
      </c>
      <c r="V631" s="11">
        <f t="shared" si="938"/>
      </c>
      <c r="W631" s="11" t="s">
        <f t="shared" si="942"/>
      </c>
      <c r="X631" s="11" t="s">
        <f t="shared" si="939"/>
      </c>
    </row>
    <row r="632" ht="12.50" customHeight="true">
      <c r="A632" s="10"/>
      <c r="B632" s="11"/>
      <c r="C632" s="11"/>
      <c r="D632" s="11"/>
      <c r="E632" s="11"/>
      <c r="F632" s="11"/>
      <c r="G632" s="11"/>
      <c r="H632" s="11"/>
      <c r="I632" s="11"/>
      <c r="J632" s="11"/>
      <c r="K632" s="11" t="s">
        <f>""</f>
      </c>
      <c r="L632" s="11" t="s">
        <f t="shared" si="944"/>
      </c>
      <c r="M632" s="8" t="s">
        <f t="shared" si="940"/>
      </c>
      <c r="N632" s="11"/>
      <c r="O632" s="10">
        <f ref="O632:P632" t="shared" si="268">A632</f>
        <v>0</v>
      </c>
      <c r="P632" s="11">
        <f t="shared" si="268"/>
        <v>0</v>
      </c>
      <c r="Q632" s="11" t="s">
        <f t="shared" si="937"/>
      </c>
      <c r="R632" s="11">
        <f t="shared" si="943"/>
        <v>0</v>
      </c>
      <c r="S632" s="11">
        <f ref="S632:U632" t="shared" si="269">E632</f>
        <v>0</v>
      </c>
      <c r="T632" s="11">
        <f t="shared" si="269"/>
        <v>0</v>
      </c>
      <c r="U632" s="11">
        <f t="shared" si="269"/>
        <v>0</v>
      </c>
      <c r="V632" s="11">
        <f t="shared" si="938"/>
      </c>
      <c r="W632" s="11" t="s">
        <f t="shared" si="942"/>
      </c>
      <c r="X632" s="11" t="s">
        <f t="shared" si="939"/>
      </c>
    </row>
    <row r="633" ht="12.50" customHeight="true">
      <c r="A633" s="10"/>
      <c r="B633" s="11"/>
      <c r="C633" s="11"/>
      <c r="D633" s="11"/>
      <c r="E633" s="11"/>
      <c r="F633" s="11"/>
      <c r="G633" s="11"/>
      <c r="H633" s="11"/>
      <c r="I633" s="11"/>
      <c r="J633" s="11"/>
      <c r="K633" s="11" t="s">
        <f>""</f>
      </c>
      <c r="L633" s="11" t="s">
        <f t="shared" si="944"/>
      </c>
      <c r="M633" s="8" t="s">
        <f t="shared" si="940"/>
      </c>
      <c r="N633" s="11"/>
      <c r="O633" s="10">
        <f ref="O633:P633" t="shared" si="474">A633</f>
        <v>0</v>
      </c>
      <c r="P633" s="11">
        <f t="shared" si="474"/>
        <v>0</v>
      </c>
      <c r="Q633" s="11" t="s">
        <f t="shared" si="937"/>
      </c>
      <c r="R633" s="11">
        <f t="shared" si="943"/>
        <v>0</v>
      </c>
      <c r="S633" s="11">
        <f ref="S633:U633" t="shared" si="475">E633</f>
        <v>0</v>
      </c>
      <c r="T633" s="11">
        <f t="shared" si="475"/>
        <v>0</v>
      </c>
      <c r="U633" s="11">
        <f t="shared" si="475"/>
        <v>0</v>
      </c>
      <c r="V633" s="11">
        <f t="shared" si="938"/>
      </c>
      <c r="W633" s="11" t="s">
        <f t="shared" si="942"/>
      </c>
      <c r="X633" s="11" t="s">
        <f t="shared" si="939"/>
      </c>
    </row>
    <row r="634" ht="12.50" customHeight="true">
      <c r="A634" s="10"/>
      <c r="B634" s="11"/>
      <c r="C634" s="11"/>
      <c r="D634" s="11"/>
      <c r="E634" s="11"/>
      <c r="F634" s="11"/>
      <c r="G634" s="11"/>
      <c r="H634" s="11"/>
      <c r="I634" s="11"/>
      <c r="J634" s="11"/>
      <c r="K634" s="11" t="s">
        <f>""</f>
      </c>
      <c r="L634" s="11" t="s">
        <f t="shared" si="944"/>
      </c>
      <c r="M634" s="8" t="s">
        <f t="shared" si="940"/>
      </c>
      <c r="N634" s="11"/>
      <c r="O634" s="10">
        <f ref="O634:P634" t="shared" si="1044">A634</f>
        <v>0</v>
      </c>
      <c r="P634" s="11">
        <f t="shared" si="1044"/>
        <v>0</v>
      </c>
      <c r="Q634" s="11" t="s">
        <f t="shared" si="937"/>
      </c>
      <c r="R634" s="11">
        <f t="shared" si="943"/>
        <v>0</v>
      </c>
      <c r="S634" s="11">
        <f ref="S634:U634" t="shared" si="1043">E634</f>
        <v>0</v>
      </c>
      <c r="T634" s="11">
        <f t="shared" si="1043"/>
        <v>0</v>
      </c>
      <c r="U634" s="11">
        <f t="shared" si="1043"/>
        <v>0</v>
      </c>
      <c r="V634" s="11">
        <f t="shared" si="938"/>
      </c>
      <c r="W634" s="11" t="s">
        <f t="shared" si="942"/>
      </c>
      <c r="X634" s="11" t="s">
        <f t="shared" si="939"/>
      </c>
    </row>
    <row r="635" ht="12.50" customHeight="true">
      <c r="A635" s="10"/>
      <c r="B635" s="11"/>
      <c r="C635" s="11"/>
      <c r="D635" s="11"/>
      <c r="E635" s="11"/>
      <c r="F635" s="11"/>
      <c r="G635" s="11"/>
      <c r="H635" s="11"/>
      <c r="I635" s="11"/>
      <c r="J635" s="11"/>
      <c r="K635" s="11" t="s">
        <f>""</f>
      </c>
      <c r="L635" s="11" t="s">
        <f t="shared" si="944"/>
      </c>
      <c r="M635" s="8" t="s">
        <f t="shared" si="940"/>
      </c>
      <c r="N635" s="11"/>
      <c r="O635" s="10">
        <f ref="O635:P635" t="shared" si="741">A635</f>
        <v>0</v>
      </c>
      <c r="P635" s="11">
        <f t="shared" si="741"/>
        <v>0</v>
      </c>
      <c r="Q635" s="11" t="s">
        <f t="shared" si="937"/>
      </c>
      <c r="R635" s="11">
        <f t="shared" si="943"/>
        <v>0</v>
      </c>
      <c r="S635" s="11">
        <f ref="S635:U635" t="shared" si="740">E635</f>
        <v>0</v>
      </c>
      <c r="T635" s="11">
        <f t="shared" si="740"/>
        <v>0</v>
      </c>
      <c r="U635" s="11">
        <f t="shared" si="740"/>
        <v>0</v>
      </c>
      <c r="V635" s="11">
        <f t="shared" si="938"/>
      </c>
      <c r="W635" s="11" t="s">
        <f t="shared" si="942"/>
      </c>
      <c r="X635" s="11" t="s">
        <f t="shared" si="939"/>
      </c>
    </row>
    <row r="636" ht="12.50" customHeight="true">
      <c r="A636" s="10"/>
      <c r="B636" s="11"/>
      <c r="C636" s="11"/>
      <c r="D636" s="11"/>
      <c r="E636" s="11"/>
      <c r="F636" s="11"/>
      <c r="G636" s="11"/>
      <c r="H636" s="11"/>
      <c r="I636" s="11"/>
      <c r="J636" s="11"/>
      <c r="K636" s="11" t="s">
        <f>""</f>
      </c>
      <c r="L636" s="11" t="s">
        <f t="shared" si="944"/>
      </c>
      <c r="M636" s="8" t="s">
        <f t="shared" si="940"/>
      </c>
      <c r="N636" s="11"/>
      <c r="O636" s="10">
        <f ref="O636:P636" t="shared" si="317">A636</f>
        <v>0</v>
      </c>
      <c r="P636" s="11">
        <f t="shared" si="317"/>
        <v>0</v>
      </c>
      <c r="Q636" s="11" t="s">
        <f t="shared" si="937"/>
      </c>
      <c r="R636" s="11">
        <f t="shared" si="943"/>
        <v>0</v>
      </c>
      <c r="S636" s="11">
        <f ref="S636:U636" t="shared" si="316">E636</f>
        <v>0</v>
      </c>
      <c r="T636" s="11">
        <f t="shared" si="316"/>
        <v>0</v>
      </c>
      <c r="U636" s="11">
        <f t="shared" si="316"/>
        <v>0</v>
      </c>
      <c r="V636" s="11">
        <f t="shared" si="938"/>
      </c>
      <c r="W636" s="11" t="s">
        <f t="shared" si="942"/>
      </c>
      <c r="X636" s="11" t="s">
        <f t="shared" si="939"/>
      </c>
    </row>
    <row r="637" ht="12.50" customHeight="true">
      <c r="A637" s="10"/>
      <c r="B637" s="11"/>
      <c r="C637" s="11"/>
      <c r="D637" s="11"/>
      <c r="E637" s="11"/>
      <c r="F637" s="11"/>
      <c r="G637" s="11"/>
      <c r="H637" s="11"/>
      <c r="I637" s="11"/>
      <c r="J637" s="11"/>
      <c r="K637" s="11" t="s">
        <f>""</f>
      </c>
      <c r="L637" s="11" t="s">
        <f t="shared" si="944"/>
      </c>
      <c r="M637" s="8" t="s">
        <f t="shared" si="940"/>
      </c>
      <c r="N637" s="11"/>
      <c r="O637" s="10">
        <f ref="O637:P637" t="shared" si="91">A637</f>
        <v>0</v>
      </c>
      <c r="P637" s="11">
        <f t="shared" si="91"/>
        <v>0</v>
      </c>
      <c r="Q637" s="11" t="s">
        <f t="shared" si="937"/>
      </c>
      <c r="R637" s="11">
        <f t="shared" si="943"/>
        <v>0</v>
      </c>
      <c r="S637" s="11">
        <f ref="S637:U637" t="shared" si="90">E637</f>
        <v>0</v>
      </c>
      <c r="T637" s="11">
        <f t="shared" si="90"/>
        <v>0</v>
      </c>
      <c r="U637" s="11">
        <f t="shared" si="90"/>
        <v>0</v>
      </c>
      <c r="V637" s="11">
        <f t="shared" si="938"/>
      </c>
      <c r="W637" s="11" t="s">
        <f t="shared" si="942"/>
      </c>
      <c r="X637" s="11" t="s">
        <f t="shared" si="939"/>
      </c>
    </row>
    <row r="638" ht="12.50" customHeight="true">
      <c r="A638" s="10"/>
      <c r="B638" s="11"/>
      <c r="C638" s="11"/>
      <c r="D638" s="11"/>
      <c r="E638" s="11"/>
      <c r="F638" s="11"/>
      <c r="G638" s="11"/>
      <c r="H638" s="11"/>
      <c r="I638" s="11"/>
      <c r="J638" s="11"/>
      <c r="K638" s="11" t="s">
        <f>""</f>
      </c>
      <c r="L638" s="11" t="s">
        <f t="shared" si="944"/>
      </c>
      <c r="M638" s="8" t="s">
        <f t="shared" si="940"/>
      </c>
      <c r="N638" s="11"/>
      <c r="O638" s="10">
        <f ref="O638:P638" t="shared" si="192">A638</f>
        <v>0</v>
      </c>
      <c r="P638" s="11">
        <f t="shared" si="192"/>
        <v>0</v>
      </c>
      <c r="Q638" s="11" t="s">
        <f t="shared" si="937"/>
      </c>
      <c r="R638" s="11">
        <f t="shared" si="943"/>
        <v>0</v>
      </c>
      <c r="S638" s="11">
        <f ref="S638:U638" t="shared" si="191">E638</f>
        <v>0</v>
      </c>
      <c r="T638" s="11">
        <f t="shared" si="191"/>
        <v>0</v>
      </c>
      <c r="U638" s="11">
        <f t="shared" si="191"/>
        <v>0</v>
      </c>
      <c r="V638" s="11">
        <f t="shared" si="938"/>
      </c>
      <c r="W638" s="11" t="s">
        <f t="shared" si="942"/>
      </c>
      <c r="X638" s="11" t="s">
        <f t="shared" si="939"/>
      </c>
    </row>
    <row r="639" ht="12.50" customHeight="true">
      <c r="A639" s="10"/>
      <c r="B639" s="11"/>
      <c r="C639" s="11"/>
      <c r="D639" s="11"/>
      <c r="E639" s="11"/>
      <c r="F639" s="11"/>
      <c r="G639" s="11"/>
      <c r="H639" s="11"/>
      <c r="I639" s="11"/>
      <c r="J639" s="11"/>
      <c r="K639" s="11" t="s">
        <f>""</f>
      </c>
      <c r="L639" s="11" t="s">
        <f t="shared" si="944"/>
      </c>
      <c r="M639" s="8" t="s">
        <f t="shared" si="940"/>
      </c>
      <c r="N639" s="11"/>
      <c r="O639" s="10">
        <f ref="O639:P639" t="shared" si="616">A639</f>
        <v>0</v>
      </c>
      <c r="P639" s="11">
        <f t="shared" si="616"/>
        <v>0</v>
      </c>
      <c r="Q639" s="11" t="s">
        <f t="shared" si="937"/>
      </c>
      <c r="R639" s="11">
        <f t="shared" si="943"/>
        <v>0</v>
      </c>
      <c r="S639" s="11">
        <f ref="S639:U639" t="shared" si="617">E639</f>
        <v>0</v>
      </c>
      <c r="T639" s="11">
        <f t="shared" si="617"/>
        <v>0</v>
      </c>
      <c r="U639" s="11">
        <f t="shared" si="617"/>
        <v>0</v>
      </c>
      <c r="V639" s="11">
        <f t="shared" si="938"/>
      </c>
      <c r="W639" s="11" t="s">
        <f t="shared" si="942"/>
      </c>
      <c r="X639" s="11" t="s">
        <f t="shared" si="939"/>
      </c>
    </row>
    <row r="640" ht="12.50" customHeight="true">
      <c r="A640" s="10"/>
      <c r="B640" s="11"/>
      <c r="C640" s="11"/>
      <c r="D640" s="11"/>
      <c r="E640" s="11"/>
      <c r="F640" s="11"/>
      <c r="G640" s="11"/>
      <c r="H640" s="11"/>
      <c r="I640" s="11"/>
      <c r="J640" s="11"/>
      <c r="K640" s="11" t="s">
        <f>""</f>
      </c>
      <c r="L640" s="11" t="s">
        <f t="shared" si="944"/>
      </c>
      <c r="M640" s="8" t="s">
        <f t="shared" si="940"/>
      </c>
      <c r="N640" s="11"/>
      <c r="O640" s="10">
        <f ref="O640:P640" t="shared" si="1427">A640</f>
        <v>0</v>
      </c>
      <c r="P640" s="11">
        <f t="shared" si="1427"/>
        <v>0</v>
      </c>
      <c r="Q640" s="11" t="s">
        <f t="shared" si="937"/>
      </c>
      <c r="R640" s="11">
        <f t="shared" si="943"/>
        <v>0</v>
      </c>
      <c r="S640" s="11">
        <f ref="S640:U640" t="shared" si="1426">E640</f>
        <v>0</v>
      </c>
      <c r="T640" s="11">
        <f t="shared" si="1426"/>
        <v>0</v>
      </c>
      <c r="U640" s="11">
        <f t="shared" si="1426"/>
        <v>0</v>
      </c>
      <c r="V640" s="11">
        <f t="shared" si="938"/>
      </c>
      <c r="W640" s="11" t="s">
        <f t="shared" si="942"/>
      </c>
      <c r="X640" s="11" t="s">
        <f t="shared" si="939"/>
      </c>
    </row>
    <row r="641" ht="12.50" customHeight="true">
      <c r="A641" s="10"/>
      <c r="B641" s="11"/>
      <c r="C641" s="11"/>
      <c r="D641" s="11"/>
      <c r="E641" s="11"/>
      <c r="F641" s="11"/>
      <c r="G641" s="11"/>
      <c r="H641" s="11"/>
      <c r="I641" s="11"/>
      <c r="J641" s="11"/>
      <c r="K641" s="11" t="s">
        <f>""</f>
      </c>
      <c r="L641" s="11" t="s">
        <f t="shared" si="944"/>
      </c>
      <c r="M641" s="8" t="s">
        <f t="shared" si="940"/>
      </c>
      <c r="N641" s="11"/>
      <c r="O641" s="10">
        <f ref="O641:P641" t="shared" si="985">A641</f>
        <v>0</v>
      </c>
      <c r="P641" s="11">
        <f t="shared" si="985"/>
        <v>0</v>
      </c>
      <c r="Q641" s="11" t="s">
        <f t="shared" si="937"/>
      </c>
      <c r="R641" s="11">
        <f t="shared" si="943"/>
        <v>0</v>
      </c>
      <c r="S641" s="11">
        <f ref="S641:U641" t="shared" si="986">E641</f>
        <v>0</v>
      </c>
      <c r="T641" s="11">
        <f t="shared" si="986"/>
        <v>0</v>
      </c>
      <c r="U641" s="11">
        <f t="shared" si="986"/>
        <v>0</v>
      </c>
      <c r="V641" s="11">
        <f t="shared" si="938"/>
      </c>
      <c r="W641" s="11" t="s">
        <f t="shared" si="942"/>
      </c>
      <c r="X641" s="11" t="s">
        <f t="shared" si="939"/>
      </c>
    </row>
    <row r="642" ht="12.50" customHeight="true">
      <c r="A642" s="10"/>
      <c r="B642" s="11"/>
      <c r="C642" s="11"/>
      <c r="D642" s="11"/>
      <c r="E642" s="11"/>
      <c r="F642" s="11"/>
      <c r="G642" s="11"/>
      <c r="H642" s="11"/>
      <c r="I642" s="11"/>
      <c r="J642" s="11"/>
      <c r="K642" s="11" t="s">
        <f>""</f>
      </c>
      <c r="L642" s="11" t="s">
        <f t="shared" si="944"/>
      </c>
      <c r="M642" s="8" t="s">
        <f t="shared" si="940"/>
      </c>
      <c r="N642" s="11"/>
      <c r="O642" s="10">
        <f ref="O642:P642" t="shared" si="1383">A642</f>
        <v>0</v>
      </c>
      <c r="P642" s="11">
        <f t="shared" si="1383"/>
        <v>0</v>
      </c>
      <c r="Q642" s="11" t="s">
        <f t="shared" si="937"/>
      </c>
      <c r="R642" s="11">
        <f t="shared" si="943"/>
        <v>0</v>
      </c>
      <c r="S642" s="11">
        <f ref="S642:U642" t="shared" si="1382">E642</f>
        <v>0</v>
      </c>
      <c r="T642" s="11">
        <f t="shared" si="1382"/>
        <v>0</v>
      </c>
      <c r="U642" s="11">
        <f t="shared" si="1382"/>
        <v>0</v>
      </c>
      <c r="V642" s="11">
        <f t="shared" si="938"/>
      </c>
      <c r="W642" s="11" t="s">
        <f t="shared" si="942"/>
      </c>
      <c r="X642" s="11" t="s">
        <f t="shared" si="939"/>
      </c>
    </row>
    <row r="643" ht="12.50" customHeight="true">
      <c r="A643" s="10"/>
      <c r="B643" s="11"/>
      <c r="C643" s="11"/>
      <c r="D643" s="11"/>
      <c r="E643" s="11"/>
      <c r="F643" s="11"/>
      <c r="G643" s="11"/>
      <c r="H643" s="11"/>
      <c r="I643" s="11"/>
      <c r="J643" s="11"/>
      <c r="K643" s="11" t="s">
        <f>""</f>
      </c>
      <c r="L643" s="11" t="s">
        <f t="shared" si="944"/>
      </c>
      <c r="M643" s="8" t="s">
        <f t="shared" si="940"/>
      </c>
      <c r="N643" s="11"/>
      <c r="O643" s="10">
        <f ref="O643:P643" t="shared" si="1112">A643</f>
        <v>0</v>
      </c>
      <c r="P643" s="11">
        <f t="shared" si="1112"/>
        <v>0</v>
      </c>
      <c r="Q643" s="11" t="s">
        <f t="shared" si="937"/>
      </c>
      <c r="R643" s="11">
        <f t="shared" si="943"/>
        <v>0</v>
      </c>
      <c r="S643" s="11">
        <f ref="S643:U643" t="shared" si="1111">E643</f>
        <v>0</v>
      </c>
      <c r="T643" s="11">
        <f t="shared" si="1111"/>
        <v>0</v>
      </c>
      <c r="U643" s="11">
        <f t="shared" si="1111"/>
        <v>0</v>
      </c>
      <c r="V643" s="11">
        <f t="shared" si="938"/>
      </c>
      <c r="W643" s="11" t="s">
        <f t="shared" si="942"/>
      </c>
      <c r="X643" s="11" t="s">
        <f t="shared" si="939"/>
      </c>
    </row>
    <row r="644" ht="12.50" customHeight="true">
      <c r="A644" s="10"/>
      <c r="B644" s="11"/>
      <c r="C644" s="11"/>
      <c r="D644" s="11"/>
      <c r="E644" s="11"/>
      <c r="F644" s="11"/>
      <c r="G644" s="11"/>
      <c r="H644" s="11"/>
      <c r="I644" s="11"/>
      <c r="J644" s="11"/>
      <c r="K644" s="11" t="s">
        <f>""</f>
      </c>
      <c r="L644" s="11" t="s">
        <f t="shared" si="944"/>
      </c>
      <c r="M644" s="8" t="s">
        <f t="shared" si="940"/>
      </c>
      <c r="N644" s="11"/>
      <c r="O644" s="10">
        <f ref="O644:P644" t="shared" si="468">A644</f>
        <v>0</v>
      </c>
      <c r="P644" s="11">
        <f t="shared" si="468"/>
        <v>0</v>
      </c>
      <c r="Q644" s="11" t="s">
        <f t="shared" si="937"/>
      </c>
      <c r="R644" s="11">
        <f t="shared" si="943"/>
        <v>0</v>
      </c>
      <c r="S644" s="11">
        <f ref="S644:U644" t="shared" si="469">E644</f>
        <v>0</v>
      </c>
      <c r="T644" s="11">
        <f t="shared" si="469"/>
        <v>0</v>
      </c>
      <c r="U644" s="11">
        <f t="shared" si="469"/>
        <v>0</v>
      </c>
      <c r="V644" s="11">
        <f t="shared" si="938"/>
      </c>
      <c r="W644" s="11" t="s">
        <f t="shared" si="942"/>
      </c>
      <c r="X644" s="11" t="s">
        <f t="shared" si="939"/>
      </c>
    </row>
    <row r="645" ht="12.50" customHeight="true">
      <c r="A645" s="10"/>
      <c r="B645" s="11"/>
      <c r="C645" s="11"/>
      <c r="D645" s="11"/>
      <c r="E645" s="11"/>
      <c r="F645" s="11"/>
      <c r="G645" s="11"/>
      <c r="H645" s="11"/>
      <c r="I645" s="11"/>
      <c r="J645" s="11"/>
      <c r="K645" s="11" t="s">
        <f>""</f>
      </c>
      <c r="L645" s="11" t="s">
        <f t="shared" si="944"/>
      </c>
      <c r="M645" s="8" t="s">
        <f t="shared" si="940"/>
      </c>
      <c r="N645" s="11"/>
      <c r="O645" s="10">
        <f ref="O645:P645" t="shared" si="495">A645</f>
        <v>0</v>
      </c>
      <c r="P645" s="11">
        <f t="shared" si="495"/>
        <v>0</v>
      </c>
      <c r="Q645" s="11" t="s">
        <f t="shared" si="937"/>
      </c>
      <c r="R645" s="11">
        <f t="shared" si="943"/>
        <v>0</v>
      </c>
      <c r="S645" s="11">
        <f ref="S645:U645" t="shared" si="494">E645</f>
        <v>0</v>
      </c>
      <c r="T645" s="11">
        <f t="shared" si="494"/>
        <v>0</v>
      </c>
      <c r="U645" s="11">
        <f t="shared" si="494"/>
        <v>0</v>
      </c>
      <c r="V645" s="11">
        <f t="shared" si="938"/>
      </c>
      <c r="W645" s="11" t="s">
        <f t="shared" si="942"/>
      </c>
      <c r="X645" s="11" t="s">
        <f t="shared" si="939"/>
      </c>
    </row>
    <row r="646" ht="12.50" customHeight="true">
      <c r="A646" s="10"/>
      <c r="B646" s="11"/>
      <c r="C646" s="11"/>
      <c r="D646" s="11"/>
      <c r="E646" s="11"/>
      <c r="F646" s="11"/>
      <c r="G646" s="11"/>
      <c r="H646" s="11"/>
      <c r="I646" s="11"/>
      <c r="J646" s="11"/>
      <c r="K646" s="11" t="s">
        <f>""</f>
      </c>
      <c r="L646" s="11" t="s">
        <f t="shared" si="944"/>
      </c>
      <c r="M646" s="8" t="s">
        <f t="shared" si="940"/>
      </c>
      <c r="N646" s="11"/>
      <c r="O646" s="10">
        <f ref="O646:P646" t="shared" si="537">A646</f>
        <v>0</v>
      </c>
      <c r="P646" s="11">
        <f t="shared" si="537"/>
        <v>0</v>
      </c>
      <c r="Q646" s="11" t="s">
        <f t="shared" si="937"/>
      </c>
      <c r="R646" s="11">
        <f t="shared" si="943"/>
        <v>0</v>
      </c>
      <c r="S646" s="11">
        <f ref="S646:U646" t="shared" si="536">E646</f>
        <v>0</v>
      </c>
      <c r="T646" s="11">
        <f t="shared" si="536"/>
        <v>0</v>
      </c>
      <c r="U646" s="11">
        <f t="shared" si="536"/>
        <v>0</v>
      </c>
      <c r="V646" s="11">
        <f t="shared" si="938"/>
      </c>
      <c r="W646" s="11" t="s">
        <f t="shared" si="942"/>
      </c>
      <c r="X646" s="11" t="s">
        <f t="shared" si="939"/>
      </c>
    </row>
    <row r="647" ht="12.50" customHeight="true">
      <c r="A647" s="10"/>
      <c r="B647" s="11"/>
      <c r="C647" s="11"/>
      <c r="D647" s="11"/>
      <c r="E647" s="11"/>
      <c r="F647" s="11"/>
      <c r="G647" s="11"/>
      <c r="H647" s="11"/>
      <c r="I647" s="11"/>
      <c r="J647" s="11"/>
      <c r="K647" s="11" t="s">
        <f>""</f>
      </c>
      <c r="L647" s="11" t="s">
        <f t="shared" si="944"/>
      </c>
      <c r="M647" s="8" t="s">
        <f t="shared" si="940"/>
      </c>
      <c r="N647" s="11"/>
      <c r="O647" s="10">
        <f ref="O647:P647" t="shared" si="1965">A647</f>
        <v>0</v>
      </c>
      <c r="P647" s="11">
        <f t="shared" si="1965"/>
        <v>0</v>
      </c>
      <c r="Q647" s="11" t="s">
        <f t="shared" si="937"/>
      </c>
      <c r="R647" s="11">
        <f t="shared" si="943"/>
        <v>0</v>
      </c>
      <c r="S647" s="11">
        <f ref="S647:U647" t="shared" si="1964">E647</f>
        <v>0</v>
      </c>
      <c r="T647" s="11">
        <f t="shared" si="1964"/>
        <v>0</v>
      </c>
      <c r="U647" s="11">
        <f t="shared" si="1964"/>
        <v>0</v>
      </c>
      <c r="V647" s="11">
        <f t="shared" si="938"/>
      </c>
      <c r="W647" s="11" t="s">
        <f t="shared" si="942"/>
      </c>
      <c r="X647" s="11" t="s">
        <f t="shared" si="939"/>
      </c>
    </row>
    <row r="648" ht="12.50" customHeight="true">
      <c r="A648" s="10"/>
      <c r="B648" s="11"/>
      <c r="C648" s="11"/>
      <c r="D648" s="11"/>
      <c r="E648" s="11"/>
      <c r="F648" s="11"/>
      <c r="G648" s="11"/>
      <c r="H648" s="11"/>
      <c r="I648" s="11"/>
      <c r="J648" s="11"/>
      <c r="K648" s="11" t="s">
        <f>""</f>
      </c>
      <c r="L648" s="11" t="s">
        <f t="shared" si="944"/>
      </c>
      <c r="M648" s="8" t="s">
        <f t="shared" si="940"/>
      </c>
      <c r="N648" s="11"/>
      <c r="O648" s="10">
        <f ref="O648:P648" t="shared" si="1922">A648</f>
        <v>0</v>
      </c>
      <c r="P648" s="11">
        <f t="shared" si="1922"/>
        <v>0</v>
      </c>
      <c r="Q648" s="11" t="s">
        <f t="shared" si="937"/>
      </c>
      <c r="R648" s="11">
        <f t="shared" si="943"/>
        <v>0</v>
      </c>
      <c r="S648" s="11">
        <f ref="S648:U648" t="shared" si="1923">E648</f>
        <v>0</v>
      </c>
      <c r="T648" s="11">
        <f t="shared" si="1923"/>
        <v>0</v>
      </c>
      <c r="U648" s="11">
        <f t="shared" si="1923"/>
        <v>0</v>
      </c>
      <c r="V648" s="11">
        <f t="shared" si="938"/>
      </c>
      <c r="W648" s="11" t="s">
        <f t="shared" si="942"/>
      </c>
      <c r="X648" s="11" t="s">
        <f t="shared" si="939"/>
      </c>
    </row>
    <row r="649" ht="12.50" customHeight="true">
      <c r="A649" s="10"/>
      <c r="B649" s="11"/>
      <c r="C649" s="11"/>
      <c r="D649" s="11"/>
      <c r="E649" s="11"/>
      <c r="F649" s="11"/>
      <c r="G649" s="11"/>
      <c r="H649" s="11"/>
      <c r="I649" s="11"/>
      <c r="J649" s="11"/>
      <c r="K649" s="11" t="s">
        <f>""</f>
      </c>
      <c r="L649" s="11" t="s">
        <f t="shared" si="944"/>
      </c>
      <c r="M649" s="8" t="s">
        <f t="shared" si="940"/>
      </c>
      <c r="N649" s="11"/>
      <c r="O649" s="10">
        <f ref="O649:P649" t="shared" si="1594">A649</f>
        <v>0</v>
      </c>
      <c r="P649" s="11">
        <f t="shared" si="1594"/>
        <v>0</v>
      </c>
      <c r="Q649" s="11" t="s">
        <f t="shared" si="937"/>
      </c>
      <c r="R649" s="11">
        <f t="shared" si="943"/>
        <v>0</v>
      </c>
      <c r="S649" s="11">
        <f ref="S649:U649" t="shared" si="1595">E649</f>
        <v>0</v>
      </c>
      <c r="T649" s="11">
        <f t="shared" si="1595"/>
        <v>0</v>
      </c>
      <c r="U649" s="11">
        <f t="shared" si="1595"/>
        <v>0</v>
      </c>
      <c r="V649" s="11">
        <f t="shared" si="938"/>
      </c>
      <c r="W649" s="11" t="s">
        <f t="shared" si="942"/>
      </c>
      <c r="X649" s="11" t="s">
        <f t="shared" si="939"/>
      </c>
    </row>
    <row r="650" ht="12.50" customHeight="true">
      <c r="A650" s="10"/>
      <c r="B650" s="11"/>
      <c r="C650" s="11"/>
      <c r="D650" s="11"/>
      <c r="E650" s="11"/>
      <c r="F650" s="11"/>
      <c r="G650" s="11"/>
      <c r="H650" s="11"/>
      <c r="I650" s="11"/>
      <c r="J650" s="11"/>
      <c r="K650" s="11" t="s">
        <f>""</f>
      </c>
      <c r="L650" s="11" t="s">
        <f t="shared" si="944"/>
      </c>
      <c r="M650" s="8" t="s">
        <f t="shared" si="940"/>
      </c>
      <c r="N650" s="11"/>
      <c r="O650" s="10">
        <f ref="O650:P650" t="shared" si="503">A650</f>
        <v>0</v>
      </c>
      <c r="P650" s="11">
        <f t="shared" si="503"/>
        <v>0</v>
      </c>
      <c r="Q650" s="11" t="s">
        <f t="shared" si="937"/>
      </c>
      <c r="R650" s="11">
        <f t="shared" si="943"/>
        <v>0</v>
      </c>
      <c r="S650" s="11">
        <f ref="S650:U650" t="shared" si="502">E650</f>
        <v>0</v>
      </c>
      <c r="T650" s="11">
        <f t="shared" si="502"/>
        <v>0</v>
      </c>
      <c r="U650" s="11">
        <f t="shared" si="502"/>
        <v>0</v>
      </c>
      <c r="V650" s="11">
        <f t="shared" si="938"/>
      </c>
      <c r="W650" s="11" t="s">
        <f t="shared" si="942"/>
      </c>
      <c r="X650" s="11" t="s">
        <f t="shared" si="939"/>
      </c>
    </row>
    <row r="651" ht="12.50" customHeight="true">
      <c r="A651" s="10"/>
      <c r="B651" s="11"/>
      <c r="C651" s="11"/>
      <c r="D651" s="11"/>
      <c r="E651" s="11"/>
      <c r="F651" s="11"/>
      <c r="G651" s="11"/>
      <c r="H651" s="11"/>
      <c r="I651" s="11"/>
      <c r="J651" s="11"/>
      <c r="K651" s="11" t="s">
        <f>""</f>
      </c>
      <c r="L651" s="11" t="s">
        <f t="shared" si="944"/>
      </c>
      <c r="M651" s="8" t="s">
        <f t="shared" si="940"/>
      </c>
      <c r="N651" s="11"/>
      <c r="O651" s="10">
        <f ref="O651:P651" t="shared" si="663">A651</f>
        <v>0</v>
      </c>
      <c r="P651" s="11">
        <f t="shared" si="663"/>
        <v>0</v>
      </c>
      <c r="Q651" s="11" t="s">
        <f t="shared" si="937"/>
      </c>
      <c r="R651" s="11">
        <f t="shared" si="943"/>
        <v>0</v>
      </c>
      <c r="S651" s="11">
        <f ref="S651:U651" t="shared" si="662">E651</f>
        <v>0</v>
      </c>
      <c r="T651" s="11">
        <f t="shared" si="662"/>
        <v>0</v>
      </c>
      <c r="U651" s="11">
        <f t="shared" si="662"/>
        <v>0</v>
      </c>
      <c r="V651" s="11">
        <f t="shared" si="938"/>
      </c>
      <c r="W651" s="11" t="s">
        <f t="shared" si="942"/>
      </c>
      <c r="X651" s="11" t="s">
        <f t="shared" si="939"/>
      </c>
    </row>
    <row r="652" ht="12.50" customHeight="true">
      <c r="A652" s="10"/>
      <c r="B652" s="11"/>
      <c r="C652" s="11"/>
      <c r="D652" s="11"/>
      <c r="E652" s="11"/>
      <c r="F652" s="11"/>
      <c r="G652" s="11"/>
      <c r="H652" s="11"/>
      <c r="I652" s="11"/>
      <c r="J652" s="11"/>
      <c r="K652" s="11" t="s">
        <f>""</f>
      </c>
      <c r="L652" s="11" t="s">
        <f t="shared" si="944"/>
      </c>
      <c r="M652" s="8" t="s">
        <f t="shared" si="940"/>
      </c>
      <c r="N652" s="11"/>
      <c r="O652" s="10">
        <f ref="O652:P652" t="shared" si="1423">A652</f>
        <v>0</v>
      </c>
      <c r="P652" s="11">
        <f t="shared" si="1423"/>
        <v>0</v>
      </c>
      <c r="Q652" s="11" t="s">
        <f t="shared" si="937"/>
      </c>
      <c r="R652" s="11">
        <f t="shared" si="943"/>
        <v>0</v>
      </c>
      <c r="S652" s="11">
        <f ref="S652:U652" t="shared" si="1422">E652</f>
        <v>0</v>
      </c>
      <c r="T652" s="11">
        <f t="shared" si="1422"/>
        <v>0</v>
      </c>
      <c r="U652" s="11">
        <f t="shared" si="1422"/>
        <v>0</v>
      </c>
      <c r="V652" s="11">
        <f t="shared" si="938"/>
      </c>
      <c r="W652" s="11" t="s">
        <f t="shared" si="942"/>
      </c>
      <c r="X652" s="11" t="s">
        <f t="shared" si="939"/>
      </c>
    </row>
    <row r="653" ht="12.50" customHeight="true">
      <c r="A653" s="10"/>
      <c r="B653" s="11"/>
      <c r="C653" s="11"/>
      <c r="D653" s="11"/>
      <c r="E653" s="11"/>
      <c r="F653" s="11"/>
      <c r="G653" s="11"/>
      <c r="H653" s="11"/>
      <c r="I653" s="11"/>
      <c r="J653" s="11"/>
      <c r="K653" s="11" t="s">
        <f>""</f>
      </c>
      <c r="L653" s="11" t="s">
        <f t="shared" si="944"/>
      </c>
      <c r="M653" s="8" t="s">
        <f t="shared" si="940"/>
      </c>
      <c r="N653" s="11"/>
      <c r="O653" s="10">
        <f ref="O653:P653" t="shared" si="815">A653</f>
        <v>0</v>
      </c>
      <c r="P653" s="11">
        <f t="shared" si="815"/>
        <v>0</v>
      </c>
      <c r="Q653" s="11" t="s">
        <f t="shared" si="937"/>
      </c>
      <c r="R653" s="11">
        <f t="shared" si="943"/>
        <v>0</v>
      </c>
      <c r="S653" s="11">
        <f ref="S653:U653" t="shared" si="814">E653</f>
        <v>0</v>
      </c>
      <c r="T653" s="11">
        <f t="shared" si="814"/>
        <v>0</v>
      </c>
      <c r="U653" s="11">
        <f t="shared" si="814"/>
        <v>0</v>
      </c>
      <c r="V653" s="11">
        <f t="shared" si="938"/>
      </c>
      <c r="W653" s="11" t="s">
        <f t="shared" si="942"/>
      </c>
      <c r="X653" s="11" t="s">
        <f t="shared" si="939"/>
      </c>
    </row>
    <row r="654" ht="12.50" customHeight="true">
      <c r="A654" s="10"/>
      <c r="B654" s="11"/>
      <c r="C654" s="11"/>
      <c r="D654" s="11"/>
      <c r="E654" s="11"/>
      <c r="F654" s="11"/>
      <c r="G654" s="11"/>
      <c r="H654" s="11"/>
      <c r="I654" s="11"/>
      <c r="J654" s="11"/>
      <c r="K654" s="11" t="s">
        <f>""</f>
      </c>
      <c r="L654" s="11" t="s">
        <f t="shared" si="944"/>
      </c>
      <c r="M654" s="8" t="s">
        <f t="shared" si="940"/>
      </c>
      <c r="N654" s="11"/>
      <c r="O654" s="10">
        <f ref="O654:P654" t="shared" si="1501">A654</f>
        <v>0</v>
      </c>
      <c r="P654" s="11">
        <f t="shared" si="1501"/>
        <v>0</v>
      </c>
      <c r="Q654" s="11" t="s">
        <f t="shared" si="937"/>
      </c>
      <c r="R654" s="11">
        <f t="shared" si="943"/>
        <v>0</v>
      </c>
      <c r="S654" s="11">
        <f ref="S654:U654" t="shared" si="1500">E654</f>
        <v>0</v>
      </c>
      <c r="T654" s="11">
        <f t="shared" si="1500"/>
        <v>0</v>
      </c>
      <c r="U654" s="11">
        <f t="shared" si="1500"/>
        <v>0</v>
      </c>
      <c r="V654" s="11">
        <f t="shared" si="938"/>
      </c>
      <c r="W654" s="11" t="s">
        <f t="shared" si="942"/>
      </c>
      <c r="X654" s="11" t="s">
        <f t="shared" si="939"/>
      </c>
    </row>
    <row r="655" ht="12.50" customHeight="true">
      <c r="A655" s="10"/>
      <c r="B655" s="11"/>
      <c r="C655" s="11"/>
      <c r="D655" s="11"/>
      <c r="E655" s="11"/>
      <c r="F655" s="11"/>
      <c r="G655" s="11"/>
      <c r="H655" s="11"/>
      <c r="I655" s="11"/>
      <c r="J655" s="11"/>
      <c r="K655" s="11" t="s">
        <f>""</f>
      </c>
      <c r="L655" s="11" t="s">
        <f t="shared" si="944"/>
      </c>
      <c r="M655" s="8" t="s">
        <f t="shared" si="940"/>
      </c>
      <c r="N655" s="11"/>
      <c r="O655" s="10">
        <f ref="O655:P655" t="shared" si="1697">A655</f>
        <v>0</v>
      </c>
      <c r="P655" s="11">
        <f t="shared" si="1697"/>
        <v>0</v>
      </c>
      <c r="Q655" s="11" t="s">
        <f t="shared" si="937"/>
      </c>
      <c r="R655" s="11">
        <f t="shared" si="943"/>
        <v>0</v>
      </c>
      <c r="S655" s="11">
        <f ref="S655:U655" t="shared" si="1696">E655</f>
        <v>0</v>
      </c>
      <c r="T655" s="11">
        <f t="shared" si="1696"/>
        <v>0</v>
      </c>
      <c r="U655" s="11">
        <f t="shared" si="1696"/>
        <v>0</v>
      </c>
      <c r="V655" s="11">
        <f t="shared" si="938"/>
      </c>
      <c r="W655" s="11" t="s">
        <f t="shared" si="942"/>
      </c>
      <c r="X655" s="11" t="s">
        <f t="shared" si="939"/>
      </c>
    </row>
    <row r="656" ht="12.50" customHeight="true">
      <c r="A656" s="10"/>
      <c r="B656" s="11"/>
      <c r="C656" s="11"/>
      <c r="D656" s="11"/>
      <c r="E656" s="11"/>
      <c r="F656" s="11"/>
      <c r="G656" s="11"/>
      <c r="H656" s="11"/>
      <c r="I656" s="11"/>
      <c r="J656" s="11"/>
      <c r="K656" s="11" t="s">
        <f>""</f>
      </c>
      <c r="L656" s="11" t="s">
        <f t="shared" si="944"/>
      </c>
      <c r="M656" s="8" t="s">
        <f t="shared" si="940"/>
      </c>
      <c r="N656" s="11"/>
      <c r="O656" s="10">
        <f ref="O656:P656" t="shared" si="1132">A656</f>
        <v>0</v>
      </c>
      <c r="P656" s="11">
        <f t="shared" si="1132"/>
        <v>0</v>
      </c>
      <c r="Q656" s="11" t="s">
        <f t="shared" si="937"/>
      </c>
      <c r="R656" s="11">
        <f t="shared" si="943"/>
        <v>0</v>
      </c>
      <c r="S656" s="11">
        <f ref="S656:U656" t="shared" si="1131">E656</f>
        <v>0</v>
      </c>
      <c r="T656" s="11">
        <f t="shared" si="1131"/>
        <v>0</v>
      </c>
      <c r="U656" s="11">
        <f t="shared" si="1131"/>
        <v>0</v>
      </c>
      <c r="V656" s="11">
        <f t="shared" si="938"/>
      </c>
      <c r="W656" s="11" t="s">
        <f t="shared" si="942"/>
      </c>
      <c r="X656" s="11" t="s">
        <f t="shared" si="939"/>
      </c>
    </row>
    <row r="657" ht="12.50" customHeight="true">
      <c r="A657" s="10"/>
      <c r="B657" s="11"/>
      <c r="C657" s="11"/>
      <c r="D657" s="11"/>
      <c r="E657" s="11"/>
      <c r="F657" s="11"/>
      <c r="G657" s="11"/>
      <c r="H657" s="11"/>
      <c r="I657" s="11"/>
      <c r="J657" s="11"/>
      <c r="K657" s="11" t="s">
        <f>""</f>
      </c>
      <c r="L657" s="11" t="s">
        <f t="shared" si="944"/>
      </c>
      <c r="M657" s="8" t="s">
        <f t="shared" si="940"/>
      </c>
      <c r="N657" s="11"/>
      <c r="O657" s="10">
        <f ref="O657:P657" t="shared" si="838">A657</f>
        <v>0</v>
      </c>
      <c r="P657" s="11">
        <f t="shared" si="838"/>
        <v>0</v>
      </c>
      <c r="Q657" s="11" t="s">
        <f t="shared" si="937"/>
      </c>
      <c r="R657" s="11">
        <f t="shared" si="943"/>
        <v>0</v>
      </c>
      <c r="S657" s="11">
        <f ref="S657:U657" t="shared" si="839">E657</f>
        <v>0</v>
      </c>
      <c r="T657" s="11">
        <f t="shared" si="839"/>
        <v>0</v>
      </c>
      <c r="U657" s="11">
        <f t="shared" si="839"/>
        <v>0</v>
      </c>
      <c r="V657" s="11">
        <f t="shared" si="938"/>
      </c>
      <c r="W657" s="11" t="s">
        <f t="shared" si="942"/>
      </c>
      <c r="X657" s="11" t="s">
        <f t="shared" si="939"/>
      </c>
    </row>
    <row r="658" ht="12.50" customHeight="true">
      <c r="A658" s="10"/>
      <c r="B658" s="11"/>
      <c r="C658" s="11"/>
      <c r="D658" s="11"/>
      <c r="E658" s="11"/>
      <c r="F658" s="11"/>
      <c r="G658" s="11"/>
      <c r="H658" s="11"/>
      <c r="I658" s="11"/>
      <c r="J658" s="11"/>
      <c r="K658" s="11" t="s">
        <f>""</f>
      </c>
      <c r="L658" s="11" t="s">
        <f t="shared" si="944"/>
      </c>
      <c r="M658" s="8" t="s">
        <f t="shared" si="940"/>
      </c>
      <c r="N658" s="11"/>
      <c r="O658" s="10">
        <f ref="O658:P658" t="shared" si="52">A658</f>
        <v>0</v>
      </c>
      <c r="P658" s="11">
        <f t="shared" si="52"/>
        <v>0</v>
      </c>
      <c r="Q658" s="11" t="s">
        <f t="shared" si="937"/>
      </c>
      <c r="R658" s="11">
        <f t="shared" si="943"/>
        <v>0</v>
      </c>
      <c r="S658" s="11">
        <f ref="S658:U658" t="shared" si="53">E658</f>
        <v>0</v>
      </c>
      <c r="T658" s="11">
        <f t="shared" si="53"/>
        <v>0</v>
      </c>
      <c r="U658" s="11">
        <f t="shared" si="53"/>
        <v>0</v>
      </c>
      <c r="V658" s="11">
        <f t="shared" si="938"/>
      </c>
      <c r="W658" s="11" t="s">
        <f t="shared" si="942"/>
      </c>
      <c r="X658" s="11" t="s">
        <f t="shared" si="939"/>
      </c>
    </row>
    <row r="659" ht="12.50" customHeight="true">
      <c r="A659" s="10"/>
      <c r="B659" s="11"/>
      <c r="C659" s="11"/>
      <c r="D659" s="11"/>
      <c r="E659" s="11"/>
      <c r="F659" s="11"/>
      <c r="G659" s="11"/>
      <c r="H659" s="11"/>
      <c r="I659" s="11"/>
      <c r="J659" s="11"/>
      <c r="K659" s="11" t="s">
        <f>""</f>
      </c>
      <c r="L659" s="11" t="s">
        <f t="shared" si="944"/>
      </c>
      <c r="M659" s="8" t="s">
        <f t="shared" si="940"/>
      </c>
      <c r="N659" s="11"/>
      <c r="O659" s="10">
        <f ref="O659:P659" t="shared" si="306">A659</f>
        <v>0</v>
      </c>
      <c r="P659" s="11">
        <f t="shared" si="306"/>
        <v>0</v>
      </c>
      <c r="Q659" s="11" t="s">
        <f t="shared" si="937"/>
      </c>
      <c r="R659" s="11">
        <f t="shared" si="943"/>
        <v>0</v>
      </c>
      <c r="S659" s="11">
        <f ref="S659:U659" t="shared" si="307">E659</f>
        <v>0</v>
      </c>
      <c r="T659" s="11">
        <f t="shared" si="307"/>
        <v>0</v>
      </c>
      <c r="U659" s="11">
        <f t="shared" si="307"/>
        <v>0</v>
      </c>
      <c r="V659" s="11">
        <f t="shared" si="938"/>
      </c>
      <c r="W659" s="11" t="s">
        <f t="shared" si="942"/>
      </c>
      <c r="X659" s="11" t="s">
        <f t="shared" si="939"/>
      </c>
    </row>
    <row r="660" ht="12.50" customHeight="true">
      <c r="A660" s="10"/>
      <c r="B660" s="11"/>
      <c r="C660" s="11"/>
      <c r="D660" s="11"/>
      <c r="E660" s="11"/>
      <c r="F660" s="11"/>
      <c r="G660" s="11"/>
      <c r="H660" s="11"/>
      <c r="I660" s="11"/>
      <c r="J660" s="11"/>
      <c r="K660" s="11" t="s">
        <f>""</f>
      </c>
      <c r="L660" s="11" t="s">
        <f t="shared" si="944"/>
      </c>
      <c r="M660" s="8" t="s">
        <f t="shared" si="940"/>
      </c>
      <c r="N660" s="11"/>
      <c r="O660" s="10">
        <f ref="O660:P660" t="shared" si="1874">A660</f>
        <v>0</v>
      </c>
      <c r="P660" s="11">
        <f t="shared" si="1874"/>
        <v>0</v>
      </c>
      <c r="Q660" s="11" t="s">
        <f t="shared" si="937"/>
      </c>
      <c r="R660" s="11">
        <f t="shared" si="943"/>
        <v>0</v>
      </c>
      <c r="S660" s="11">
        <f ref="S660:U660" t="shared" si="1875">E660</f>
        <v>0</v>
      </c>
      <c r="T660" s="11">
        <f t="shared" si="1875"/>
        <v>0</v>
      </c>
      <c r="U660" s="11">
        <f t="shared" si="1875"/>
        <v>0</v>
      </c>
      <c r="V660" s="11">
        <f t="shared" si="938"/>
      </c>
      <c r="W660" s="11" t="s">
        <f t="shared" si="942"/>
      </c>
      <c r="X660" s="11" t="s">
        <f t="shared" si="939"/>
      </c>
    </row>
    <row r="661" ht="12.50" customHeight="true">
      <c r="A661" s="10"/>
      <c r="B661" s="11"/>
      <c r="C661" s="11"/>
      <c r="D661" s="11"/>
      <c r="E661" s="11"/>
      <c r="F661" s="11"/>
      <c r="G661" s="11"/>
      <c r="H661" s="11"/>
      <c r="I661" s="11"/>
      <c r="J661" s="11"/>
      <c r="K661" s="11" t="s">
        <f>""</f>
      </c>
      <c r="L661" s="11" t="s">
        <f t="shared" si="944"/>
      </c>
      <c r="M661" s="8" t="s">
        <f t="shared" si="940"/>
      </c>
      <c r="N661" s="11"/>
      <c r="O661" s="10">
        <f ref="O661:P661" t="shared" si="1214">A661</f>
        <v>0</v>
      </c>
      <c r="P661" s="11">
        <f t="shared" si="1214"/>
        <v>0</v>
      </c>
      <c r="Q661" s="11" t="s">
        <f t="shared" si="937"/>
      </c>
      <c r="R661" s="11">
        <f t="shared" si="943"/>
        <v>0</v>
      </c>
      <c r="S661" s="11">
        <f ref="S661:U661" t="shared" si="1213">E661</f>
        <v>0</v>
      </c>
      <c r="T661" s="11">
        <f t="shared" si="1213"/>
        <v>0</v>
      </c>
      <c r="U661" s="11">
        <f t="shared" si="1213"/>
        <v>0</v>
      </c>
      <c r="V661" s="11">
        <f t="shared" si="938"/>
      </c>
      <c r="W661" s="11" t="s">
        <f t="shared" si="942"/>
      </c>
      <c r="X661" s="11" t="s">
        <f t="shared" si="939"/>
      </c>
    </row>
    <row r="662" ht="12.50" customHeight="true">
      <c r="A662" s="10"/>
      <c r="B662" s="11"/>
      <c r="C662" s="11"/>
      <c r="D662" s="11"/>
      <c r="E662" s="11"/>
      <c r="F662" s="11"/>
      <c r="G662" s="11"/>
      <c r="H662" s="11"/>
      <c r="I662" s="11"/>
      <c r="J662" s="11"/>
      <c r="K662" s="11" t="s">
        <f>""</f>
      </c>
      <c r="L662" s="11" t="s">
        <f t="shared" si="944"/>
      </c>
      <c r="M662" s="8" t="s">
        <f t="shared" si="940"/>
      </c>
      <c r="N662" s="11"/>
      <c r="O662" s="10">
        <f ref="O662:P662" t="shared" si="78">A662</f>
        <v>0</v>
      </c>
      <c r="P662" s="11">
        <f t="shared" si="78"/>
        <v>0</v>
      </c>
      <c r="Q662" s="11" t="s">
        <f t="shared" si="937"/>
      </c>
      <c r="R662" s="11">
        <f t="shared" si="943"/>
        <v>0</v>
      </c>
      <c r="S662" s="11">
        <f ref="S662:U662" t="shared" si="79">E662</f>
        <v>0</v>
      </c>
      <c r="T662" s="11">
        <f t="shared" si="79"/>
        <v>0</v>
      </c>
      <c r="U662" s="11">
        <f t="shared" si="79"/>
        <v>0</v>
      </c>
      <c r="V662" s="11">
        <f t="shared" si="938"/>
      </c>
      <c r="W662" s="11" t="s">
        <f t="shared" si="942"/>
      </c>
      <c r="X662" s="11" t="s">
        <f t="shared" si="939"/>
      </c>
    </row>
    <row r="663" ht="12.50" customHeight="true">
      <c r="A663" s="10"/>
      <c r="B663" s="11"/>
      <c r="C663" s="11"/>
      <c r="D663" s="11"/>
      <c r="E663" s="11"/>
      <c r="F663" s="11"/>
      <c r="G663" s="11"/>
      <c r="H663" s="11"/>
      <c r="I663" s="11"/>
      <c r="J663" s="11"/>
      <c r="K663" s="11" t="s">
        <f>""</f>
      </c>
      <c r="L663" s="11" t="s">
        <f t="shared" si="944"/>
      </c>
      <c r="M663" s="8" t="s">
        <f t="shared" si="940"/>
      </c>
      <c r="N663" s="11"/>
      <c r="O663" s="10">
        <f ref="O663:P663" t="shared" si="1497">A663</f>
        <v>0</v>
      </c>
      <c r="P663" s="11">
        <f t="shared" si="1497"/>
        <v>0</v>
      </c>
      <c r="Q663" s="11" t="s">
        <f t="shared" si="937"/>
      </c>
      <c r="R663" s="11">
        <f t="shared" si="943"/>
        <v>0</v>
      </c>
      <c r="S663" s="11">
        <f ref="S663:U663" t="shared" si="1496">E663</f>
        <v>0</v>
      </c>
      <c r="T663" s="11">
        <f t="shared" si="1496"/>
        <v>0</v>
      </c>
      <c r="U663" s="11">
        <f t="shared" si="1496"/>
        <v>0</v>
      </c>
      <c r="V663" s="11">
        <f t="shared" si="938"/>
      </c>
      <c r="W663" s="11" t="s">
        <f t="shared" si="942"/>
      </c>
      <c r="X663" s="11" t="s">
        <f t="shared" si="939"/>
      </c>
    </row>
    <row r="664" ht="12.50" customHeight="true">
      <c r="A664" s="10"/>
      <c r="B664" s="11"/>
      <c r="C664" s="11"/>
      <c r="D664" s="11"/>
      <c r="E664" s="11"/>
      <c r="F664" s="11"/>
      <c r="G664" s="11"/>
      <c r="H664" s="11"/>
      <c r="I664" s="11"/>
      <c r="J664" s="11"/>
      <c r="K664" s="11" t="s">
        <f>""</f>
      </c>
      <c r="L664" s="11" t="s">
        <f t="shared" si="944"/>
      </c>
      <c r="M664" s="8" t="s">
        <f t="shared" si="940"/>
      </c>
      <c r="N664" s="11"/>
      <c r="O664" s="10">
        <f ref="O664:P664" t="shared" si="1630">A664</f>
        <v>0</v>
      </c>
      <c r="P664" s="11">
        <f t="shared" si="1630"/>
        <v>0</v>
      </c>
      <c r="Q664" s="11" t="s">
        <f t="shared" si="937"/>
      </c>
      <c r="R664" s="11">
        <f t="shared" si="943"/>
        <v>0</v>
      </c>
      <c r="S664" s="11">
        <f ref="S664:U664" t="shared" si="1631">E664</f>
        <v>0</v>
      </c>
      <c r="T664" s="11">
        <f t="shared" si="1631"/>
        <v>0</v>
      </c>
      <c r="U664" s="11">
        <f t="shared" si="1631"/>
        <v>0</v>
      </c>
      <c r="V664" s="11">
        <f t="shared" si="938"/>
      </c>
      <c r="W664" s="11" t="s">
        <f t="shared" si="942"/>
      </c>
      <c r="X664" s="11" t="s">
        <f t="shared" si="939"/>
      </c>
    </row>
    <row r="665" ht="12.50" customHeight="true">
      <c r="A665" s="10"/>
      <c r="B665" s="11"/>
      <c r="C665" s="11"/>
      <c r="D665" s="11"/>
      <c r="E665" s="11"/>
      <c r="F665" s="11"/>
      <c r="G665" s="11"/>
      <c r="H665" s="11"/>
      <c r="I665" s="11"/>
      <c r="J665" s="11"/>
      <c r="K665" s="11" t="s">
        <f>""</f>
      </c>
      <c r="L665" s="11" t="s">
        <f t="shared" si="944"/>
      </c>
      <c r="M665" s="8" t="s">
        <f t="shared" si="940"/>
      </c>
      <c r="N665" s="11"/>
      <c r="O665" s="10">
        <f ref="O665:P665" t="shared" si="343">A665</f>
        <v>0</v>
      </c>
      <c r="P665" s="11">
        <f t="shared" si="343"/>
        <v>0</v>
      </c>
      <c r="Q665" s="11" t="s">
        <f t="shared" si="937"/>
      </c>
      <c r="R665" s="11">
        <f t="shared" si="943"/>
        <v>0</v>
      </c>
      <c r="S665" s="11">
        <f ref="S665:U665" t="shared" si="342">E665</f>
        <v>0</v>
      </c>
      <c r="T665" s="11">
        <f t="shared" si="342"/>
        <v>0</v>
      </c>
      <c r="U665" s="11">
        <f t="shared" si="342"/>
        <v>0</v>
      </c>
      <c r="V665" s="11">
        <f t="shared" si="938"/>
      </c>
      <c r="W665" s="11" t="s">
        <f t="shared" si="942"/>
      </c>
      <c r="X665" s="11" t="s">
        <f t="shared" si="939"/>
      </c>
    </row>
    <row r="666" ht="12.50" customHeight="true">
      <c r="A666" s="10"/>
      <c r="B666" s="11"/>
      <c r="C666" s="11"/>
      <c r="D666" s="11"/>
      <c r="E666" s="11"/>
      <c r="F666" s="11"/>
      <c r="G666" s="11"/>
      <c r="H666" s="11"/>
      <c r="I666" s="11"/>
      <c r="J666" s="11"/>
      <c r="K666" s="11" t="s">
        <f>""</f>
      </c>
      <c r="L666" s="11" t="s">
        <f t="shared" si="944"/>
      </c>
      <c r="M666" s="8" t="s">
        <f t="shared" si="940"/>
      </c>
      <c r="N666" s="11"/>
      <c r="O666" s="10">
        <f ref="O666:P666" t="shared" si="1831">A666</f>
        <v>0</v>
      </c>
      <c r="P666" s="11">
        <f t="shared" si="1831"/>
        <v>0</v>
      </c>
      <c r="Q666" s="11" t="s">
        <f t="shared" si="937"/>
      </c>
      <c r="R666" s="11">
        <f t="shared" si="943"/>
        <v>0</v>
      </c>
      <c r="S666" s="11">
        <f ref="S666:U666" t="shared" si="1830">E666</f>
        <v>0</v>
      </c>
      <c r="T666" s="11">
        <f t="shared" si="1830"/>
        <v>0</v>
      </c>
      <c r="U666" s="11">
        <f t="shared" si="1830"/>
        <v>0</v>
      </c>
      <c r="V666" s="11">
        <f t="shared" si="938"/>
      </c>
      <c r="W666" s="11" t="s">
        <f t="shared" si="942"/>
      </c>
      <c r="X666" s="11" t="s">
        <f t="shared" si="939"/>
      </c>
    </row>
    <row r="667" ht="12.50" customHeight="true">
      <c r="A667" s="10"/>
      <c r="B667" s="11"/>
      <c r="C667" s="11"/>
      <c r="D667" s="11"/>
      <c r="E667" s="11"/>
      <c r="F667" s="11"/>
      <c r="G667" s="11"/>
      <c r="H667" s="11"/>
      <c r="I667" s="11"/>
      <c r="J667" s="11"/>
      <c r="K667" s="11" t="s">
        <f>""</f>
      </c>
      <c r="L667" s="11" t="s">
        <f t="shared" si="944"/>
      </c>
      <c r="M667" s="8" t="s">
        <f t="shared" si="940"/>
      </c>
      <c r="N667" s="11"/>
      <c r="O667" s="10">
        <f ref="O667:P667" t="shared" si="729">A667</f>
        <v>0</v>
      </c>
      <c r="P667" s="11">
        <f t="shared" si="729"/>
        <v>0</v>
      </c>
      <c r="Q667" s="11" t="s">
        <f t="shared" si="937"/>
      </c>
      <c r="R667" s="11">
        <f t="shared" si="943"/>
        <v>0</v>
      </c>
      <c r="S667" s="11">
        <f ref="S667:U667" t="shared" si="728">E667</f>
        <v>0</v>
      </c>
      <c r="T667" s="11">
        <f t="shared" si="728"/>
        <v>0</v>
      </c>
      <c r="U667" s="11">
        <f t="shared" si="728"/>
        <v>0</v>
      </c>
      <c r="V667" s="11">
        <f t="shared" si="938"/>
      </c>
      <c r="W667" s="11" t="s">
        <f t="shared" si="942"/>
      </c>
      <c r="X667" s="11" t="s">
        <f t="shared" si="939"/>
      </c>
    </row>
    <row r="668" ht="12.50" customHeight="true">
      <c r="A668" s="10"/>
      <c r="B668" s="11"/>
      <c r="C668" s="11"/>
      <c r="D668" s="11"/>
      <c r="E668" s="11"/>
      <c r="F668" s="11"/>
      <c r="G668" s="11"/>
      <c r="H668" s="11"/>
      <c r="I668" s="11"/>
      <c r="J668" s="11"/>
      <c r="K668" s="11" t="s">
        <f>""</f>
      </c>
      <c r="L668" s="11" t="s">
        <f t="shared" si="944"/>
      </c>
      <c r="M668" s="8" t="s">
        <f t="shared" si="940"/>
      </c>
      <c r="N668" s="11"/>
      <c r="O668" s="10">
        <f ref="O668:P668" t="shared" si="1856">A668</f>
        <v>0</v>
      </c>
      <c r="P668" s="11">
        <f t="shared" si="1856"/>
        <v>0</v>
      </c>
      <c r="Q668" s="11" t="s">
        <f t="shared" si="937"/>
      </c>
      <c r="R668" s="11">
        <f t="shared" si="943"/>
        <v>0</v>
      </c>
      <c r="S668" s="11">
        <f ref="S668:U668" t="shared" si="1857">E668</f>
        <v>0</v>
      </c>
      <c r="T668" s="11">
        <f t="shared" si="1857"/>
        <v>0</v>
      </c>
      <c r="U668" s="11">
        <f t="shared" si="1857"/>
        <v>0</v>
      </c>
      <c r="V668" s="11">
        <f t="shared" si="938"/>
      </c>
      <c r="W668" s="11" t="s">
        <f t="shared" si="942"/>
      </c>
      <c r="X668" s="11" t="s">
        <f t="shared" si="939"/>
      </c>
    </row>
    <row r="669" ht="12.50" customHeight="true">
      <c r="A669" s="10"/>
      <c r="B669" s="11"/>
      <c r="C669" s="11"/>
      <c r="D669" s="11"/>
      <c r="E669" s="11"/>
      <c r="F669" s="11"/>
      <c r="G669" s="11"/>
      <c r="H669" s="11"/>
      <c r="I669" s="11"/>
      <c r="J669" s="11"/>
      <c r="K669" s="11" t="s">
        <f>""</f>
      </c>
      <c r="L669" s="11" t="s">
        <f t="shared" si="944"/>
      </c>
      <c r="M669" s="8" t="s">
        <f t="shared" si="940"/>
      </c>
      <c r="N669" s="11"/>
      <c r="O669" s="10">
        <f ref="O669:P669" t="shared" si="1249">A669</f>
        <v>0</v>
      </c>
      <c r="P669" s="11">
        <f t="shared" si="1249"/>
        <v>0</v>
      </c>
      <c r="Q669" s="11" t="s">
        <f t="shared" si="937"/>
      </c>
      <c r="R669" s="11">
        <f t="shared" si="943"/>
        <v>0</v>
      </c>
      <c r="S669" s="11">
        <f ref="S669:U669" t="shared" si="1248">E669</f>
        <v>0</v>
      </c>
      <c r="T669" s="11">
        <f t="shared" si="1248"/>
        <v>0</v>
      </c>
      <c r="U669" s="11">
        <f t="shared" si="1248"/>
        <v>0</v>
      </c>
      <c r="V669" s="11">
        <f t="shared" si="938"/>
      </c>
      <c r="W669" s="11" t="s">
        <f t="shared" si="942"/>
      </c>
      <c r="X669" s="11" t="s">
        <f t="shared" si="939"/>
      </c>
    </row>
    <row r="670" ht="12.50" customHeight="true">
      <c r="A670" s="10"/>
      <c r="B670" s="11"/>
      <c r="C670" s="11"/>
      <c r="D670" s="11"/>
      <c r="E670" s="11"/>
      <c r="F670" s="11"/>
      <c r="G670" s="11"/>
      <c r="H670" s="11"/>
      <c r="I670" s="11"/>
      <c r="J670" s="11"/>
      <c r="K670" s="11" t="s">
        <f>""</f>
      </c>
      <c r="L670" s="11" t="s">
        <f t="shared" si="944"/>
      </c>
      <c r="M670" s="8" t="s">
        <f t="shared" si="940"/>
      </c>
      <c r="N670" s="11"/>
      <c r="O670" s="10">
        <f ref="O670:P670" t="shared" si="204">A670</f>
        <v>0</v>
      </c>
      <c r="P670" s="11">
        <f t="shared" si="204"/>
        <v>0</v>
      </c>
      <c r="Q670" s="11" t="s">
        <f t="shared" si="937"/>
      </c>
      <c r="R670" s="11">
        <f t="shared" si="943"/>
        <v>0</v>
      </c>
      <c r="S670" s="11">
        <f ref="S670:U670" t="shared" si="203">E670</f>
        <v>0</v>
      </c>
      <c r="T670" s="11">
        <f t="shared" si="203"/>
        <v>0</v>
      </c>
      <c r="U670" s="11">
        <f t="shared" si="203"/>
        <v>0</v>
      </c>
      <c r="V670" s="11">
        <f t="shared" si="938"/>
      </c>
      <c r="W670" s="11" t="s">
        <f t="shared" si="942"/>
      </c>
      <c r="X670" s="11" t="s">
        <f t="shared" si="939"/>
      </c>
    </row>
    <row r="671" ht="12.50" customHeight="true">
      <c r="A671" s="10"/>
      <c r="B671" s="11"/>
      <c r="C671" s="11"/>
      <c r="D671" s="11"/>
      <c r="E671" s="11"/>
      <c r="F671" s="11"/>
      <c r="G671" s="11"/>
      <c r="H671" s="11"/>
      <c r="I671" s="11"/>
      <c r="J671" s="11"/>
      <c r="K671" s="11" t="s">
        <f>""</f>
      </c>
      <c r="L671" s="11" t="s">
        <f t="shared" si="944"/>
      </c>
      <c r="M671" s="8" t="s">
        <f t="shared" si="940"/>
      </c>
      <c r="N671" s="11"/>
      <c r="O671" s="10">
        <f ref="O671:P671" t="shared" si="1256">A671</f>
        <v>0</v>
      </c>
      <c r="P671" s="11">
        <f t="shared" si="1256"/>
        <v>0</v>
      </c>
      <c r="Q671" s="11" t="s">
        <f t="shared" si="937"/>
      </c>
      <c r="R671" s="11">
        <f t="shared" si="943"/>
        <v>0</v>
      </c>
      <c r="S671" s="11">
        <f ref="S671:U671" t="shared" si="1257">E671</f>
        <v>0</v>
      </c>
      <c r="T671" s="11">
        <f t="shared" si="1257"/>
        <v>0</v>
      </c>
      <c r="U671" s="11">
        <f t="shared" si="1257"/>
        <v>0</v>
      </c>
      <c r="V671" s="11">
        <f t="shared" si="938"/>
      </c>
      <c r="W671" s="11" t="s">
        <f t="shared" si="942"/>
      </c>
      <c r="X671" s="11" t="s">
        <f t="shared" si="939"/>
      </c>
    </row>
    <row r="672" ht="12.50" customHeight="true">
      <c r="A672" s="10"/>
      <c r="B672" s="11"/>
      <c r="C672" s="11"/>
      <c r="D672" s="11"/>
      <c r="E672" s="11"/>
      <c r="F672" s="11"/>
      <c r="G672" s="11"/>
      <c r="H672" s="11"/>
      <c r="I672" s="11"/>
      <c r="J672" s="11"/>
      <c r="K672" s="11" t="s">
        <f>""</f>
      </c>
      <c r="L672" s="11" t="s">
        <f t="shared" si="944"/>
      </c>
      <c r="M672" s="8" t="s">
        <f t="shared" si="940"/>
      </c>
      <c r="N672" s="11"/>
      <c r="O672" s="10">
        <f ref="O672:P672" t="shared" si="908">A672</f>
        <v>0</v>
      </c>
      <c r="P672" s="11">
        <f t="shared" si="908"/>
        <v>0</v>
      </c>
      <c r="Q672" s="11" t="s">
        <f t="shared" si="937"/>
      </c>
      <c r="R672" s="11">
        <f t="shared" si="943"/>
        <v>0</v>
      </c>
      <c r="S672" s="11">
        <f ref="S672:U672" t="shared" si="909">E672</f>
        <v>0</v>
      </c>
      <c r="T672" s="11">
        <f t="shared" si="909"/>
        <v>0</v>
      </c>
      <c r="U672" s="11">
        <f t="shared" si="909"/>
        <v>0</v>
      </c>
      <c r="V672" s="11">
        <f t="shared" si="938"/>
      </c>
      <c r="W672" s="11" t="s">
        <f t="shared" si="942"/>
      </c>
      <c r="X672" s="11" t="s">
        <f t="shared" si="939"/>
      </c>
    </row>
    <row r="673" ht="12.50" customHeight="true">
      <c r="A673" s="10"/>
      <c r="B673" s="11"/>
      <c r="C673" s="11"/>
      <c r="D673" s="11"/>
      <c r="E673" s="11"/>
      <c r="F673" s="11"/>
      <c r="G673" s="11"/>
      <c r="H673" s="11"/>
      <c r="I673" s="11"/>
      <c r="J673" s="11"/>
      <c r="K673" s="11" t="s">
        <f>""</f>
      </c>
      <c r="L673" s="11" t="s">
        <f t="shared" si="944"/>
      </c>
      <c r="M673" s="8" t="s">
        <f t="shared" si="940"/>
      </c>
      <c r="N673" s="11"/>
      <c r="O673" s="10">
        <f ref="O673:P673" t="shared" si="1768">A673</f>
        <v>0</v>
      </c>
      <c r="P673" s="11">
        <f t="shared" si="1768"/>
        <v>0</v>
      </c>
      <c r="Q673" s="11" t="s">
        <f t="shared" si="937"/>
      </c>
      <c r="R673" s="11">
        <f t="shared" si="943"/>
        <v>0</v>
      </c>
      <c r="S673" s="11">
        <f ref="S673:U673" t="shared" si="1769">E673</f>
        <v>0</v>
      </c>
      <c r="T673" s="11">
        <f t="shared" si="1769"/>
        <v>0</v>
      </c>
      <c r="U673" s="11">
        <f t="shared" si="1769"/>
        <v>0</v>
      </c>
      <c r="V673" s="11">
        <f t="shared" si="938"/>
      </c>
      <c r="W673" s="11" t="s">
        <f t="shared" si="942"/>
      </c>
      <c r="X673" s="11" t="s">
        <f t="shared" si="939"/>
      </c>
    </row>
    <row r="674" ht="12.50" customHeight="true">
      <c r="A674" s="10"/>
      <c r="B674" s="11"/>
      <c r="C674" s="11"/>
      <c r="D674" s="11"/>
      <c r="E674" s="11"/>
      <c r="F674" s="11"/>
      <c r="G674" s="11"/>
      <c r="H674" s="11"/>
      <c r="I674" s="11"/>
      <c r="J674" s="11"/>
      <c r="K674" s="11" t="s">
        <f>""</f>
      </c>
      <c r="L674" s="11" t="s">
        <f t="shared" si="944"/>
      </c>
      <c r="M674" s="8" t="s">
        <f t="shared" si="940"/>
      </c>
      <c r="N674" s="11"/>
      <c r="O674" s="10">
        <f ref="O674:P674" t="shared" si="1678">A674</f>
        <v>0</v>
      </c>
      <c r="P674" s="11">
        <f t="shared" si="1678"/>
        <v>0</v>
      </c>
      <c r="Q674" s="11" t="s">
        <f t="shared" si="937"/>
      </c>
      <c r="R674" s="11">
        <f t="shared" si="943"/>
        <v>0</v>
      </c>
      <c r="S674" s="11">
        <f ref="S674:U674" t="shared" si="1679">E674</f>
        <v>0</v>
      </c>
      <c r="T674" s="11">
        <f t="shared" si="1679"/>
        <v>0</v>
      </c>
      <c r="U674" s="11">
        <f t="shared" si="1679"/>
        <v>0</v>
      </c>
      <c r="V674" s="11">
        <f t="shared" si="938"/>
      </c>
      <c r="W674" s="11" t="s">
        <f t="shared" si="942"/>
      </c>
      <c r="X674" s="11" t="s">
        <f t="shared" si="939"/>
      </c>
    </row>
    <row r="675" ht="12.50" customHeight="true">
      <c r="A675" s="10"/>
      <c r="B675" s="11"/>
      <c r="C675" s="11"/>
      <c r="D675" s="11"/>
      <c r="E675" s="11"/>
      <c r="F675" s="11"/>
      <c r="G675" s="11"/>
      <c r="H675" s="11"/>
      <c r="I675" s="11"/>
      <c r="J675" s="11"/>
      <c r="K675" s="11" t="s">
        <f>""</f>
      </c>
      <c r="L675" s="11" t="s">
        <f t="shared" si="944"/>
      </c>
      <c r="M675" s="8" t="s">
        <f t="shared" si="940"/>
      </c>
      <c r="N675" s="11"/>
      <c r="O675" s="10">
        <f ref="O675:P675" t="shared" si="2000">A675</f>
        <v>0</v>
      </c>
      <c r="P675" s="11">
        <f t="shared" si="2000"/>
        <v>0</v>
      </c>
      <c r="Q675" s="11" t="s">
        <f t="shared" si="937"/>
      </c>
      <c r="R675" s="11">
        <f t="shared" si="943"/>
        <v>0</v>
      </c>
      <c r="S675" s="11">
        <f ref="S675:U675" t="shared" si="2001">E675</f>
        <v>0</v>
      </c>
      <c r="T675" s="11">
        <f t="shared" si="2001"/>
        <v>0</v>
      </c>
      <c r="U675" s="11">
        <f t="shared" si="2001"/>
        <v>0</v>
      </c>
      <c r="V675" s="11">
        <f t="shared" si="938"/>
      </c>
      <c r="W675" s="11" t="s">
        <f t="shared" si="942"/>
      </c>
      <c r="X675" s="11" t="s">
        <f t="shared" si="939"/>
      </c>
    </row>
    <row r="676" ht="12.50" customHeight="true">
      <c r="A676" s="10"/>
      <c r="B676" s="11"/>
      <c r="C676" s="11"/>
      <c r="D676" s="11"/>
      <c r="E676" s="11"/>
      <c r="F676" s="11"/>
      <c r="G676" s="11"/>
      <c r="H676" s="11"/>
      <c r="I676" s="11"/>
      <c r="J676" s="11"/>
      <c r="K676" s="11" t="s">
        <f>""</f>
      </c>
      <c r="L676" s="11" t="s">
        <f t="shared" si="944"/>
      </c>
      <c r="M676" s="8" t="s">
        <f t="shared" si="940"/>
      </c>
      <c r="N676" s="11"/>
      <c r="O676" s="10">
        <f ref="O676:P676" t="shared" si="598">A676</f>
        <v>0</v>
      </c>
      <c r="P676" s="11">
        <f t="shared" si="598"/>
        <v>0</v>
      </c>
      <c r="Q676" s="11" t="s">
        <f t="shared" si="937"/>
      </c>
      <c r="R676" s="11">
        <f t="shared" si="943"/>
        <v>0</v>
      </c>
      <c r="S676" s="11">
        <f ref="S676:U676" t="shared" si="599">E676</f>
        <v>0</v>
      </c>
      <c r="T676" s="11">
        <f t="shared" si="599"/>
        <v>0</v>
      </c>
      <c r="U676" s="11">
        <f t="shared" si="599"/>
        <v>0</v>
      </c>
      <c r="V676" s="11">
        <f t="shared" si="938"/>
      </c>
      <c r="W676" s="11" t="s">
        <f t="shared" si="942"/>
      </c>
      <c r="X676" s="11" t="s">
        <f t="shared" si="939"/>
      </c>
    </row>
    <row r="677" ht="12.50" customHeight="true">
      <c r="A677" s="10"/>
      <c r="B677" s="11"/>
      <c r="C677" s="11"/>
      <c r="D677" s="11"/>
      <c r="E677" s="11"/>
      <c r="F677" s="11"/>
      <c r="G677" s="11"/>
      <c r="H677" s="11"/>
      <c r="I677" s="11"/>
      <c r="J677" s="11"/>
      <c r="K677" s="11" t="s">
        <f>""</f>
      </c>
      <c r="L677" s="11" t="s">
        <f t="shared" si="944"/>
      </c>
      <c r="M677" s="8" t="s">
        <f t="shared" si="940"/>
      </c>
      <c r="N677" s="11"/>
      <c r="O677" s="10">
        <f ref="O677:P677" t="shared" si="1271">A677</f>
        <v>0</v>
      </c>
      <c r="P677" s="11">
        <f t="shared" si="1271"/>
        <v>0</v>
      </c>
      <c r="Q677" s="11" t="s">
        <f t="shared" si="937"/>
      </c>
      <c r="R677" s="11">
        <f t="shared" si="943"/>
        <v>0</v>
      </c>
      <c r="S677" s="11">
        <f ref="S677:U677" t="shared" si="1270">E677</f>
        <v>0</v>
      </c>
      <c r="T677" s="11">
        <f t="shared" si="1270"/>
        <v>0</v>
      </c>
      <c r="U677" s="11">
        <f t="shared" si="1270"/>
        <v>0</v>
      </c>
      <c r="V677" s="11">
        <f t="shared" si="938"/>
      </c>
      <c r="W677" s="11" t="s">
        <f t="shared" si="942"/>
      </c>
      <c r="X677" s="11" t="s">
        <f t="shared" si="939"/>
      </c>
    </row>
    <row r="678" ht="12.50" customHeight="true">
      <c r="A678" s="10"/>
      <c r="B678" s="11"/>
      <c r="C678" s="11"/>
      <c r="D678" s="11"/>
      <c r="E678" s="11"/>
      <c r="F678" s="11"/>
      <c r="G678" s="11"/>
      <c r="H678" s="11"/>
      <c r="I678" s="11"/>
      <c r="J678" s="11"/>
      <c r="K678" s="11" t="s">
        <f>""</f>
      </c>
      <c r="L678" s="11" t="s">
        <f t="shared" si="944"/>
      </c>
      <c r="M678" s="8" t="s">
        <f t="shared" si="940"/>
      </c>
      <c r="N678" s="11"/>
      <c r="O678" s="10">
        <f ref="O678:P678" t="shared" si="8">A678</f>
        <v>0</v>
      </c>
      <c r="P678" s="11">
        <f t="shared" si="8"/>
        <v>0</v>
      </c>
      <c r="Q678" s="11" t="s">
        <f t="shared" si="937"/>
      </c>
      <c r="R678" s="11">
        <f t="shared" si="943"/>
        <v>0</v>
      </c>
      <c r="S678" s="11">
        <f ref="S678:U678" t="shared" si="9">E678</f>
        <v>0</v>
      </c>
      <c r="T678" s="11">
        <f t="shared" si="9"/>
        <v>0</v>
      </c>
      <c r="U678" s="11">
        <f t="shared" si="9"/>
        <v>0</v>
      </c>
      <c r="V678" s="11">
        <f t="shared" si="938"/>
      </c>
      <c r="W678" s="11" t="s">
        <f t="shared" si="942"/>
      </c>
      <c r="X678" s="11" t="s">
        <f t="shared" si="939"/>
      </c>
    </row>
    <row r="679" ht="12.50" customHeight="true">
      <c r="A679" s="10"/>
      <c r="B679" s="11"/>
      <c r="C679" s="11"/>
      <c r="D679" s="11"/>
      <c r="E679" s="11"/>
      <c r="F679" s="11"/>
      <c r="G679" s="11"/>
      <c r="H679" s="11"/>
      <c r="I679" s="11"/>
      <c r="J679" s="11"/>
      <c r="K679" s="11" t="s">
        <f>""</f>
      </c>
      <c r="L679" s="11" t="s">
        <f t="shared" si="944"/>
      </c>
      <c r="M679" s="8" t="s">
        <f t="shared" si="940"/>
      </c>
      <c r="N679" s="11"/>
      <c r="O679" s="10">
        <f ref="O679:P679" t="shared" si="410">A679</f>
        <v>0</v>
      </c>
      <c r="P679" s="11">
        <f t="shared" si="410"/>
        <v>0</v>
      </c>
      <c r="Q679" s="11" t="s">
        <f t="shared" si="937"/>
      </c>
      <c r="R679" s="11">
        <f t="shared" si="943"/>
        <v>0</v>
      </c>
      <c r="S679" s="11">
        <f ref="S679:U679" t="shared" si="411">E679</f>
        <v>0</v>
      </c>
      <c r="T679" s="11">
        <f t="shared" si="411"/>
        <v>0</v>
      </c>
      <c r="U679" s="11">
        <f t="shared" si="411"/>
        <v>0</v>
      </c>
      <c r="V679" s="11">
        <f t="shared" si="938"/>
      </c>
      <c r="W679" s="11" t="s">
        <f t="shared" si="942"/>
      </c>
      <c r="X679" s="11" t="s">
        <f t="shared" si="939"/>
      </c>
    </row>
    <row r="680" ht="12.50" customHeight="true">
      <c r="A680" s="10"/>
      <c r="B680" s="11"/>
      <c r="C680" s="11"/>
      <c r="D680" s="11"/>
      <c r="E680" s="11"/>
      <c r="F680" s="11"/>
      <c r="G680" s="11"/>
      <c r="H680" s="11"/>
      <c r="I680" s="11"/>
      <c r="J680" s="11"/>
      <c r="K680" s="11" t="s">
        <f>""</f>
      </c>
      <c r="L680" s="11" t="s">
        <f t="shared" si="944"/>
      </c>
      <c r="M680" s="8" t="s">
        <f t="shared" si="940"/>
      </c>
      <c r="N680" s="11"/>
      <c r="O680" s="10">
        <f ref="O680:P680" t="shared" si="258">A680</f>
        <v>0</v>
      </c>
      <c r="P680" s="11">
        <f t="shared" si="258"/>
        <v>0</v>
      </c>
      <c r="Q680" s="11" t="s">
        <f t="shared" si="937"/>
      </c>
      <c r="R680" s="11">
        <f t="shared" si="943"/>
        <v>0</v>
      </c>
      <c r="S680" s="11">
        <f ref="S680:U680" t="shared" si="259">E680</f>
        <v>0</v>
      </c>
      <c r="T680" s="11">
        <f t="shared" si="259"/>
        <v>0</v>
      </c>
      <c r="U680" s="11">
        <f t="shared" si="259"/>
        <v>0</v>
      </c>
      <c r="V680" s="11">
        <f t="shared" si="938"/>
      </c>
      <c r="W680" s="11" t="s">
        <f t="shared" si="942"/>
      </c>
      <c r="X680" s="11" t="s">
        <f t="shared" si="939"/>
      </c>
    </row>
    <row r="681" ht="12.50" customHeight="true">
      <c r="A681" s="10"/>
      <c r="B681" s="11"/>
      <c r="C681" s="11"/>
      <c r="D681" s="11"/>
      <c r="E681" s="11"/>
      <c r="F681" s="11"/>
      <c r="G681" s="11"/>
      <c r="H681" s="11"/>
      <c r="I681" s="11"/>
      <c r="J681" s="11"/>
      <c r="K681" s="11" t="s">
        <f>""</f>
      </c>
      <c r="L681" s="11" t="s">
        <f t="shared" si="944"/>
      </c>
      <c r="M681" s="8" t="s">
        <f t="shared" si="940"/>
      </c>
      <c r="N681" s="11"/>
      <c r="O681" s="10">
        <f ref="O681:P681" t="shared" si="1157">A681</f>
        <v>0</v>
      </c>
      <c r="P681" s="11">
        <f t="shared" si="1157"/>
        <v>0</v>
      </c>
      <c r="Q681" s="11" t="s">
        <f t="shared" si="937"/>
      </c>
      <c r="R681" s="11">
        <f t="shared" si="943"/>
        <v>0</v>
      </c>
      <c r="S681" s="11">
        <f ref="S681:U681" t="shared" si="1158">E681</f>
        <v>0</v>
      </c>
      <c r="T681" s="11">
        <f t="shared" si="1158"/>
        <v>0</v>
      </c>
      <c r="U681" s="11">
        <f t="shared" si="1158"/>
        <v>0</v>
      </c>
      <c r="V681" s="11">
        <f t="shared" si="938"/>
      </c>
      <c r="W681" s="11" t="s">
        <f t="shared" si="942"/>
      </c>
      <c r="X681" s="11" t="s">
        <f t="shared" si="939"/>
      </c>
    </row>
    <row r="682" ht="12.50" customHeight="true">
      <c r="A682" s="10"/>
      <c r="B682" s="11"/>
      <c r="C682" s="11"/>
      <c r="D682" s="11"/>
      <c r="E682" s="11"/>
      <c r="F682" s="11"/>
      <c r="G682" s="11"/>
      <c r="H682" s="11"/>
      <c r="I682" s="11"/>
      <c r="J682" s="11"/>
      <c r="K682" s="11" t="s">
        <f>""</f>
      </c>
      <c r="L682" s="11" t="s">
        <f t="shared" si="944"/>
      </c>
      <c r="M682" s="8" t="s">
        <f t="shared" si="940"/>
      </c>
      <c r="N682" s="11"/>
      <c r="O682" s="10">
        <f ref="O682:P682" t="shared" si="764">A682</f>
        <v>0</v>
      </c>
      <c r="P682" s="11">
        <f t="shared" si="764"/>
        <v>0</v>
      </c>
      <c r="Q682" s="11" t="s">
        <f t="shared" si="937"/>
      </c>
      <c r="R682" s="11">
        <f t="shared" si="943"/>
        <v>0</v>
      </c>
      <c r="S682" s="11">
        <f ref="S682:U682" t="shared" si="765">E682</f>
        <v>0</v>
      </c>
      <c r="T682" s="11">
        <f t="shared" si="765"/>
        <v>0</v>
      </c>
      <c r="U682" s="11">
        <f t="shared" si="765"/>
        <v>0</v>
      </c>
      <c r="V682" s="11">
        <f t="shared" si="938"/>
      </c>
      <c r="W682" s="11" t="s">
        <f t="shared" si="942"/>
      </c>
      <c r="X682" s="11" t="s">
        <f t="shared" si="939"/>
      </c>
    </row>
    <row r="683" ht="12.50" customHeight="true">
      <c r="A683" s="10"/>
      <c r="B683" s="11"/>
      <c r="C683" s="11"/>
      <c r="D683" s="11"/>
      <c r="E683" s="11"/>
      <c r="F683" s="11"/>
      <c r="G683" s="11"/>
      <c r="H683" s="11"/>
      <c r="I683" s="11"/>
      <c r="J683" s="11"/>
      <c r="K683" s="11" t="s">
        <f>""</f>
      </c>
      <c r="L683" s="11" t="s">
        <f t="shared" si="944"/>
      </c>
      <c r="M683" s="8" t="s">
        <f t="shared" si="940"/>
      </c>
      <c r="N683" s="11"/>
      <c r="O683" s="10">
        <f ref="O683:P683" t="shared" si="1776">A683</f>
        <v>0</v>
      </c>
      <c r="P683" s="11">
        <f t="shared" si="1776"/>
        <v>0</v>
      </c>
      <c r="Q683" s="11" t="s">
        <f t="shared" si="937"/>
      </c>
      <c r="R683" s="11">
        <f t="shared" si="943"/>
        <v>0</v>
      </c>
      <c r="S683" s="11">
        <f ref="S683:U683" t="shared" si="1777">E683</f>
        <v>0</v>
      </c>
      <c r="T683" s="11">
        <f t="shared" si="1777"/>
        <v>0</v>
      </c>
      <c r="U683" s="11">
        <f t="shared" si="1777"/>
        <v>0</v>
      </c>
      <c r="V683" s="11">
        <f t="shared" si="938"/>
      </c>
      <c r="W683" s="11" t="s">
        <f t="shared" si="942"/>
      </c>
      <c r="X683" s="11" t="s">
        <f t="shared" si="939"/>
      </c>
    </row>
    <row r="684" ht="12.50" customHeight="true">
      <c r="A684" s="10"/>
      <c r="B684" s="11"/>
      <c r="C684" s="11"/>
      <c r="D684" s="11"/>
      <c r="E684" s="11"/>
      <c r="F684" s="11"/>
      <c r="G684" s="11"/>
      <c r="H684" s="11"/>
      <c r="I684" s="11"/>
      <c r="J684" s="11"/>
      <c r="K684" s="11" t="s">
        <f>""</f>
      </c>
      <c r="L684" s="11" t="s">
        <f t="shared" si="944"/>
      </c>
      <c r="M684" s="8" t="s">
        <f t="shared" si="940"/>
      </c>
      <c r="N684" s="11"/>
      <c r="O684" s="10">
        <f ref="O684:P684" t="shared" si="565">A684</f>
        <v>0</v>
      </c>
      <c r="P684" s="11">
        <f t="shared" si="565"/>
        <v>0</v>
      </c>
      <c r="Q684" s="11" t="s">
        <f t="shared" si="937"/>
      </c>
      <c r="R684" s="11">
        <f t="shared" si="943"/>
        <v>0</v>
      </c>
      <c r="S684" s="11">
        <f ref="S684:U684" t="shared" si="564">E684</f>
        <v>0</v>
      </c>
      <c r="T684" s="11">
        <f t="shared" si="564"/>
        <v>0</v>
      </c>
      <c r="U684" s="11">
        <f t="shared" si="564"/>
        <v>0</v>
      </c>
      <c r="V684" s="11">
        <f t="shared" si="938"/>
      </c>
      <c r="W684" s="11" t="s">
        <f t="shared" si="942"/>
      </c>
      <c r="X684" s="11" t="s">
        <f t="shared" si="939"/>
      </c>
    </row>
    <row r="685" ht="12.50" customHeight="true">
      <c r="A685" s="10"/>
      <c r="B685" s="11"/>
      <c r="C685" s="11"/>
      <c r="D685" s="11"/>
      <c r="E685" s="11"/>
      <c r="F685" s="11"/>
      <c r="G685" s="11"/>
      <c r="H685" s="11"/>
      <c r="I685" s="11"/>
      <c r="J685" s="11"/>
      <c r="K685" s="11" t="s">
        <f>""</f>
      </c>
      <c r="L685" s="11" t="s">
        <f t="shared" si="944"/>
      </c>
      <c r="M685" s="8" t="s">
        <f t="shared" si="940"/>
      </c>
      <c r="N685" s="11"/>
      <c r="O685" s="10">
        <f ref="O685:P685" t="shared" si="584">A685</f>
        <v>0</v>
      </c>
      <c r="P685" s="11">
        <f t="shared" si="584"/>
        <v>0</v>
      </c>
      <c r="Q685" s="11" t="s">
        <f t="shared" si="937"/>
      </c>
      <c r="R685" s="11">
        <f t="shared" si="943"/>
        <v>0</v>
      </c>
      <c r="S685" s="11">
        <f ref="S685:U685" t="shared" si="585">E685</f>
        <v>0</v>
      </c>
      <c r="T685" s="11">
        <f t="shared" si="585"/>
        <v>0</v>
      </c>
      <c r="U685" s="11">
        <f t="shared" si="585"/>
        <v>0</v>
      </c>
      <c r="V685" s="11">
        <f t="shared" si="938"/>
      </c>
      <c r="W685" s="11" t="s">
        <f t="shared" si="942"/>
      </c>
      <c r="X685" s="11" t="s">
        <f t="shared" si="939"/>
      </c>
    </row>
    <row r="686" ht="12.50" customHeight="true">
      <c r="A686" s="10"/>
      <c r="B686" s="11"/>
      <c r="C686" s="11"/>
      <c r="D686" s="11"/>
      <c r="E686" s="11"/>
      <c r="F686" s="11"/>
      <c r="G686" s="11"/>
      <c r="H686" s="11"/>
      <c r="I686" s="11"/>
      <c r="J686" s="11"/>
      <c r="K686" s="11" t="s">
        <f>""</f>
      </c>
      <c r="L686" s="11" t="s">
        <f t="shared" si="944"/>
      </c>
      <c r="M686" s="8" t="s">
        <f t="shared" si="940"/>
      </c>
      <c r="N686" s="11"/>
      <c r="O686" s="10">
        <f ref="O686:P686" t="shared" si="1149">A686</f>
        <v>0</v>
      </c>
      <c r="P686" s="11">
        <f t="shared" si="1149"/>
        <v>0</v>
      </c>
      <c r="Q686" s="11" t="s">
        <f t="shared" si="937"/>
      </c>
      <c r="R686" s="11">
        <f t="shared" si="943"/>
        <v>0</v>
      </c>
      <c r="S686" s="11">
        <f ref="S686:U686" t="shared" si="1150">E686</f>
        <v>0</v>
      </c>
      <c r="T686" s="11">
        <f t="shared" si="1150"/>
        <v>0</v>
      </c>
      <c r="U686" s="11">
        <f t="shared" si="1150"/>
        <v>0</v>
      </c>
      <c r="V686" s="11">
        <f t="shared" si="938"/>
      </c>
      <c r="W686" s="11" t="s">
        <f t="shared" si="942"/>
      </c>
      <c r="X686" s="11" t="s">
        <f t="shared" si="939"/>
      </c>
    </row>
    <row r="687" ht="12.50" customHeight="true">
      <c r="A687" s="10"/>
      <c r="B687" s="11"/>
      <c r="C687" s="11"/>
      <c r="D687" s="11"/>
      <c r="E687" s="11"/>
      <c r="F687" s="11"/>
      <c r="G687" s="11"/>
      <c r="H687" s="11"/>
      <c r="I687" s="11"/>
      <c r="J687" s="11"/>
      <c r="K687" s="11" t="s">
        <f>""</f>
      </c>
      <c r="L687" s="11" t="s">
        <f t="shared" si="944"/>
      </c>
      <c r="M687" s="8" t="s">
        <f t="shared" si="940"/>
      </c>
      <c r="N687" s="11"/>
      <c r="O687" s="10">
        <f ref="O687:P687" t="shared" si="23">A687</f>
        <v>0</v>
      </c>
      <c r="P687" s="11">
        <f t="shared" si="23"/>
        <v>0</v>
      </c>
      <c r="Q687" s="11" t="s">
        <f t="shared" si="937"/>
      </c>
      <c r="R687" s="11">
        <f t="shared" si="943"/>
        <v>0</v>
      </c>
      <c r="S687" s="11">
        <f ref="S687:U687" t="shared" si="22">E687</f>
        <v>0</v>
      </c>
      <c r="T687" s="11">
        <f t="shared" si="22"/>
        <v>0</v>
      </c>
      <c r="U687" s="11">
        <f t="shared" si="22"/>
        <v>0</v>
      </c>
      <c r="V687" s="11">
        <f t="shared" si="938"/>
      </c>
      <c r="W687" s="11" t="s">
        <f t="shared" si="942"/>
      </c>
      <c r="X687" s="11" t="s">
        <f t="shared" si="939"/>
      </c>
    </row>
    <row r="688" ht="12.50" customHeight="true">
      <c r="A688" s="10"/>
      <c r="B688" s="11"/>
      <c r="C688" s="11"/>
      <c r="D688" s="11"/>
      <c r="E688" s="11"/>
      <c r="F688" s="11"/>
      <c r="G688" s="11"/>
      <c r="H688" s="11"/>
      <c r="I688" s="11"/>
      <c r="J688" s="11"/>
      <c r="K688" s="11" t="s">
        <f>""</f>
      </c>
      <c r="L688" s="11" t="s">
        <f t="shared" si="944"/>
      </c>
      <c r="M688" s="8" t="s">
        <f t="shared" si="940"/>
      </c>
      <c r="N688" s="11"/>
      <c r="O688" s="10">
        <f ref="O688:P688" t="shared" si="667">A688</f>
        <v>0</v>
      </c>
      <c r="P688" s="11">
        <f t="shared" si="667"/>
        <v>0</v>
      </c>
      <c r="Q688" s="11" t="s">
        <f t="shared" si="937"/>
      </c>
      <c r="R688" s="11">
        <f t="shared" si="943"/>
        <v>0</v>
      </c>
      <c r="S688" s="11">
        <f ref="S688:U688" t="shared" si="666">E688</f>
        <v>0</v>
      </c>
      <c r="T688" s="11">
        <f t="shared" si="666"/>
        <v>0</v>
      </c>
      <c r="U688" s="11">
        <f t="shared" si="666"/>
        <v>0</v>
      </c>
      <c r="V688" s="11">
        <f t="shared" si="938"/>
      </c>
      <c r="W688" s="11" t="s">
        <f t="shared" si="942"/>
      </c>
      <c r="X688" s="11" t="s">
        <f t="shared" si="939"/>
      </c>
    </row>
    <row r="689" ht="12.50" customHeight="true">
      <c r="A689" s="10"/>
      <c r="B689" s="11"/>
      <c r="C689" s="11"/>
      <c r="D689" s="11"/>
      <c r="E689" s="11"/>
      <c r="F689" s="11"/>
      <c r="G689" s="11"/>
      <c r="H689" s="11"/>
      <c r="I689" s="11"/>
      <c r="J689" s="11"/>
      <c r="K689" s="11" t="s">
        <f>""</f>
      </c>
      <c r="L689" s="11" t="s">
        <f t="shared" si="944"/>
      </c>
      <c r="M689" s="8" t="s">
        <f t="shared" si="940"/>
      </c>
      <c r="N689" s="11"/>
      <c r="O689" s="10">
        <f ref="O689:P689" t="shared" si="1337">A689</f>
        <v>0</v>
      </c>
      <c r="P689" s="11">
        <f t="shared" si="1337"/>
        <v>0</v>
      </c>
      <c r="Q689" s="11" t="s">
        <f t="shared" si="937"/>
      </c>
      <c r="R689" s="11">
        <f t="shared" si="943"/>
        <v>0</v>
      </c>
      <c r="S689" s="11">
        <f ref="S689:U689" t="shared" si="1336">E689</f>
        <v>0</v>
      </c>
      <c r="T689" s="11">
        <f t="shared" si="1336"/>
        <v>0</v>
      </c>
      <c r="U689" s="11">
        <f t="shared" si="1336"/>
        <v>0</v>
      </c>
      <c r="V689" s="11">
        <f t="shared" si="938"/>
      </c>
      <c r="W689" s="11" t="s">
        <f t="shared" si="942"/>
      </c>
      <c r="X689" s="11" t="s">
        <f t="shared" si="939"/>
      </c>
    </row>
    <row r="690" ht="12.50" customHeight="true">
      <c r="A690" s="10"/>
      <c r="B690" s="11"/>
      <c r="C690" s="11"/>
      <c r="D690" s="11"/>
      <c r="E690" s="11"/>
      <c r="F690" s="11"/>
      <c r="G690" s="11"/>
      <c r="H690" s="11"/>
      <c r="I690" s="11"/>
      <c r="J690" s="11"/>
      <c r="K690" s="11" t="s">
        <f>""</f>
      </c>
      <c r="L690" s="11" t="s">
        <f t="shared" si="944"/>
      </c>
      <c r="M690" s="8" t="s">
        <f t="shared" si="940"/>
      </c>
      <c r="N690" s="11"/>
      <c r="O690" s="10">
        <f ref="O690:P690" t="shared" si="842">A690</f>
        <v>0</v>
      </c>
      <c r="P690" s="11">
        <f t="shared" si="842"/>
        <v>0</v>
      </c>
      <c r="Q690" s="11" t="s">
        <f t="shared" si="937"/>
      </c>
      <c r="R690" s="11">
        <f t="shared" si="943"/>
        <v>0</v>
      </c>
      <c r="S690" s="11">
        <f ref="S690:U690" t="shared" si="843">E690</f>
        <v>0</v>
      </c>
      <c r="T690" s="11">
        <f t="shared" si="843"/>
        <v>0</v>
      </c>
      <c r="U690" s="11">
        <f t="shared" si="843"/>
        <v>0</v>
      </c>
      <c r="V690" s="11">
        <f t="shared" si="938"/>
      </c>
      <c r="W690" s="11" t="s">
        <f t="shared" si="942"/>
      </c>
      <c r="X690" s="11" t="s">
        <f t="shared" si="939"/>
      </c>
    </row>
    <row r="691" ht="12.50" customHeight="true">
      <c r="A691" s="10"/>
      <c r="B691" s="11"/>
      <c r="C691" s="11"/>
      <c r="D691" s="11"/>
      <c r="E691" s="11"/>
      <c r="F691" s="11"/>
      <c r="G691" s="11"/>
      <c r="H691" s="11"/>
      <c r="I691" s="11"/>
      <c r="J691" s="11"/>
      <c r="K691" s="11" t="s">
        <f>""</f>
      </c>
      <c r="L691" s="11" t="s">
        <f t="shared" si="944"/>
      </c>
      <c r="M691" s="8" t="s">
        <f t="shared" si="940"/>
      </c>
      <c r="N691" s="11"/>
      <c r="O691" s="10">
        <f ref="O691:P691" t="shared" si="1444">A691</f>
        <v>0</v>
      </c>
      <c r="P691" s="11">
        <f t="shared" si="1444"/>
        <v>0</v>
      </c>
      <c r="Q691" s="11" t="s">
        <f t="shared" si="937"/>
      </c>
      <c r="R691" s="11">
        <f t="shared" si="943"/>
        <v>0</v>
      </c>
      <c r="S691" s="11">
        <f ref="S691:U691" t="shared" si="1445">E691</f>
        <v>0</v>
      </c>
      <c r="T691" s="11">
        <f t="shared" si="1445"/>
        <v>0</v>
      </c>
      <c r="U691" s="11">
        <f t="shared" si="1445"/>
        <v>0</v>
      </c>
      <c r="V691" s="11">
        <f t="shared" si="938"/>
      </c>
      <c r="W691" s="11" t="s">
        <f t="shared" si="942"/>
      </c>
      <c r="X691" s="11" t="s">
        <f t="shared" si="939"/>
      </c>
    </row>
    <row r="692" ht="12.50" customHeight="true">
      <c r="A692" s="10"/>
      <c r="B692" s="11"/>
      <c r="C692" s="11"/>
      <c r="D692" s="11"/>
      <c r="E692" s="11"/>
      <c r="F692" s="11"/>
      <c r="G692" s="11"/>
      <c r="H692" s="11"/>
      <c r="I692" s="11"/>
      <c r="J692" s="11"/>
      <c r="K692" s="11" t="s">
        <f>""</f>
      </c>
      <c r="L692" s="11" t="s">
        <f t="shared" si="944"/>
      </c>
      <c r="M692" s="8" t="s">
        <f t="shared" si="940"/>
      </c>
      <c r="N692" s="11"/>
      <c r="O692" s="10">
        <f ref="O692:P692" t="shared" si="1359">A692</f>
        <v>0</v>
      </c>
      <c r="P692" s="11">
        <f t="shared" si="1359"/>
        <v>0</v>
      </c>
      <c r="Q692" s="11" t="s">
        <f t="shared" si="937"/>
      </c>
      <c r="R692" s="11">
        <f t="shared" si="943"/>
        <v>0</v>
      </c>
      <c r="S692" s="11">
        <f ref="S692:U692" t="shared" si="1358">E692</f>
        <v>0</v>
      </c>
      <c r="T692" s="11">
        <f t="shared" si="1358"/>
        <v>0</v>
      </c>
      <c r="U692" s="11">
        <f t="shared" si="1358"/>
        <v>0</v>
      </c>
      <c r="V692" s="11">
        <f t="shared" si="938"/>
      </c>
      <c r="W692" s="11" t="s">
        <f t="shared" si="942"/>
      </c>
      <c r="X692" s="11" t="s">
        <f t="shared" si="939"/>
      </c>
    </row>
    <row r="693" ht="12.50" customHeight="true">
      <c r="A693" s="10"/>
      <c r="B693" s="11"/>
      <c r="C693" s="11"/>
      <c r="D693" s="11"/>
      <c r="E693" s="11"/>
      <c r="F693" s="11"/>
      <c r="G693" s="11"/>
      <c r="H693" s="11"/>
      <c r="I693" s="11"/>
      <c r="J693" s="11"/>
      <c r="K693" s="11" t="s">
        <f>""</f>
      </c>
      <c r="L693" s="11" t="s">
        <f t="shared" si="944"/>
      </c>
      <c r="M693" s="8" t="s">
        <f t="shared" si="940"/>
      </c>
      <c r="N693" s="11"/>
      <c r="O693" s="10">
        <f ref="O693:P693" t="shared" si="1287">A693</f>
        <v>0</v>
      </c>
      <c r="P693" s="11">
        <f t="shared" si="1287"/>
        <v>0</v>
      </c>
      <c r="Q693" s="11" t="s">
        <f t="shared" si="937"/>
      </c>
      <c r="R693" s="11">
        <f t="shared" si="943"/>
        <v>0</v>
      </c>
      <c r="S693" s="11">
        <f ref="S693:U693" t="shared" si="1286">E693</f>
        <v>0</v>
      </c>
      <c r="T693" s="11">
        <f t="shared" si="1286"/>
        <v>0</v>
      </c>
      <c r="U693" s="11">
        <f t="shared" si="1286"/>
        <v>0</v>
      </c>
      <c r="V693" s="11">
        <f t="shared" si="938"/>
      </c>
      <c r="W693" s="11" t="s">
        <f t="shared" si="942"/>
      </c>
      <c r="X693" s="11" t="s">
        <f t="shared" si="939"/>
      </c>
    </row>
    <row r="694" ht="12.50" customHeight="true">
      <c r="A694" s="10"/>
      <c r="B694" s="11"/>
      <c r="C694" s="11"/>
      <c r="D694" s="11"/>
      <c r="E694" s="11"/>
      <c r="F694" s="11"/>
      <c r="G694" s="11"/>
      <c r="H694" s="11"/>
      <c r="I694" s="11"/>
      <c r="J694" s="11"/>
      <c r="K694" s="11" t="s">
        <f>""</f>
      </c>
      <c r="L694" s="11" t="s">
        <f t="shared" si="944"/>
      </c>
      <c r="M694" s="8" t="s">
        <f t="shared" si="940"/>
      </c>
      <c r="N694" s="11"/>
      <c r="O694" s="10">
        <f ref="O694:P694" t="shared" si="1738">A694</f>
        <v>0</v>
      </c>
      <c r="P694" s="11">
        <f t="shared" si="1738"/>
        <v>0</v>
      </c>
      <c r="Q694" s="11" t="s">
        <f t="shared" si="937"/>
      </c>
      <c r="R694" s="11">
        <f t="shared" si="943"/>
        <v>0</v>
      </c>
      <c r="S694" s="11">
        <f ref="S694:U694" t="shared" si="1739">E694</f>
        <v>0</v>
      </c>
      <c r="T694" s="11">
        <f t="shared" si="1739"/>
        <v>0</v>
      </c>
      <c r="U694" s="11">
        <f t="shared" si="1739"/>
        <v>0</v>
      </c>
      <c r="V694" s="11">
        <f t="shared" si="938"/>
      </c>
      <c r="W694" s="11" t="s">
        <f t="shared" si="942"/>
      </c>
      <c r="X694" s="11" t="s">
        <f t="shared" si="939"/>
      </c>
    </row>
    <row r="695" ht="12.50" customHeight="true">
      <c r="A695" s="10"/>
      <c r="B695" s="11"/>
      <c r="C695" s="11"/>
      <c r="D695" s="11"/>
      <c r="E695" s="11"/>
      <c r="F695" s="11"/>
      <c r="G695" s="11"/>
      <c r="H695" s="11"/>
      <c r="I695" s="11"/>
      <c r="J695" s="11"/>
      <c r="K695" s="11" t="s">
        <f>""</f>
      </c>
      <c r="L695" s="11" t="s">
        <f t="shared" si="944"/>
      </c>
      <c r="M695" s="8" t="s">
        <f t="shared" si="940"/>
      </c>
      <c r="N695" s="11"/>
      <c r="O695" s="10">
        <f ref="O695:P695" t="shared" si="175">A695</f>
        <v>0</v>
      </c>
      <c r="P695" s="11">
        <f t="shared" si="175"/>
        <v>0</v>
      </c>
      <c r="Q695" s="11" t="s">
        <f t="shared" si="937"/>
      </c>
      <c r="R695" s="11">
        <f t="shared" si="943"/>
        <v>0</v>
      </c>
      <c r="S695" s="11">
        <f ref="S695:U695" t="shared" si="176">E695</f>
        <v>0</v>
      </c>
      <c r="T695" s="11">
        <f t="shared" si="176"/>
        <v>0</v>
      </c>
      <c r="U695" s="11">
        <f t="shared" si="176"/>
        <v>0</v>
      </c>
      <c r="V695" s="11">
        <f t="shared" si="938"/>
      </c>
      <c r="W695" s="11" t="s">
        <f t="shared" si="942"/>
      </c>
      <c r="X695" s="11" t="s">
        <f t="shared" si="939"/>
      </c>
    </row>
    <row r="696" ht="12.50" customHeight="true">
      <c r="A696" s="10"/>
      <c r="B696" s="11"/>
      <c r="C696" s="11"/>
      <c r="D696" s="11"/>
      <c r="E696" s="11"/>
      <c r="F696" s="11"/>
      <c r="G696" s="11"/>
      <c r="H696" s="11"/>
      <c r="I696" s="11"/>
      <c r="J696" s="11"/>
      <c r="K696" s="11" t="s">
        <f>""</f>
      </c>
      <c r="L696" s="11" t="s">
        <f t="shared" si="944"/>
      </c>
      <c r="M696" s="8" t="s">
        <f t="shared" si="940"/>
      </c>
      <c r="N696" s="11"/>
      <c r="O696" s="10">
        <f ref="O696:P696" t="shared" si="1954">A696</f>
        <v>0</v>
      </c>
      <c r="P696" s="11">
        <f t="shared" si="1954"/>
        <v>0</v>
      </c>
      <c r="Q696" s="11" t="s">
        <f t="shared" si="937"/>
      </c>
      <c r="R696" s="11">
        <f t="shared" si="943"/>
        <v>0</v>
      </c>
      <c r="S696" s="11">
        <f ref="S696:U696" t="shared" si="1955">E696</f>
        <v>0</v>
      </c>
      <c r="T696" s="11">
        <f t="shared" si="1955"/>
        <v>0</v>
      </c>
      <c r="U696" s="11">
        <f t="shared" si="1955"/>
        <v>0</v>
      </c>
      <c r="V696" s="11">
        <f t="shared" si="938"/>
      </c>
      <c r="W696" s="11" t="s">
        <f t="shared" si="942"/>
      </c>
      <c r="X696" s="11" t="s">
        <f t="shared" si="939"/>
      </c>
    </row>
    <row r="697" ht="12.50" customHeight="true">
      <c r="A697" s="10"/>
      <c r="B697" s="11"/>
      <c r="C697" s="11"/>
      <c r="D697" s="11"/>
      <c r="E697" s="11"/>
      <c r="F697" s="11"/>
      <c r="G697" s="11"/>
      <c r="H697" s="11"/>
      <c r="I697" s="11"/>
      <c r="J697" s="11"/>
      <c r="K697" s="11" t="s">
        <f>""</f>
      </c>
      <c r="L697" s="11" t="s">
        <f t="shared" si="944"/>
      </c>
      <c r="M697" s="8" t="s">
        <f t="shared" si="940"/>
      </c>
      <c r="N697" s="11"/>
      <c r="O697" s="10">
        <f ref="O697:P697" t="shared" si="1313">A697</f>
        <v>0</v>
      </c>
      <c r="P697" s="11">
        <f t="shared" si="1313"/>
        <v>0</v>
      </c>
      <c r="Q697" s="11" t="s">
        <f t="shared" si="937"/>
      </c>
      <c r="R697" s="11">
        <f t="shared" si="943"/>
        <v>0</v>
      </c>
      <c r="S697" s="11">
        <f ref="S697:U697" t="shared" si="1312">E697</f>
        <v>0</v>
      </c>
      <c r="T697" s="11">
        <f t="shared" si="1312"/>
        <v>0</v>
      </c>
      <c r="U697" s="11">
        <f t="shared" si="1312"/>
        <v>0</v>
      </c>
      <c r="V697" s="11">
        <f t="shared" si="938"/>
      </c>
      <c r="W697" s="11" t="s">
        <f t="shared" si="942"/>
      </c>
      <c r="X697" s="11" t="s">
        <f t="shared" si="939"/>
      </c>
    </row>
    <row r="698" ht="12.50" customHeight="true">
      <c r="A698" s="10"/>
      <c r="B698" s="11"/>
      <c r="C698" s="11"/>
      <c r="D698" s="11"/>
      <c r="E698" s="11"/>
      <c r="F698" s="11"/>
      <c r="G698" s="11"/>
      <c r="H698" s="11"/>
      <c r="I698" s="11"/>
      <c r="J698" s="11"/>
      <c r="K698" s="11" t="s">
        <f>""</f>
      </c>
      <c r="L698" s="11" t="s">
        <f t="shared" si="944"/>
      </c>
      <c r="M698" s="8" t="s">
        <f t="shared" si="940"/>
      </c>
      <c r="N698" s="11"/>
      <c r="O698" s="10">
        <f ref="O698:P698" t="shared" si="1987">A698</f>
        <v>0</v>
      </c>
      <c r="P698" s="11">
        <f t="shared" si="1987"/>
        <v>0</v>
      </c>
      <c r="Q698" s="11" t="s">
        <f t="shared" si="937"/>
      </c>
      <c r="R698" s="11">
        <f t="shared" si="943"/>
        <v>0</v>
      </c>
      <c r="S698" s="11">
        <f ref="S698:U698" t="shared" si="1986">E698</f>
        <v>0</v>
      </c>
      <c r="T698" s="11">
        <f t="shared" si="1986"/>
        <v>0</v>
      </c>
      <c r="U698" s="11">
        <f t="shared" si="1986"/>
        <v>0</v>
      </c>
      <c r="V698" s="11">
        <f t="shared" si="938"/>
      </c>
      <c r="W698" s="11" t="s">
        <f t="shared" si="942"/>
      </c>
      <c r="X698" s="11" t="s">
        <f t="shared" si="939"/>
      </c>
    </row>
    <row r="699" ht="12.50" customHeight="true">
      <c r="A699" s="10"/>
      <c r="B699" s="11"/>
      <c r="C699" s="11"/>
      <c r="D699" s="11"/>
      <c r="E699" s="11"/>
      <c r="F699" s="11"/>
      <c r="G699" s="11"/>
      <c r="H699" s="11"/>
      <c r="I699" s="11"/>
      <c r="J699" s="11"/>
      <c r="K699" s="11" t="s">
        <f>""</f>
      </c>
      <c r="L699" s="11" t="s">
        <f t="shared" si="944"/>
      </c>
      <c r="M699" s="8" t="s">
        <f t="shared" si="940"/>
      </c>
      <c r="N699" s="11"/>
      <c r="O699" s="10">
        <f ref="O699:P699" t="shared" si="149">A699</f>
        <v>0</v>
      </c>
      <c r="P699" s="11">
        <f t="shared" si="149"/>
        <v>0</v>
      </c>
      <c r="Q699" s="11" t="s">
        <f t="shared" si="937"/>
      </c>
      <c r="R699" s="11">
        <f t="shared" si="943"/>
        <v>0</v>
      </c>
      <c r="S699" s="11">
        <f ref="S699:U699" t="shared" si="150">E699</f>
        <v>0</v>
      </c>
      <c r="T699" s="11">
        <f t="shared" si="150"/>
        <v>0</v>
      </c>
      <c r="U699" s="11">
        <f t="shared" si="150"/>
        <v>0</v>
      </c>
      <c r="V699" s="11">
        <f t="shared" si="938"/>
      </c>
      <c r="W699" s="11" t="s">
        <f t="shared" si="942"/>
      </c>
      <c r="X699" s="11" t="s">
        <f t="shared" si="939"/>
      </c>
    </row>
    <row r="700" ht="12.50" customHeight="true">
      <c r="A700" s="10"/>
      <c r="B700" s="11"/>
      <c r="C700" s="11"/>
      <c r="D700" s="11"/>
      <c r="E700" s="11"/>
      <c r="F700" s="11"/>
      <c r="G700" s="11"/>
      <c r="H700" s="11"/>
      <c r="I700" s="11"/>
      <c r="J700" s="11"/>
      <c r="K700" s="11" t="s">
        <f>""</f>
      </c>
      <c r="L700" s="11" t="s">
        <f t="shared" si="944"/>
      </c>
      <c r="M700" s="8" t="s">
        <f t="shared" si="940"/>
      </c>
      <c r="N700" s="11"/>
      <c r="O700" s="10">
        <f ref="O700:P700" t="shared" si="1561">A700</f>
        <v>0</v>
      </c>
      <c r="P700" s="11">
        <f t="shared" si="1561"/>
        <v>0</v>
      </c>
      <c r="Q700" s="11" t="s">
        <f t="shared" si="937"/>
      </c>
      <c r="R700" s="11">
        <f t="shared" si="943"/>
        <v>0</v>
      </c>
      <c r="S700" s="11">
        <f ref="S700:U700" t="shared" si="1560">E700</f>
        <v>0</v>
      </c>
      <c r="T700" s="11">
        <f t="shared" si="1560"/>
        <v>0</v>
      </c>
      <c r="U700" s="11">
        <f t="shared" si="1560"/>
        <v>0</v>
      </c>
      <c r="V700" s="11">
        <f t="shared" si="938"/>
      </c>
      <c r="W700" s="11" t="s">
        <f t="shared" si="942"/>
      </c>
      <c r="X700" s="11" t="s">
        <f t="shared" si="939"/>
      </c>
    </row>
    <row r="701" ht="12.50" customHeight="true">
      <c r="A701" s="10"/>
      <c r="B701" s="11"/>
      <c r="C701" s="11"/>
      <c r="D701" s="11"/>
      <c r="E701" s="11"/>
      <c r="F701" s="11"/>
      <c r="G701" s="11"/>
      <c r="H701" s="11"/>
      <c r="I701" s="11"/>
      <c r="J701" s="11"/>
      <c r="K701" s="11" t="s">
        <f>""</f>
      </c>
      <c r="L701" s="11" t="s">
        <f t="shared" si="944"/>
      </c>
      <c r="M701" s="8" t="s">
        <f t="shared" si="940"/>
      </c>
      <c r="N701" s="11"/>
      <c r="O701" s="10">
        <f ref="O701:P701" t="shared" si="1962">A701</f>
        <v>0</v>
      </c>
      <c r="P701" s="11">
        <f t="shared" si="1962"/>
        <v>0</v>
      </c>
      <c r="Q701" s="11" t="s">
        <f t="shared" si="937"/>
      </c>
      <c r="R701" s="11">
        <f t="shared" si="943"/>
        <v>0</v>
      </c>
      <c r="S701" s="11">
        <f ref="S701:U701" t="shared" si="1963">E701</f>
        <v>0</v>
      </c>
      <c r="T701" s="11">
        <f t="shared" si="1963"/>
        <v>0</v>
      </c>
      <c r="U701" s="11">
        <f t="shared" si="1963"/>
        <v>0</v>
      </c>
      <c r="V701" s="11">
        <f t="shared" si="938"/>
      </c>
      <c r="W701" s="11" t="s">
        <f t="shared" si="942"/>
      </c>
      <c r="X701" s="11" t="s">
        <f t="shared" si="939"/>
      </c>
    </row>
    <row r="702" ht="12.50" customHeight="true">
      <c r="A702" s="10"/>
      <c r="B702" s="11"/>
      <c r="C702" s="11"/>
      <c r="D702" s="11"/>
      <c r="E702" s="11"/>
      <c r="F702" s="11"/>
      <c r="G702" s="11"/>
      <c r="H702" s="11"/>
      <c r="I702" s="11"/>
      <c r="J702" s="11"/>
      <c r="K702" s="11" t="s">
        <f>""</f>
      </c>
      <c r="L702" s="11" t="s">
        <f t="shared" si="944"/>
      </c>
      <c r="M702" s="8" t="s">
        <f t="shared" si="940"/>
      </c>
      <c r="N702" s="11"/>
      <c r="O702" s="10">
        <f ref="O702:P702" t="shared" si="430">A702</f>
        <v>0</v>
      </c>
      <c r="P702" s="11">
        <f t="shared" si="430"/>
        <v>0</v>
      </c>
      <c r="Q702" s="11" t="s">
        <f t="shared" si="937"/>
      </c>
      <c r="R702" s="11">
        <f t="shared" si="943"/>
        <v>0</v>
      </c>
      <c r="S702" s="11">
        <f ref="S702:U702" t="shared" si="431">E702</f>
        <v>0</v>
      </c>
      <c r="T702" s="11">
        <f t="shared" si="431"/>
        <v>0</v>
      </c>
      <c r="U702" s="11">
        <f t="shared" si="431"/>
        <v>0</v>
      </c>
      <c r="V702" s="11">
        <f t="shared" si="938"/>
      </c>
      <c r="W702" s="11" t="s">
        <f t="shared" si="942"/>
      </c>
      <c r="X702" s="11" t="s">
        <f t="shared" si="939"/>
      </c>
    </row>
    <row r="703" ht="12.50" customHeight="true">
      <c r="A703" s="10"/>
      <c r="B703" s="11"/>
      <c r="C703" s="11"/>
      <c r="D703" s="11"/>
      <c r="E703" s="11"/>
      <c r="F703" s="11"/>
      <c r="G703" s="11"/>
      <c r="H703" s="11"/>
      <c r="I703" s="11"/>
      <c r="J703" s="11"/>
      <c r="K703" s="11" t="s">
        <f>""</f>
      </c>
      <c r="L703" s="11" t="s">
        <f t="shared" si="944"/>
      </c>
      <c r="M703" s="8" t="s">
        <f t="shared" si="940"/>
      </c>
      <c r="N703" s="11"/>
      <c r="O703" s="10">
        <f ref="O703:P703" t="shared" si="286">A703</f>
        <v>0</v>
      </c>
      <c r="P703" s="11">
        <f t="shared" si="286"/>
        <v>0</v>
      </c>
      <c r="Q703" s="11" t="s">
        <f t="shared" si="937"/>
      </c>
      <c r="R703" s="11">
        <f t="shared" si="943"/>
        <v>0</v>
      </c>
      <c r="S703" s="11">
        <f ref="S703:U703" t="shared" si="287">E703</f>
        <v>0</v>
      </c>
      <c r="T703" s="11">
        <f t="shared" si="287"/>
        <v>0</v>
      </c>
      <c r="U703" s="11">
        <f t="shared" si="287"/>
        <v>0</v>
      </c>
      <c r="V703" s="11">
        <f t="shared" si="938"/>
      </c>
      <c r="W703" s="11" t="s">
        <f t="shared" si="942"/>
      </c>
      <c r="X703" s="11" t="s">
        <f t="shared" si="939"/>
      </c>
    </row>
    <row r="704" ht="12.50" customHeight="true">
      <c r="A704" s="10"/>
      <c r="B704" s="11"/>
      <c r="C704" s="11"/>
      <c r="D704" s="11"/>
      <c r="E704" s="11"/>
      <c r="F704" s="11"/>
      <c r="G704" s="11"/>
      <c r="H704" s="11"/>
      <c r="I704" s="11"/>
      <c r="J704" s="11"/>
      <c r="K704" s="11" t="s">
        <f>""</f>
      </c>
      <c r="L704" s="11" t="s">
        <f t="shared" si="944"/>
      </c>
      <c r="M704" s="8" t="s">
        <f t="shared" si="940"/>
      </c>
      <c r="N704" s="11"/>
      <c r="O704" s="10">
        <f ref="O704:P704" t="shared" si="803">A704</f>
        <v>0</v>
      </c>
      <c r="P704" s="11">
        <f t="shared" si="803"/>
        <v>0</v>
      </c>
      <c r="Q704" s="11" t="s">
        <f t="shared" si="937"/>
      </c>
      <c r="R704" s="11">
        <f t="shared" si="943"/>
        <v>0</v>
      </c>
      <c r="S704" s="11">
        <f ref="S704:U704" t="shared" si="802">E704</f>
        <v>0</v>
      </c>
      <c r="T704" s="11">
        <f t="shared" si="802"/>
        <v>0</v>
      </c>
      <c r="U704" s="11">
        <f t="shared" si="802"/>
        <v>0</v>
      </c>
      <c r="V704" s="11">
        <f t="shared" si="938"/>
      </c>
      <c r="W704" s="11" t="s">
        <f t="shared" si="942"/>
      </c>
      <c r="X704" s="11" t="s">
        <f t="shared" si="939"/>
      </c>
    </row>
    <row r="705" ht="12.50" customHeight="true">
      <c r="A705" s="10"/>
      <c r="B705" s="11"/>
      <c r="C705" s="11"/>
      <c r="D705" s="11"/>
      <c r="E705" s="11"/>
      <c r="F705" s="11"/>
      <c r="G705" s="11"/>
      <c r="H705" s="11"/>
      <c r="I705" s="11"/>
      <c r="J705" s="11"/>
      <c r="K705" s="11" t="s">
        <f>""</f>
      </c>
      <c r="L705" s="11" t="s">
        <f t="shared" si="944"/>
      </c>
      <c r="M705" s="8" t="s">
        <f t="shared" si="940"/>
      </c>
      <c r="N705" s="11"/>
      <c r="O705" s="10">
        <f ref="O705:P705" t="shared" si="1670">A705</f>
        <v>0</v>
      </c>
      <c r="P705" s="11">
        <f t="shared" si="1670"/>
        <v>0</v>
      </c>
      <c r="Q705" s="11" t="s">
        <f t="shared" si="937"/>
      </c>
      <c r="R705" s="11">
        <f t="shared" si="943"/>
        <v>0</v>
      </c>
      <c r="S705" s="11">
        <f ref="S705:U705" t="shared" si="1671">E705</f>
        <v>0</v>
      </c>
      <c r="T705" s="11">
        <f t="shared" si="1671"/>
        <v>0</v>
      </c>
      <c r="U705" s="11">
        <f t="shared" si="1671"/>
        <v>0</v>
      </c>
      <c r="V705" s="11">
        <f t="shared" si="938"/>
      </c>
      <c r="W705" s="11" t="s">
        <f t="shared" si="942"/>
      </c>
      <c r="X705" s="11" t="s">
        <f t="shared" si="939"/>
      </c>
    </row>
    <row r="706" ht="12.50" customHeight="true">
      <c r="A706" s="10"/>
      <c r="B706" s="11"/>
      <c r="C706" s="11"/>
      <c r="D706" s="11"/>
      <c r="E706" s="11"/>
      <c r="F706" s="11"/>
      <c r="G706" s="11"/>
      <c r="H706" s="11"/>
      <c r="I706" s="11"/>
      <c r="J706" s="11"/>
      <c r="K706" s="11" t="s">
        <f>""</f>
      </c>
      <c r="L706" s="11" t="s">
        <f t="shared" si="944"/>
      </c>
      <c r="M706" s="8" t="s">
        <f t="shared" si="940"/>
      </c>
      <c r="N706" s="11"/>
      <c r="O706" s="10">
        <f ref="O706:P706" t="shared" si="329">A706</f>
        <v>0</v>
      </c>
      <c r="P706" s="11">
        <f t="shared" si="329"/>
        <v>0</v>
      </c>
      <c r="Q706" s="11" t="s">
        <f t="shared" si="937"/>
      </c>
      <c r="R706" s="11">
        <f t="shared" si="943"/>
        <v>0</v>
      </c>
      <c r="S706" s="11">
        <f ref="S706:U706" t="shared" si="328">E706</f>
        <v>0</v>
      </c>
      <c r="T706" s="11">
        <f t="shared" si="328"/>
        <v>0</v>
      </c>
      <c r="U706" s="11">
        <f t="shared" si="328"/>
        <v>0</v>
      </c>
      <c r="V706" s="11">
        <f t="shared" si="938"/>
      </c>
      <c r="W706" s="11" t="s">
        <f t="shared" si="942"/>
      </c>
      <c r="X706" s="11" t="s">
        <f t="shared" si="939"/>
      </c>
    </row>
    <row r="707" ht="12.50" customHeight="true">
      <c r="A707" s="10"/>
      <c r="B707" s="11"/>
      <c r="C707" s="11"/>
      <c r="D707" s="11"/>
      <c r="E707" s="11"/>
      <c r="F707" s="11"/>
      <c r="G707" s="11"/>
      <c r="H707" s="11"/>
      <c r="I707" s="11"/>
      <c r="J707" s="11"/>
      <c r="K707" s="11" t="s">
        <f>""</f>
      </c>
      <c r="L707" s="11" t="s">
        <f t="shared" si="944"/>
      </c>
      <c r="M707" s="8" t="s">
        <f t="shared" si="940"/>
      </c>
      <c r="N707" s="11"/>
      <c r="O707" s="10">
        <f ref="O707:P707" t="shared" si="1454">A707</f>
        <v>0</v>
      </c>
      <c r="P707" s="11">
        <f t="shared" si="1454"/>
        <v>0</v>
      </c>
      <c r="Q707" s="11" t="s">
        <f t="shared" si="937"/>
      </c>
      <c r="R707" s="11">
        <f t="shared" si="943"/>
        <v>0</v>
      </c>
      <c r="S707" s="11">
        <f ref="S707:U707" t="shared" si="1455">E707</f>
        <v>0</v>
      </c>
      <c r="T707" s="11">
        <f t="shared" si="1455"/>
        <v>0</v>
      </c>
      <c r="U707" s="11">
        <f t="shared" si="1455"/>
        <v>0</v>
      </c>
      <c r="V707" s="11">
        <f t="shared" si="938"/>
      </c>
      <c r="W707" s="11" t="s">
        <f t="shared" si="942"/>
      </c>
      <c r="X707" s="11" t="s">
        <f t="shared" si="939"/>
      </c>
    </row>
    <row r="708" ht="12.50" customHeight="true">
      <c r="A708" s="10"/>
      <c r="B708" s="11"/>
      <c r="C708" s="11"/>
      <c r="D708" s="11"/>
      <c r="E708" s="11"/>
      <c r="F708" s="11"/>
      <c r="G708" s="11"/>
      <c r="H708" s="11"/>
      <c r="I708" s="11"/>
      <c r="J708" s="11"/>
      <c r="K708" s="11" t="s">
        <f>""</f>
      </c>
      <c r="L708" s="11" t="s">
        <f t="shared" si="944"/>
      </c>
      <c r="M708" s="8" t="s">
        <f t="shared" si="940"/>
      </c>
      <c r="N708" s="11"/>
      <c r="O708" s="10">
        <f ref="O708:P708" t="shared" si="702">A708</f>
        <v>0</v>
      </c>
      <c r="P708" s="11">
        <f t="shared" si="702"/>
        <v>0</v>
      </c>
      <c r="Q708" s="11" t="s">
        <f t="shared" si="937"/>
      </c>
      <c r="R708" s="11">
        <f t="shared" si="943"/>
        <v>0</v>
      </c>
      <c r="S708" s="11">
        <f ref="S708:U708" t="shared" si="703">E708</f>
        <v>0</v>
      </c>
      <c r="T708" s="11">
        <f t="shared" si="703"/>
        <v>0</v>
      </c>
      <c r="U708" s="11">
        <f t="shared" si="703"/>
        <v>0</v>
      </c>
      <c r="V708" s="11">
        <f t="shared" si="938"/>
      </c>
      <c r="W708" s="11" t="s">
        <f t="shared" si="942"/>
      </c>
      <c r="X708" s="11" t="s">
        <f t="shared" si="939"/>
      </c>
    </row>
    <row r="709" ht="12.50" customHeight="true">
      <c r="A709" s="10"/>
      <c r="B709" s="11"/>
      <c r="C709" s="11"/>
      <c r="D709" s="11"/>
      <c r="E709" s="11"/>
      <c r="F709" s="11"/>
      <c r="G709" s="11"/>
      <c r="H709" s="11"/>
      <c r="I709" s="11"/>
      <c r="J709" s="11"/>
      <c r="K709" s="11" t="s">
        <f>""</f>
      </c>
      <c r="L709" s="11" t="s">
        <f t="shared" si="944"/>
      </c>
      <c r="M709" s="8" t="s">
        <f t="shared" si="940"/>
      </c>
      <c r="N709" s="11"/>
      <c r="O709" s="10">
        <f ref="O709:P709" t="shared" si="1937">A709</f>
        <v>0</v>
      </c>
      <c r="P709" s="11">
        <f t="shared" si="1937"/>
        <v>0</v>
      </c>
      <c r="Q709" s="11" t="s">
        <f t="shared" si="937"/>
      </c>
      <c r="R709" s="11">
        <f t="shared" si="943"/>
        <v>0</v>
      </c>
      <c r="S709" s="11">
        <f ref="S709:U709" t="shared" si="1936">E709</f>
        <v>0</v>
      </c>
      <c r="T709" s="11">
        <f t="shared" si="1936"/>
        <v>0</v>
      </c>
      <c r="U709" s="11">
        <f t="shared" si="1936"/>
        <v>0</v>
      </c>
      <c r="V709" s="11">
        <f t="shared" si="938"/>
      </c>
      <c r="W709" s="11" t="s">
        <f t="shared" si="942"/>
      </c>
      <c r="X709" s="11" t="s">
        <f t="shared" si="939"/>
      </c>
    </row>
    <row r="710" ht="12.50" customHeight="true">
      <c r="A710" s="10"/>
      <c r="B710" s="11"/>
      <c r="C710" s="11"/>
      <c r="D710" s="11"/>
      <c r="E710" s="11"/>
      <c r="F710" s="11"/>
      <c r="G710" s="11"/>
      <c r="H710" s="11"/>
      <c r="I710" s="11"/>
      <c r="J710" s="11"/>
      <c r="K710" s="11" t="s">
        <f>""</f>
      </c>
      <c r="L710" s="11" t="s">
        <f t="shared" si="944"/>
      </c>
      <c r="M710" s="8" t="s">
        <f t="shared" si="940"/>
      </c>
      <c r="N710" s="11"/>
      <c r="O710" s="10">
        <f ref="O710:P710" t="shared" si="1160">A710</f>
        <v>0</v>
      </c>
      <c r="P710" s="11">
        <f t="shared" si="1160"/>
        <v>0</v>
      </c>
      <c r="Q710" s="11" t="s">
        <f t="shared" si="937"/>
      </c>
      <c r="R710" s="11">
        <f t="shared" si="943"/>
        <v>0</v>
      </c>
      <c r="S710" s="11">
        <f ref="S710:U710" t="shared" si="1159">E710</f>
        <v>0</v>
      </c>
      <c r="T710" s="11">
        <f t="shared" si="1159"/>
        <v>0</v>
      </c>
      <c r="U710" s="11">
        <f t="shared" si="1159"/>
        <v>0</v>
      </c>
      <c r="V710" s="11">
        <f t="shared" si="938"/>
      </c>
      <c r="W710" s="11" t="s">
        <f t="shared" si="942"/>
      </c>
      <c r="X710" s="11" t="s">
        <f t="shared" si="939"/>
      </c>
    </row>
    <row r="711" ht="12.50" customHeight="true">
      <c r="A711" s="10"/>
      <c r="B711" s="11"/>
      <c r="C711" s="11"/>
      <c r="D711" s="11"/>
      <c r="E711" s="11"/>
      <c r="F711" s="11"/>
      <c r="G711" s="11"/>
      <c r="H711" s="11"/>
      <c r="I711" s="11"/>
      <c r="J711" s="11"/>
      <c r="K711" s="11" t="s">
        <f>""</f>
      </c>
      <c r="L711" s="11" t="s">
        <f t="shared" si="944"/>
      </c>
      <c r="M711" s="8" t="s">
        <f t="shared" si="940"/>
      </c>
      <c r="N711" s="11"/>
      <c r="O711" s="10">
        <f ref="O711:P711" t="shared" si="1924">A711</f>
        <v>0</v>
      </c>
      <c r="P711" s="11">
        <f t="shared" si="1924"/>
        <v>0</v>
      </c>
      <c r="Q711" s="11" t="s">
        <f t="shared" si="937"/>
      </c>
      <c r="R711" s="11">
        <f t="shared" si="943"/>
        <v>0</v>
      </c>
      <c r="S711" s="11">
        <f ref="S711:U711" t="shared" si="1925">E711</f>
        <v>0</v>
      </c>
      <c r="T711" s="11">
        <f t="shared" si="1925"/>
        <v>0</v>
      </c>
      <c r="U711" s="11">
        <f t="shared" si="1925"/>
        <v>0</v>
      </c>
      <c r="V711" s="11">
        <f t="shared" si="938"/>
      </c>
      <c r="W711" s="11" t="s">
        <f t="shared" si="942"/>
      </c>
      <c r="X711" s="11" t="s">
        <f t="shared" si="939"/>
      </c>
    </row>
    <row r="712" ht="12.50" customHeight="true">
      <c r="A712" s="10"/>
      <c r="B712" s="11"/>
      <c r="C712" s="11"/>
      <c r="D712" s="11"/>
      <c r="E712" s="11"/>
      <c r="F712" s="11"/>
      <c r="G712" s="11"/>
      <c r="H712" s="11"/>
      <c r="I712" s="11"/>
      <c r="J712" s="11"/>
      <c r="K712" s="11" t="s">
        <f>""</f>
      </c>
      <c r="L712" s="11" t="s">
        <f t="shared" si="944"/>
      </c>
      <c r="M712" s="8" t="s">
        <f t="shared" si="940"/>
      </c>
      <c r="N712" s="11"/>
      <c r="O712" s="10">
        <f ref="O712:P712" t="shared" si="1090">A712</f>
        <v>0</v>
      </c>
      <c r="P712" s="11">
        <f t="shared" si="1090"/>
        <v>0</v>
      </c>
      <c r="Q712" s="11" t="s">
        <f t="shared" si="937"/>
      </c>
      <c r="R712" s="11">
        <f t="shared" si="943"/>
        <v>0</v>
      </c>
      <c r="S712" s="11">
        <f ref="S712:U712" t="shared" si="1089">E712</f>
        <v>0</v>
      </c>
      <c r="T712" s="11">
        <f t="shared" si="1089"/>
        <v>0</v>
      </c>
      <c r="U712" s="11">
        <f t="shared" si="1089"/>
        <v>0</v>
      </c>
      <c r="V712" s="11">
        <f t="shared" si="938"/>
      </c>
      <c r="W712" s="11" t="s">
        <f t="shared" si="942"/>
      </c>
      <c r="X712" s="11" t="s">
        <f t="shared" si="939"/>
      </c>
    </row>
    <row r="713" ht="12.50" customHeight="true">
      <c r="A713" s="10"/>
      <c r="B713" s="11"/>
      <c r="C713" s="11"/>
      <c r="D713" s="11"/>
      <c r="E713" s="11"/>
      <c r="F713" s="11"/>
      <c r="G713" s="11"/>
      <c r="H713" s="11"/>
      <c r="I713" s="11"/>
      <c r="J713" s="11"/>
      <c r="K713" s="11" t="s">
        <f>""</f>
      </c>
      <c r="L713" s="11" t="s">
        <f t="shared" si="944"/>
      </c>
      <c r="M713" s="8" t="s">
        <f t="shared" si="940"/>
      </c>
      <c r="N713" s="11"/>
      <c r="O713" s="10">
        <f ref="O713:P713" t="shared" si="1226">A713</f>
        <v>0</v>
      </c>
      <c r="P713" s="11">
        <f t="shared" si="1226"/>
        <v>0</v>
      </c>
      <c r="Q713" s="11" t="s">
        <f t="shared" si="937"/>
      </c>
      <c r="R713" s="11">
        <f t="shared" si="943"/>
        <v>0</v>
      </c>
      <c r="S713" s="11">
        <f ref="S713:U713" t="shared" si="1225">E713</f>
        <v>0</v>
      </c>
      <c r="T713" s="11">
        <f t="shared" si="1225"/>
        <v>0</v>
      </c>
      <c r="U713" s="11">
        <f t="shared" si="1225"/>
        <v>0</v>
      </c>
      <c r="V713" s="11">
        <f t="shared" si="938"/>
      </c>
      <c r="W713" s="11" t="s">
        <f t="shared" si="942"/>
      </c>
      <c r="X713" s="11" t="s">
        <f t="shared" si="939"/>
      </c>
    </row>
    <row r="714" ht="12.50" customHeight="true">
      <c r="A714" s="10"/>
      <c r="B714" s="11"/>
      <c r="C714" s="11"/>
      <c r="D714" s="11"/>
      <c r="E714" s="11"/>
      <c r="F714" s="11"/>
      <c r="G714" s="11"/>
      <c r="H714" s="11"/>
      <c r="I714" s="11"/>
      <c r="J714" s="11"/>
      <c r="K714" s="11" t="s">
        <f>""</f>
      </c>
      <c r="L714" s="11" t="s">
        <f t="shared" si="944"/>
      </c>
      <c r="M714" s="8" t="s">
        <f t="shared" si="940"/>
      </c>
      <c r="N714" s="11"/>
      <c r="O714" s="10">
        <f ref="O714:P714" t="shared" si="1684">A714</f>
        <v>0</v>
      </c>
      <c r="P714" s="11">
        <f t="shared" si="1684"/>
        <v>0</v>
      </c>
      <c r="Q714" s="11" t="s">
        <f t="shared" si="937"/>
      </c>
      <c r="R714" s="11">
        <f t="shared" si="943"/>
        <v>0</v>
      </c>
      <c r="S714" s="11">
        <f ref="S714:U714" t="shared" si="1685">E714</f>
        <v>0</v>
      </c>
      <c r="T714" s="11">
        <f t="shared" si="1685"/>
        <v>0</v>
      </c>
      <c r="U714" s="11">
        <f t="shared" si="1685"/>
        <v>0</v>
      </c>
      <c r="V714" s="11">
        <f t="shared" si="938"/>
      </c>
      <c r="W714" s="11" t="s">
        <f t="shared" si="942"/>
      </c>
      <c r="X714" s="11" t="s">
        <f t="shared" si="939"/>
      </c>
    </row>
    <row r="715" ht="12.50" customHeight="true">
      <c r="A715" s="10"/>
      <c r="B715" s="11"/>
      <c r="C715" s="11"/>
      <c r="D715" s="11"/>
      <c r="E715" s="11"/>
      <c r="F715" s="11"/>
      <c r="G715" s="11"/>
      <c r="H715" s="11"/>
      <c r="I715" s="11"/>
      <c r="J715" s="11"/>
      <c r="K715" s="11" t="s">
        <f>""</f>
      </c>
      <c r="L715" s="11" t="s">
        <f t="shared" si="944"/>
      </c>
      <c r="M715" s="8" t="s">
        <f t="shared" si="940"/>
      </c>
      <c r="N715" s="11"/>
      <c r="O715" s="10">
        <f ref="O715:P715" t="shared" si="290">A715</f>
        <v>0</v>
      </c>
      <c r="P715" s="11">
        <f t="shared" si="290"/>
        <v>0</v>
      </c>
      <c r="Q715" s="11" t="s">
        <f t="shared" si="937"/>
      </c>
      <c r="R715" s="11">
        <f t="shared" si="943"/>
        <v>0</v>
      </c>
      <c r="S715" s="11">
        <f ref="S715:U715" t="shared" si="291">E715</f>
        <v>0</v>
      </c>
      <c r="T715" s="11">
        <f t="shared" si="291"/>
        <v>0</v>
      </c>
      <c r="U715" s="11">
        <f t="shared" si="291"/>
        <v>0</v>
      </c>
      <c r="V715" s="11">
        <f t="shared" si="938"/>
      </c>
      <c r="W715" s="11" t="s">
        <f t="shared" si="942"/>
      </c>
      <c r="X715" s="11" t="s">
        <f t="shared" si="939"/>
      </c>
    </row>
    <row r="716" ht="12.50" customHeight="true">
      <c r="A716" s="10"/>
      <c r="B716" s="11"/>
      <c r="C716" s="11"/>
      <c r="D716" s="11"/>
      <c r="E716" s="11"/>
      <c r="F716" s="11"/>
      <c r="G716" s="11"/>
      <c r="H716" s="11"/>
      <c r="I716" s="11"/>
      <c r="J716" s="11"/>
      <c r="K716" s="11" t="s">
        <f>""</f>
      </c>
      <c r="L716" s="11" t="s">
        <f t="shared" si="944"/>
      </c>
      <c r="M716" s="8" t="s">
        <f t="shared" si="940"/>
      </c>
      <c r="N716" s="11"/>
      <c r="O716" s="10">
        <f ref="O716:P716" t="shared" si="229">A716</f>
        <v>0</v>
      </c>
      <c r="P716" s="11">
        <f t="shared" si="229"/>
        <v>0</v>
      </c>
      <c r="Q716" s="11" t="s">
        <f t="shared" si="937"/>
      </c>
      <c r="R716" s="11">
        <f t="shared" si="943"/>
        <v>0</v>
      </c>
      <c r="S716" s="11">
        <f ref="S716:U716" t="shared" si="230">E716</f>
        <v>0</v>
      </c>
      <c r="T716" s="11">
        <f t="shared" si="230"/>
        <v>0</v>
      </c>
      <c r="U716" s="11">
        <f t="shared" si="230"/>
        <v>0</v>
      </c>
      <c r="V716" s="11">
        <f t="shared" si="938"/>
      </c>
      <c r="W716" s="11" t="s">
        <f t="shared" si="942"/>
      </c>
      <c r="X716" s="11" t="s">
        <f t="shared" si="939"/>
      </c>
    </row>
    <row r="717" ht="12.50" customHeight="true">
      <c r="A717" s="10"/>
      <c r="B717" s="11"/>
      <c r="C717" s="11"/>
      <c r="D717" s="11"/>
      <c r="E717" s="11"/>
      <c r="F717" s="11"/>
      <c r="G717" s="11"/>
      <c r="H717" s="11"/>
      <c r="I717" s="11"/>
      <c r="J717" s="11"/>
      <c r="K717" s="11" t="s">
        <f>""</f>
      </c>
      <c r="L717" s="11" t="s">
        <f t="shared" si="944"/>
      </c>
      <c r="M717" s="8" t="s">
        <f t="shared" si="940"/>
      </c>
      <c r="N717" s="11"/>
      <c r="O717" s="10">
        <f ref="O717:P717" t="shared" si="1620">A717</f>
        <v>0</v>
      </c>
      <c r="P717" s="11">
        <f t="shared" si="1620"/>
        <v>0</v>
      </c>
      <c r="Q717" s="11" t="s">
        <f t="shared" si="937"/>
      </c>
      <c r="R717" s="11">
        <f t="shared" si="943"/>
        <v>0</v>
      </c>
      <c r="S717" s="11">
        <f ref="S717:U717" t="shared" si="1621">E717</f>
        <v>0</v>
      </c>
      <c r="T717" s="11">
        <f t="shared" si="1621"/>
        <v>0</v>
      </c>
      <c r="U717" s="11">
        <f t="shared" si="1621"/>
        <v>0</v>
      </c>
      <c r="V717" s="11">
        <f t="shared" si="938"/>
      </c>
      <c r="W717" s="11" t="s">
        <f t="shared" si="942"/>
      </c>
      <c r="X717" s="11" t="s">
        <f t="shared" si="939"/>
      </c>
    </row>
    <row r="718" ht="12.50" customHeight="true">
      <c r="A718" s="10"/>
      <c r="B718" s="11"/>
      <c r="C718" s="11"/>
      <c r="D718" s="11"/>
      <c r="E718" s="11"/>
      <c r="F718" s="11"/>
      <c r="G718" s="11"/>
      <c r="H718" s="11"/>
      <c r="I718" s="11"/>
      <c r="J718" s="11"/>
      <c r="K718" s="11" t="s">
        <f>""</f>
      </c>
      <c r="L718" s="11" t="s">
        <f t="shared" si="944"/>
      </c>
      <c r="M718" s="8" t="s">
        <f t="shared" si="940"/>
      </c>
      <c r="N718" s="11"/>
      <c r="O718" s="10">
        <f ref="O718:P718" t="shared" si="592">A718</f>
        <v>0</v>
      </c>
      <c r="P718" s="11">
        <f t="shared" si="592"/>
        <v>0</v>
      </c>
      <c r="Q718" s="11" t="s">
        <f t="shared" si="937"/>
      </c>
      <c r="R718" s="11">
        <f t="shared" si="943"/>
        <v>0</v>
      </c>
      <c r="S718" s="11">
        <f ref="S718:U718" t="shared" si="593">E718</f>
        <v>0</v>
      </c>
      <c r="T718" s="11">
        <f t="shared" si="593"/>
        <v>0</v>
      </c>
      <c r="U718" s="11">
        <f t="shared" si="593"/>
        <v>0</v>
      </c>
      <c r="V718" s="11">
        <f t="shared" si="938"/>
      </c>
      <c r="W718" s="11" t="s">
        <f t="shared" si="942"/>
      </c>
      <c r="X718" s="11" t="s">
        <f t="shared" si="939"/>
      </c>
    </row>
    <row r="719" ht="12.50" customHeight="true">
      <c r="A719" s="10"/>
      <c r="B719" s="11"/>
      <c r="C719" s="11"/>
      <c r="D719" s="11"/>
      <c r="E719" s="11"/>
      <c r="F719" s="11"/>
      <c r="G719" s="11"/>
      <c r="H719" s="11"/>
      <c r="I719" s="11"/>
      <c r="J719" s="11"/>
      <c r="K719" s="11" t="s">
        <f>""</f>
      </c>
      <c r="L719" s="11" t="s">
        <f t="shared" si="944"/>
      </c>
      <c r="M719" s="8" t="s">
        <f t="shared" si="940"/>
      </c>
      <c r="N719" s="11"/>
      <c r="O719" s="10">
        <f ref="O719:P719" t="shared" si="568">A719</f>
        <v>0</v>
      </c>
      <c r="P719" s="11">
        <f t="shared" si="568"/>
        <v>0</v>
      </c>
      <c r="Q719" s="11" t="s">
        <f t="shared" si="937"/>
      </c>
      <c r="R719" s="11">
        <f t="shared" si="943"/>
        <v>0</v>
      </c>
      <c r="S719" s="11">
        <f ref="S719:U719" t="shared" si="569">E719</f>
        <v>0</v>
      </c>
      <c r="T719" s="11">
        <f t="shared" si="569"/>
        <v>0</v>
      </c>
      <c r="U719" s="11">
        <f t="shared" si="569"/>
        <v>0</v>
      </c>
      <c r="V719" s="11">
        <f t="shared" si="938"/>
      </c>
      <c r="W719" s="11" t="s">
        <f t="shared" si="942"/>
      </c>
      <c r="X719" s="11" t="s">
        <f t="shared" si="939"/>
      </c>
    </row>
    <row r="720" ht="12.50" customHeight="true">
      <c r="A720" s="10"/>
      <c r="B720" s="11"/>
      <c r="C720" s="11"/>
      <c r="D720" s="11"/>
      <c r="E720" s="11"/>
      <c r="F720" s="11"/>
      <c r="G720" s="11"/>
      <c r="H720" s="11"/>
      <c r="I720" s="11"/>
      <c r="J720" s="11"/>
      <c r="K720" s="11" t="s">
        <f>""</f>
      </c>
      <c r="L720" s="11" t="s">
        <f t="shared" si="944"/>
      </c>
      <c r="M720" s="8" t="s">
        <f t="shared" si="940"/>
      </c>
      <c r="N720" s="11"/>
      <c r="O720" s="10">
        <f ref="O720:P720" t="shared" si="1587">A720</f>
        <v>0</v>
      </c>
      <c r="P720" s="11">
        <f t="shared" si="1587"/>
        <v>0</v>
      </c>
      <c r="Q720" s="11" t="s">
        <f t="shared" si="937"/>
      </c>
      <c r="R720" s="11">
        <f t="shared" si="943"/>
        <v>0</v>
      </c>
      <c r="S720" s="11">
        <f ref="S720:U720" t="shared" si="1586">E720</f>
        <v>0</v>
      </c>
      <c r="T720" s="11">
        <f t="shared" si="1586"/>
        <v>0</v>
      </c>
      <c r="U720" s="11">
        <f t="shared" si="1586"/>
        <v>0</v>
      </c>
      <c r="V720" s="11">
        <f t="shared" si="938"/>
      </c>
      <c r="W720" s="11" t="s">
        <f t="shared" si="942"/>
      </c>
      <c r="X720" s="11" t="s">
        <f t="shared" si="939"/>
      </c>
    </row>
    <row r="721" ht="12.50" customHeight="true">
      <c r="A721" s="10"/>
      <c r="B721" s="11"/>
      <c r="C721" s="11"/>
      <c r="D721" s="11"/>
      <c r="E721" s="11"/>
      <c r="F721" s="11"/>
      <c r="G721" s="11"/>
      <c r="H721" s="11"/>
      <c r="I721" s="11"/>
      <c r="J721" s="11"/>
      <c r="K721" s="11" t="s">
        <f>""</f>
      </c>
      <c r="L721" s="11" t="s">
        <f t="shared" si="944"/>
      </c>
      <c r="M721" s="8" t="s">
        <f t="shared" si="940"/>
      </c>
      <c r="N721" s="11"/>
      <c r="O721" s="10">
        <f ref="O721:P721" t="shared" si="1292">A721</f>
        <v>0</v>
      </c>
      <c r="P721" s="11">
        <f t="shared" si="1292"/>
        <v>0</v>
      </c>
      <c r="Q721" s="11" t="s">
        <f t="shared" si="937"/>
      </c>
      <c r="R721" s="11">
        <f t="shared" si="943"/>
        <v>0</v>
      </c>
      <c r="S721" s="11">
        <f ref="S721:U721" t="shared" si="1293">E721</f>
        <v>0</v>
      </c>
      <c r="T721" s="11">
        <f t="shared" si="1293"/>
        <v>0</v>
      </c>
      <c r="U721" s="11">
        <f t="shared" si="1293"/>
        <v>0</v>
      </c>
      <c r="V721" s="11">
        <f t="shared" si="938"/>
      </c>
      <c r="W721" s="11" t="s">
        <f t="shared" si="942"/>
      </c>
      <c r="X721" s="11" t="s">
        <f t="shared" si="939"/>
      </c>
    </row>
    <row r="722" ht="12.50" customHeight="true">
      <c r="A722" s="10"/>
      <c r="B722" s="11"/>
      <c r="C722" s="11"/>
      <c r="D722" s="11"/>
      <c r="E722" s="11"/>
      <c r="F722" s="11"/>
      <c r="G722" s="11"/>
      <c r="H722" s="11"/>
      <c r="I722" s="11"/>
      <c r="J722" s="11"/>
      <c r="K722" s="11" t="s">
        <f>""</f>
      </c>
      <c r="L722" s="11" t="s">
        <f t="shared" si="944"/>
      </c>
      <c r="M722" s="8" t="s">
        <f t="shared" si="940"/>
      </c>
      <c r="N722" s="11"/>
      <c r="O722" s="10">
        <f ref="O722:P722" t="shared" si="900">A722</f>
        <v>0</v>
      </c>
      <c r="P722" s="11">
        <f t="shared" si="900"/>
        <v>0</v>
      </c>
      <c r="Q722" s="11" t="s">
        <f t="shared" si="937"/>
      </c>
      <c r="R722" s="11">
        <f t="shared" si="943"/>
        <v>0</v>
      </c>
      <c r="S722" s="11">
        <f ref="S722:U722" t="shared" si="901">E722</f>
        <v>0</v>
      </c>
      <c r="T722" s="11">
        <f t="shared" si="901"/>
        <v>0</v>
      </c>
      <c r="U722" s="11">
        <f t="shared" si="901"/>
        <v>0</v>
      </c>
      <c r="V722" s="11">
        <f t="shared" si="938"/>
      </c>
      <c r="W722" s="11" t="s">
        <f t="shared" si="942"/>
      </c>
      <c r="X722" s="11" t="s">
        <f t="shared" si="939"/>
      </c>
    </row>
    <row r="723" ht="12.50" customHeight="true">
      <c r="A723" s="10"/>
      <c r="B723" s="11"/>
      <c r="C723" s="11"/>
      <c r="D723" s="11"/>
      <c r="E723" s="11"/>
      <c r="F723" s="11"/>
      <c r="G723" s="11"/>
      <c r="H723" s="11"/>
      <c r="I723" s="11"/>
      <c r="J723" s="11"/>
      <c r="K723" s="11" t="s">
        <f>""</f>
      </c>
      <c r="L723" s="11" t="s">
        <f t="shared" si="944"/>
      </c>
      <c r="M723" s="8" t="s">
        <f t="shared" si="940"/>
      </c>
      <c r="N723" s="11"/>
      <c r="O723" s="10">
        <f ref="O723:P723" t="shared" si="823">A723</f>
        <v>0</v>
      </c>
      <c r="P723" s="11">
        <f t="shared" si="823"/>
        <v>0</v>
      </c>
      <c r="Q723" s="11" t="s">
        <f t="shared" si="937"/>
      </c>
      <c r="R723" s="11">
        <f t="shared" si="943"/>
        <v>0</v>
      </c>
      <c r="S723" s="11">
        <f ref="S723:U723" t="shared" si="822">E723</f>
        <v>0</v>
      </c>
      <c r="T723" s="11">
        <f t="shared" si="822"/>
        <v>0</v>
      </c>
      <c r="U723" s="11">
        <f t="shared" si="822"/>
        <v>0</v>
      </c>
      <c r="V723" s="11">
        <f t="shared" si="938"/>
      </c>
      <c r="W723" s="11" t="s">
        <f t="shared" si="942"/>
      </c>
      <c r="X723" s="11" t="s">
        <f t="shared" si="939"/>
      </c>
    </row>
    <row r="724" ht="12.50" customHeight="true">
      <c r="A724" s="10"/>
      <c r="B724" s="11"/>
      <c r="C724" s="11"/>
      <c r="D724" s="11"/>
      <c r="E724" s="11"/>
      <c r="F724" s="11"/>
      <c r="G724" s="11"/>
      <c r="H724" s="11"/>
      <c r="I724" s="11"/>
      <c r="J724" s="11"/>
      <c r="K724" s="11" t="s">
        <f>""</f>
      </c>
      <c r="L724" s="11" t="s">
        <f t="shared" si="944"/>
      </c>
      <c r="M724" s="8" t="s">
        <f t="shared" si="940"/>
      </c>
      <c r="N724" s="11"/>
      <c r="O724" s="10">
        <f ref="O724:P724" t="shared" si="451">A724</f>
        <v>0</v>
      </c>
      <c r="P724" s="11">
        <f t="shared" si="451"/>
        <v>0</v>
      </c>
      <c r="Q724" s="11" t="s">
        <f t="shared" si="937"/>
      </c>
      <c r="R724" s="11">
        <f t="shared" si="943"/>
        <v>0</v>
      </c>
      <c r="S724" s="11">
        <f ref="S724:U724" t="shared" si="450">E724</f>
        <v>0</v>
      </c>
      <c r="T724" s="11">
        <f t="shared" si="450"/>
        <v>0</v>
      </c>
      <c r="U724" s="11">
        <f t="shared" si="450"/>
        <v>0</v>
      </c>
      <c r="V724" s="11">
        <f t="shared" si="938"/>
      </c>
      <c r="W724" s="11" t="s">
        <f t="shared" si="942"/>
      </c>
      <c r="X724" s="11" t="s">
        <f t="shared" si="939"/>
      </c>
    </row>
    <row r="725" ht="12.50" customHeight="true">
      <c r="A725" s="10"/>
      <c r="B725" s="11"/>
      <c r="C725" s="11"/>
      <c r="D725" s="11"/>
      <c r="E725" s="11"/>
      <c r="F725" s="11"/>
      <c r="G725" s="11"/>
      <c r="H725" s="11"/>
      <c r="I725" s="11"/>
      <c r="J725" s="11"/>
      <c r="K725" s="11" t="s">
        <f>""</f>
      </c>
      <c r="L725" s="11" t="s">
        <f t="shared" si="944"/>
      </c>
      <c r="M725" s="8" t="s">
        <f t="shared" si="940"/>
      </c>
      <c r="N725" s="11"/>
      <c r="O725" s="10">
        <f ref="O725:P725" t="shared" si="897">A725</f>
        <v>0</v>
      </c>
      <c r="P725" s="11">
        <f t="shared" si="897"/>
        <v>0</v>
      </c>
      <c r="Q725" s="11" t="s">
        <f t="shared" si="937"/>
      </c>
      <c r="R725" s="11">
        <f t="shared" si="943"/>
        <v>0</v>
      </c>
      <c r="S725" s="11">
        <f ref="S725:U725" t="shared" si="896">E725</f>
        <v>0</v>
      </c>
      <c r="T725" s="11">
        <f t="shared" si="896"/>
        <v>0</v>
      </c>
      <c r="U725" s="11">
        <f t="shared" si="896"/>
        <v>0</v>
      </c>
      <c r="V725" s="11">
        <f t="shared" si="938"/>
      </c>
      <c r="W725" s="11" t="s">
        <f t="shared" si="942"/>
      </c>
      <c r="X725" s="11" t="s">
        <f t="shared" si="939"/>
      </c>
    </row>
    <row r="726" ht="12.50" customHeight="true">
      <c r="A726" s="10"/>
      <c r="B726" s="11"/>
      <c r="C726" s="11"/>
      <c r="D726" s="11"/>
      <c r="E726" s="11"/>
      <c r="F726" s="11"/>
      <c r="G726" s="11"/>
      <c r="H726" s="11"/>
      <c r="I726" s="11"/>
      <c r="J726" s="11"/>
      <c r="K726" s="11" t="s">
        <f>""</f>
      </c>
      <c r="L726" s="11" t="s">
        <f t="shared" si="944"/>
      </c>
      <c r="M726" s="8" t="s">
        <f t="shared" si="940"/>
      </c>
      <c r="N726" s="11"/>
      <c r="O726" s="10">
        <f ref="O726:P726" t="shared" si="1135">A726</f>
        <v>0</v>
      </c>
      <c r="P726" s="11">
        <f t="shared" si="1135"/>
        <v>0</v>
      </c>
      <c r="Q726" s="11" t="s">
        <f t="shared" si="937"/>
      </c>
      <c r="R726" s="11">
        <f t="shared" si="943"/>
        <v>0</v>
      </c>
      <c r="S726" s="11">
        <f ref="S726:U726" t="shared" si="1136">E726</f>
        <v>0</v>
      </c>
      <c r="T726" s="11">
        <f t="shared" si="1136"/>
        <v>0</v>
      </c>
      <c r="U726" s="11">
        <f t="shared" si="1136"/>
        <v>0</v>
      </c>
      <c r="V726" s="11">
        <f t="shared" si="938"/>
      </c>
      <c r="W726" s="11" t="s">
        <f t="shared" si="942"/>
      </c>
      <c r="X726" s="11" t="s">
        <f t="shared" si="939"/>
      </c>
    </row>
    <row r="727" ht="12.50" customHeight="true">
      <c r="A727" s="10"/>
      <c r="B727" s="11"/>
      <c r="C727" s="11"/>
      <c r="D727" s="11"/>
      <c r="E727" s="11"/>
      <c r="F727" s="11"/>
      <c r="G727" s="11"/>
      <c r="H727" s="11"/>
      <c r="I727" s="11"/>
      <c r="J727" s="11"/>
      <c r="K727" s="11" t="s">
        <f>""</f>
      </c>
      <c r="L727" s="11" t="s">
        <f t="shared" si="944"/>
      </c>
      <c r="M727" s="8" t="s">
        <f t="shared" si="940"/>
      </c>
      <c r="N727" s="11"/>
      <c r="O727" s="10">
        <f ref="O727:P727" t="shared" si="1051">A727</f>
        <v>0</v>
      </c>
      <c r="P727" s="11">
        <f t="shared" si="1051"/>
        <v>0</v>
      </c>
      <c r="Q727" s="11" t="s">
        <f t="shared" si="937"/>
      </c>
      <c r="R727" s="11">
        <f t="shared" si="943"/>
        <v>0</v>
      </c>
      <c r="S727" s="11">
        <f ref="S727:U727" t="shared" si="1052">E727</f>
        <v>0</v>
      </c>
      <c r="T727" s="11">
        <f t="shared" si="1052"/>
        <v>0</v>
      </c>
      <c r="U727" s="11">
        <f t="shared" si="1052"/>
        <v>0</v>
      </c>
      <c r="V727" s="11">
        <f t="shared" si="938"/>
      </c>
      <c r="W727" s="11" t="s">
        <f t="shared" si="942"/>
      </c>
      <c r="X727" s="11" t="s">
        <f t="shared" si="939"/>
      </c>
    </row>
    <row r="728" ht="12.50" customHeight="true">
      <c r="A728" s="10"/>
      <c r="B728" s="11"/>
      <c r="C728" s="11"/>
      <c r="D728" s="11"/>
      <c r="E728" s="11"/>
      <c r="F728" s="11"/>
      <c r="G728" s="11"/>
      <c r="H728" s="11"/>
      <c r="I728" s="11"/>
      <c r="J728" s="11"/>
      <c r="K728" s="11" t="s">
        <f>""</f>
      </c>
      <c r="L728" s="11" t="s">
        <f t="shared" si="944"/>
      </c>
      <c r="M728" s="8" t="s">
        <f t="shared" si="940"/>
      </c>
      <c r="N728" s="11"/>
      <c r="O728" s="10">
        <f ref="O728:P728" t="shared" si="527">A728</f>
        <v>0</v>
      </c>
      <c r="P728" s="11">
        <f t="shared" si="527"/>
        <v>0</v>
      </c>
      <c r="Q728" s="11" t="s">
        <f t="shared" si="937"/>
      </c>
      <c r="R728" s="11">
        <f t="shared" si="943"/>
        <v>0</v>
      </c>
      <c r="S728" s="11">
        <f ref="S728:U728" t="shared" si="526">E728</f>
        <v>0</v>
      </c>
      <c r="T728" s="11">
        <f t="shared" si="526"/>
        <v>0</v>
      </c>
      <c r="U728" s="11">
        <f t="shared" si="526"/>
        <v>0</v>
      </c>
      <c r="V728" s="11">
        <f t="shared" si="938"/>
      </c>
      <c r="W728" s="11" t="s">
        <f t="shared" si="942"/>
      </c>
      <c r="X728" s="11" t="s">
        <f t="shared" si="939"/>
      </c>
    </row>
    <row r="729" ht="12.50" customHeight="true">
      <c r="A729" s="10"/>
      <c r="B729" s="11"/>
      <c r="C729" s="11"/>
      <c r="D729" s="11"/>
      <c r="E729" s="11"/>
      <c r="F729" s="11"/>
      <c r="G729" s="11"/>
      <c r="H729" s="11"/>
      <c r="I729" s="11"/>
      <c r="J729" s="11"/>
      <c r="K729" s="11" t="s">
        <f>""</f>
      </c>
      <c r="L729" s="11" t="s">
        <f t="shared" si="944"/>
      </c>
      <c r="M729" s="8" t="s">
        <f t="shared" si="940"/>
      </c>
      <c r="N729" s="11"/>
      <c r="O729" s="10">
        <f ref="O729:P729" t="shared" si="978">A729</f>
        <v>0</v>
      </c>
      <c r="P729" s="11">
        <f t="shared" si="978"/>
        <v>0</v>
      </c>
      <c r="Q729" s="11" t="s">
        <f t="shared" si="937"/>
      </c>
      <c r="R729" s="11">
        <f t="shared" si="943"/>
        <v>0</v>
      </c>
      <c r="S729" s="11">
        <f ref="S729:U729" t="shared" si="977">E729</f>
        <v>0</v>
      </c>
      <c r="T729" s="11">
        <f t="shared" si="977"/>
        <v>0</v>
      </c>
      <c r="U729" s="11">
        <f t="shared" si="977"/>
        <v>0</v>
      </c>
      <c r="V729" s="11">
        <f t="shared" si="938"/>
      </c>
      <c r="W729" s="11" t="s">
        <f t="shared" si="942"/>
      </c>
      <c r="X729" s="11" t="s">
        <f t="shared" si="939"/>
      </c>
    </row>
    <row r="730" ht="12.50" customHeight="true">
      <c r="A730" s="10"/>
      <c r="B730" s="11"/>
      <c r="C730" s="11"/>
      <c r="D730" s="11"/>
      <c r="E730" s="11"/>
      <c r="F730" s="11"/>
      <c r="G730" s="11"/>
      <c r="H730" s="11"/>
      <c r="I730" s="11"/>
      <c r="J730" s="11"/>
      <c r="K730" s="11" t="s">
        <f>""</f>
      </c>
      <c r="L730" s="11" t="s">
        <f t="shared" si="944"/>
      </c>
      <c r="M730" s="8" t="s">
        <f t="shared" si="940"/>
      </c>
      <c r="N730" s="11"/>
      <c r="O730" s="10">
        <f ref="O730:P730" t="shared" si="506">A730</f>
        <v>0</v>
      </c>
      <c r="P730" s="11">
        <f t="shared" si="506"/>
        <v>0</v>
      </c>
      <c r="Q730" s="11" t="s">
        <f t="shared" si="937"/>
      </c>
      <c r="R730" s="11">
        <f t="shared" si="943"/>
        <v>0</v>
      </c>
      <c r="S730" s="11">
        <f ref="S730:U730" t="shared" si="507">E730</f>
        <v>0</v>
      </c>
      <c r="T730" s="11">
        <f t="shared" si="507"/>
        <v>0</v>
      </c>
      <c r="U730" s="11">
        <f t="shared" si="507"/>
        <v>0</v>
      </c>
      <c r="V730" s="11">
        <f t="shared" si="938"/>
      </c>
      <c r="W730" s="11" t="s">
        <f t="shared" si="942"/>
      </c>
      <c r="X730" s="11" t="s">
        <f t="shared" si="939"/>
      </c>
    </row>
    <row r="731" ht="12.50" customHeight="true">
      <c r="A731" s="10"/>
      <c r="B731" s="11"/>
      <c r="C731" s="11"/>
      <c r="D731" s="11"/>
      <c r="E731" s="11"/>
      <c r="F731" s="11"/>
      <c r="G731" s="11"/>
      <c r="H731" s="11"/>
      <c r="I731" s="11"/>
      <c r="J731" s="11"/>
      <c r="K731" s="11" t="s">
        <f>""</f>
      </c>
      <c r="L731" s="11" t="s">
        <f t="shared" si="944"/>
      </c>
      <c r="M731" s="8" t="s">
        <f t="shared" si="940"/>
      </c>
      <c r="N731" s="11"/>
      <c r="O731" s="10">
        <f ref="O731:P731" t="shared" si="1973">A731</f>
        <v>0</v>
      </c>
      <c r="P731" s="11">
        <f t="shared" si="1973"/>
        <v>0</v>
      </c>
      <c r="Q731" s="11" t="s">
        <f t="shared" si="937"/>
      </c>
      <c r="R731" s="11">
        <f t="shared" si="943"/>
        <v>0</v>
      </c>
      <c r="S731" s="11">
        <f ref="S731:U731" t="shared" si="1972">E731</f>
        <v>0</v>
      </c>
      <c r="T731" s="11">
        <f t="shared" si="1972"/>
        <v>0</v>
      </c>
      <c r="U731" s="11">
        <f t="shared" si="1972"/>
        <v>0</v>
      </c>
      <c r="V731" s="11">
        <f t="shared" si="938"/>
      </c>
      <c r="W731" s="11" t="s">
        <f t="shared" si="942"/>
      </c>
      <c r="X731" s="11" t="s">
        <f t="shared" si="939"/>
      </c>
    </row>
    <row r="732" ht="12.50" customHeight="true">
      <c r="A732" s="10"/>
      <c r="B732" s="11"/>
      <c r="C732" s="11"/>
      <c r="D732" s="11"/>
      <c r="E732" s="11"/>
      <c r="F732" s="11"/>
      <c r="G732" s="11"/>
      <c r="H732" s="11"/>
      <c r="I732" s="11"/>
      <c r="J732" s="11"/>
      <c r="K732" s="11" t="s">
        <f>""</f>
      </c>
      <c r="L732" s="11" t="s">
        <f t="shared" si="944"/>
      </c>
      <c r="M732" s="8" t="s">
        <f t="shared" si="940"/>
      </c>
      <c r="N732" s="11"/>
      <c r="O732" s="10">
        <f ref="O732:P732" t="shared" si="1569">A732</f>
        <v>0</v>
      </c>
      <c r="P732" s="11">
        <f t="shared" si="1569"/>
        <v>0</v>
      </c>
      <c r="Q732" s="11" t="s">
        <f t="shared" si="937"/>
      </c>
      <c r="R732" s="11">
        <f t="shared" si="943"/>
        <v>0</v>
      </c>
      <c r="S732" s="11">
        <f ref="S732:U732" t="shared" si="1568">E732</f>
        <v>0</v>
      </c>
      <c r="T732" s="11">
        <f t="shared" si="1568"/>
        <v>0</v>
      </c>
      <c r="U732" s="11">
        <f t="shared" si="1568"/>
        <v>0</v>
      </c>
      <c r="V732" s="11">
        <f t="shared" si="938"/>
      </c>
      <c r="W732" s="11" t="s">
        <f t="shared" si="942"/>
      </c>
      <c r="X732" s="11" t="s">
        <f t="shared" si="939"/>
      </c>
    </row>
    <row r="733" ht="12.50" customHeight="true">
      <c r="A733" s="10"/>
      <c r="B733" s="11"/>
      <c r="C733" s="11"/>
      <c r="D733" s="11"/>
      <c r="E733" s="11"/>
      <c r="F733" s="11"/>
      <c r="G733" s="11"/>
      <c r="H733" s="11"/>
      <c r="I733" s="11"/>
      <c r="J733" s="11"/>
      <c r="K733" s="11" t="s">
        <f>""</f>
      </c>
      <c r="L733" s="11" t="s">
        <f t="shared" si="944"/>
      </c>
      <c r="M733" s="8" t="s">
        <f t="shared" si="940"/>
      </c>
      <c r="N733" s="11"/>
      <c r="O733" s="10">
        <f ref="O733:P733" t="shared" si="125">A733</f>
        <v>0</v>
      </c>
      <c r="P733" s="11">
        <f t="shared" si="125"/>
        <v>0</v>
      </c>
      <c r="Q733" s="11" t="s">
        <f t="shared" si="937"/>
      </c>
      <c r="R733" s="11">
        <f t="shared" si="943"/>
        <v>0</v>
      </c>
      <c r="S733" s="11">
        <f ref="S733:U733" t="shared" si="124">E733</f>
        <v>0</v>
      </c>
      <c r="T733" s="11">
        <f t="shared" si="124"/>
        <v>0</v>
      </c>
      <c r="U733" s="11">
        <f t="shared" si="124"/>
        <v>0</v>
      </c>
      <c r="V733" s="11">
        <f t="shared" si="938"/>
      </c>
      <c r="W733" s="11" t="s">
        <f t="shared" si="942"/>
      </c>
      <c r="X733" s="11" t="s">
        <f t="shared" si="939"/>
      </c>
    </row>
    <row r="734" ht="12.50" customHeight="true">
      <c r="A734" s="10"/>
      <c r="B734" s="11"/>
      <c r="C734" s="11"/>
      <c r="D734" s="11"/>
      <c r="E734" s="11"/>
      <c r="F734" s="11"/>
      <c r="G734" s="11"/>
      <c r="H734" s="11"/>
      <c r="I734" s="11"/>
      <c r="J734" s="11"/>
      <c r="K734" s="11" t="s">
        <f>""</f>
      </c>
      <c r="L734" s="11" t="s">
        <f t="shared" si="944"/>
      </c>
      <c r="M734" s="8" t="s">
        <f t="shared" si="940"/>
      </c>
      <c r="N734" s="11"/>
      <c r="O734" s="10">
        <f ref="O734:P734" t="shared" si="1712">A734</f>
        <v>0</v>
      </c>
      <c r="P734" s="11">
        <f t="shared" si="1712"/>
        <v>0</v>
      </c>
      <c r="Q734" s="11" t="s">
        <f t="shared" si="937"/>
      </c>
      <c r="R734" s="11">
        <f t="shared" si="943"/>
        <v>0</v>
      </c>
      <c r="S734" s="11">
        <f ref="S734:U734" t="shared" si="1713">E734</f>
        <v>0</v>
      </c>
      <c r="T734" s="11">
        <f t="shared" si="1713"/>
        <v>0</v>
      </c>
      <c r="U734" s="11">
        <f t="shared" si="1713"/>
        <v>0</v>
      </c>
      <c r="V734" s="11">
        <f t="shared" si="938"/>
      </c>
      <c r="W734" s="11" t="s">
        <f t="shared" si="942"/>
      </c>
      <c r="X734" s="11" t="s">
        <f t="shared" si="939"/>
      </c>
    </row>
    <row r="735" ht="12.50" customHeight="true">
      <c r="A735" s="10"/>
      <c r="B735" s="11"/>
      <c r="C735" s="11"/>
      <c r="D735" s="11"/>
      <c r="E735" s="11"/>
      <c r="F735" s="11"/>
      <c r="G735" s="11"/>
      <c r="H735" s="11"/>
      <c r="I735" s="11"/>
      <c r="J735" s="11"/>
      <c r="K735" s="11" t="s">
        <f>""</f>
      </c>
      <c r="L735" s="11" t="s">
        <f t="shared" si="944"/>
      </c>
      <c r="M735" s="8" t="s">
        <f t="shared" si="940"/>
      </c>
      <c r="N735" s="11"/>
      <c r="O735" s="10">
        <f ref="O735:P735" t="shared" si="38">A735</f>
        <v>0</v>
      </c>
      <c r="P735" s="11">
        <f t="shared" si="38"/>
        <v>0</v>
      </c>
      <c r="Q735" s="11" t="s">
        <f t="shared" si="937"/>
      </c>
      <c r="R735" s="11">
        <f t="shared" si="943"/>
        <v>0</v>
      </c>
      <c r="S735" s="11">
        <f ref="S735:U735" t="shared" si="39">E735</f>
        <v>0</v>
      </c>
      <c r="T735" s="11">
        <f t="shared" si="39"/>
        <v>0</v>
      </c>
      <c r="U735" s="11">
        <f t="shared" si="39"/>
        <v>0</v>
      </c>
      <c r="V735" s="11">
        <f t="shared" si="938"/>
      </c>
      <c r="W735" s="11" t="s">
        <f t="shared" si="942"/>
      </c>
      <c r="X735" s="11" t="s">
        <f t="shared" si="939"/>
      </c>
    </row>
    <row r="736" ht="12.50" customHeight="true">
      <c r="A736" s="10"/>
      <c r="B736" s="11"/>
      <c r="C736" s="11"/>
      <c r="D736" s="11"/>
      <c r="E736" s="11"/>
      <c r="F736" s="11"/>
      <c r="G736" s="11"/>
      <c r="H736" s="11"/>
      <c r="I736" s="11"/>
      <c r="J736" s="11"/>
      <c r="K736" s="11" t="s">
        <f>""</f>
      </c>
      <c r="L736" s="11" t="s">
        <f t="shared" si="944"/>
      </c>
      <c r="M736" s="8" t="s">
        <f t="shared" si="940"/>
      </c>
      <c r="N736" s="11"/>
      <c r="O736" s="10">
        <f ref="O736:P736" t="shared" si="1476">A736</f>
        <v>0</v>
      </c>
      <c r="P736" s="11">
        <f t="shared" si="1476"/>
        <v>0</v>
      </c>
      <c r="Q736" s="11" t="s">
        <f t="shared" si="937"/>
      </c>
      <c r="R736" s="11">
        <f t="shared" si="943"/>
        <v>0</v>
      </c>
      <c r="S736" s="11">
        <f ref="S736:U736" t="shared" si="1477">E736</f>
        <v>0</v>
      </c>
      <c r="T736" s="11">
        <f t="shared" si="1477"/>
        <v>0</v>
      </c>
      <c r="U736" s="11">
        <f t="shared" si="1477"/>
        <v>0</v>
      </c>
      <c r="V736" s="11">
        <f t="shared" si="938"/>
      </c>
      <c r="W736" s="11" t="s">
        <f t="shared" si="942"/>
      </c>
      <c r="X736" s="11" t="s">
        <f t="shared" si="939"/>
      </c>
    </row>
    <row r="737" ht="12.50" customHeight="true">
      <c r="A737" s="10"/>
      <c r="B737" s="11"/>
      <c r="C737" s="11"/>
      <c r="D737" s="11"/>
      <c r="E737" s="11"/>
      <c r="F737" s="11"/>
      <c r="G737" s="11"/>
      <c r="H737" s="11"/>
      <c r="I737" s="11"/>
      <c r="J737" s="11"/>
      <c r="K737" s="11" t="s">
        <f>""</f>
      </c>
      <c r="L737" s="11" t="s">
        <f t="shared" si="944"/>
      </c>
      <c r="M737" s="8" t="s">
        <f t="shared" si="940"/>
      </c>
      <c r="N737" s="11"/>
      <c r="O737" s="10">
        <f ref="O737:P737" t="shared" si="1525">A737</f>
        <v>0</v>
      </c>
      <c r="P737" s="11">
        <f t="shared" si="1525"/>
        <v>0</v>
      </c>
      <c r="Q737" s="11" t="s">
        <f t="shared" si="937"/>
      </c>
      <c r="R737" s="11">
        <f t="shared" si="943"/>
        <v>0</v>
      </c>
      <c r="S737" s="11">
        <f ref="S737:U737" t="shared" si="1524">E737</f>
        <v>0</v>
      </c>
      <c r="T737" s="11">
        <f t="shared" si="1524"/>
        <v>0</v>
      </c>
      <c r="U737" s="11">
        <f t="shared" si="1524"/>
        <v>0</v>
      </c>
      <c r="V737" s="11">
        <f t="shared" si="938"/>
      </c>
      <c r="W737" s="11" t="s">
        <f t="shared" si="942"/>
      </c>
      <c r="X737" s="11" t="s">
        <f t="shared" si="939"/>
      </c>
    </row>
    <row r="738" ht="12.50" customHeight="true">
      <c r="A738" s="10"/>
      <c r="B738" s="11"/>
      <c r="C738" s="11"/>
      <c r="D738" s="11"/>
      <c r="E738" s="11"/>
      <c r="F738" s="11"/>
      <c r="G738" s="11"/>
      <c r="H738" s="11"/>
      <c r="I738" s="11"/>
      <c r="J738" s="11"/>
      <c r="K738" s="11" t="s">
        <f>""</f>
      </c>
      <c r="L738" s="11" t="s">
        <f t="shared" si="944"/>
      </c>
      <c r="M738" s="8" t="s">
        <f t="shared" si="940"/>
      </c>
      <c r="N738" s="11"/>
      <c r="O738" s="10">
        <f ref="O738:P738" t="shared" si="785">A738</f>
        <v>0</v>
      </c>
      <c r="P738" s="11">
        <f t="shared" si="785"/>
        <v>0</v>
      </c>
      <c r="Q738" s="11" t="s">
        <f t="shared" si="937"/>
      </c>
      <c r="R738" s="11">
        <f t="shared" si="943"/>
        <v>0</v>
      </c>
      <c r="S738" s="11">
        <f ref="S738:U738" t="shared" si="784">E738</f>
        <v>0</v>
      </c>
      <c r="T738" s="11">
        <f t="shared" si="784"/>
        <v>0</v>
      </c>
      <c r="U738" s="11">
        <f t="shared" si="784"/>
        <v>0</v>
      </c>
      <c r="V738" s="11">
        <f t="shared" si="938"/>
      </c>
      <c r="W738" s="11" t="s">
        <f t="shared" si="942"/>
      </c>
      <c r="X738" s="11" t="s">
        <f t="shared" si="939"/>
      </c>
    </row>
    <row r="739" ht="12.50" customHeight="true">
      <c r="A739" s="10"/>
      <c r="B739" s="11"/>
      <c r="C739" s="11"/>
      <c r="D739" s="11"/>
      <c r="E739" s="11"/>
      <c r="F739" s="11"/>
      <c r="G739" s="11"/>
      <c r="H739" s="11"/>
      <c r="I739" s="11"/>
      <c r="J739" s="11"/>
      <c r="K739" s="11" t="s">
        <f>""</f>
      </c>
      <c r="L739" s="11" t="s">
        <f t="shared" si="944"/>
      </c>
      <c r="M739" s="8" t="s">
        <f t="shared" si="940"/>
      </c>
      <c r="N739" s="11"/>
      <c r="O739" s="10">
        <f ref="O739:P739" t="shared" si="384">A739</f>
        <v>0</v>
      </c>
      <c r="P739" s="11">
        <f t="shared" si="384"/>
        <v>0</v>
      </c>
      <c r="Q739" s="11" t="s">
        <f t="shared" si="937"/>
      </c>
      <c r="R739" s="11">
        <f t="shared" si="943"/>
        <v>0</v>
      </c>
      <c r="S739" s="11">
        <f ref="S739:U739" t="shared" si="385">E739</f>
        <v>0</v>
      </c>
      <c r="T739" s="11">
        <f t="shared" si="385"/>
        <v>0</v>
      </c>
      <c r="U739" s="11">
        <f t="shared" si="385"/>
        <v>0</v>
      </c>
      <c r="V739" s="11">
        <f t="shared" si="938"/>
      </c>
      <c r="W739" s="11" t="s">
        <f t="shared" si="942"/>
      </c>
      <c r="X739" s="11" t="s">
        <f t="shared" si="939"/>
      </c>
    </row>
    <row r="740" ht="12.50" customHeight="true">
      <c r="A740" s="10"/>
      <c r="B740" s="11"/>
      <c r="C740" s="11"/>
      <c r="D740" s="11"/>
      <c r="E740" s="11"/>
      <c r="F740" s="11"/>
      <c r="G740" s="11"/>
      <c r="H740" s="11"/>
      <c r="I740" s="11"/>
      <c r="J740" s="11"/>
      <c r="K740" s="11" t="s">
        <f>""</f>
      </c>
      <c r="L740" s="11" t="s">
        <f t="shared" si="944"/>
      </c>
      <c r="M740" s="8" t="s">
        <f t="shared" si="940"/>
      </c>
      <c r="N740" s="11"/>
      <c r="O740" s="10">
        <f ref="O740:P740" t="shared" si="834">A740</f>
        <v>0</v>
      </c>
      <c r="P740" s="11">
        <f t="shared" si="834"/>
        <v>0</v>
      </c>
      <c r="Q740" s="11" t="s">
        <f t="shared" si="937"/>
      </c>
      <c r="R740" s="11">
        <f t="shared" si="943"/>
        <v>0</v>
      </c>
      <c r="S740" s="11">
        <f ref="S740:U740" t="shared" si="835">E740</f>
        <v>0</v>
      </c>
      <c r="T740" s="11">
        <f t="shared" si="835"/>
        <v>0</v>
      </c>
      <c r="U740" s="11">
        <f t="shared" si="835"/>
        <v>0</v>
      </c>
      <c r="V740" s="11">
        <f t="shared" si="938"/>
      </c>
      <c r="W740" s="11" t="s">
        <f t="shared" si="942"/>
      </c>
      <c r="X740" s="11" t="s">
        <f t="shared" si="939"/>
      </c>
    </row>
    <row r="741" ht="12.50" customHeight="true">
      <c r="A741" s="10"/>
      <c r="B741" s="11"/>
      <c r="C741" s="11"/>
      <c r="D741" s="11"/>
      <c r="E741" s="11"/>
      <c r="F741" s="11"/>
      <c r="G741" s="11"/>
      <c r="H741" s="11"/>
      <c r="I741" s="11"/>
      <c r="J741" s="11"/>
      <c r="K741" s="11" t="s">
        <f>""</f>
      </c>
      <c r="L741" s="11" t="s">
        <f t="shared" si="944"/>
      </c>
      <c r="M741" s="8" t="s">
        <f t="shared" si="940"/>
      </c>
      <c r="N741" s="11"/>
      <c r="O741" s="10">
        <f ref="O741:P741" t="shared" si="1827">A741</f>
        <v>0</v>
      </c>
      <c r="P741" s="11">
        <f t="shared" si="1827"/>
        <v>0</v>
      </c>
      <c r="Q741" s="11" t="s">
        <f t="shared" si="937"/>
      </c>
      <c r="R741" s="11">
        <f t="shared" si="943"/>
        <v>0</v>
      </c>
      <c r="S741" s="11">
        <f ref="S741:U741" t="shared" si="1826">E741</f>
        <v>0</v>
      </c>
      <c r="T741" s="11">
        <f t="shared" si="1826"/>
        <v>0</v>
      </c>
      <c r="U741" s="11">
        <f t="shared" si="1826"/>
        <v>0</v>
      </c>
      <c r="V741" s="11">
        <f t="shared" si="938"/>
      </c>
      <c r="W741" s="11" t="s">
        <f t="shared" si="942"/>
      </c>
      <c r="X741" s="11" t="s">
        <f t="shared" si="939"/>
      </c>
    </row>
    <row r="742" ht="12.50" customHeight="true">
      <c r="A742" s="10"/>
      <c r="B742" s="11"/>
      <c r="C742" s="11"/>
      <c r="D742" s="11"/>
      <c r="E742" s="11"/>
      <c r="F742" s="11"/>
      <c r="G742" s="11"/>
      <c r="H742" s="11"/>
      <c r="I742" s="11"/>
      <c r="J742" s="11"/>
      <c r="K742" s="11" t="s">
        <f>""</f>
      </c>
      <c r="L742" s="11" t="s">
        <f t="shared" si="944"/>
      </c>
      <c r="M742" s="8" t="s">
        <f t="shared" si="940"/>
      </c>
      <c r="N742" s="11"/>
      <c r="O742" s="10">
        <f ref="O742:P742" t="shared" si="1177">A742</f>
        <v>0</v>
      </c>
      <c r="P742" s="11">
        <f t="shared" si="1177"/>
        <v>0</v>
      </c>
      <c r="Q742" s="11" t="s">
        <f t="shared" si="937"/>
      </c>
      <c r="R742" s="11">
        <f t="shared" si="943"/>
        <v>0</v>
      </c>
      <c r="S742" s="11">
        <f ref="S742:U742" t="shared" si="1178">E742</f>
        <v>0</v>
      </c>
      <c r="T742" s="11">
        <f t="shared" si="1178"/>
        <v>0</v>
      </c>
      <c r="U742" s="11">
        <f t="shared" si="1178"/>
        <v>0</v>
      </c>
      <c r="V742" s="11">
        <f t="shared" si="938"/>
      </c>
      <c r="W742" s="11" t="s">
        <f t="shared" si="942"/>
      </c>
      <c r="X742" s="11" t="s">
        <f t="shared" si="939"/>
      </c>
    </row>
    <row r="743" ht="12.50" customHeight="true">
      <c r="A743" s="10"/>
      <c r="B743" s="11"/>
      <c r="C743" s="11"/>
      <c r="D743" s="11"/>
      <c r="E743" s="11"/>
      <c r="F743" s="11"/>
      <c r="G743" s="11"/>
      <c r="H743" s="11"/>
      <c r="I743" s="11"/>
      <c r="J743" s="11"/>
      <c r="K743" s="11" t="s">
        <f>""</f>
      </c>
      <c r="L743" s="11" t="s">
        <f t="shared" si="944"/>
      </c>
      <c r="M743" s="8" t="s">
        <f t="shared" si="940"/>
      </c>
      <c r="N743" s="11"/>
      <c r="O743" s="10">
        <f ref="O743:P743" t="shared" si="220">A743</f>
        <v>0</v>
      </c>
      <c r="P743" s="11">
        <f t="shared" si="220"/>
        <v>0</v>
      </c>
      <c r="Q743" s="11" t="s">
        <f t="shared" si="937"/>
      </c>
      <c r="R743" s="11">
        <f t="shared" si="943"/>
        <v>0</v>
      </c>
      <c r="S743" s="11">
        <f ref="S743:U743" t="shared" si="219">E743</f>
        <v>0</v>
      </c>
      <c r="T743" s="11">
        <f t="shared" si="219"/>
        <v>0</v>
      </c>
      <c r="U743" s="11">
        <f t="shared" si="219"/>
        <v>0</v>
      </c>
      <c r="V743" s="11">
        <f t="shared" si="938"/>
      </c>
      <c r="W743" s="11" t="s">
        <f t="shared" si="942"/>
      </c>
      <c r="X743" s="11" t="s">
        <f t="shared" si="939"/>
      </c>
    </row>
    <row r="744" ht="12.50" customHeight="true">
      <c r="A744" s="10"/>
      <c r="B744" s="11"/>
      <c r="C744" s="11"/>
      <c r="D744" s="11"/>
      <c r="E744" s="11"/>
      <c r="F744" s="11"/>
      <c r="G744" s="11"/>
      <c r="H744" s="11"/>
      <c r="I744" s="11"/>
      <c r="J744" s="11"/>
      <c r="K744" s="11" t="s">
        <f>""</f>
      </c>
      <c r="L744" s="11" t="s">
        <f t="shared" si="944"/>
      </c>
      <c r="M744" s="8" t="s">
        <f t="shared" si="940"/>
      </c>
      <c r="N744" s="11"/>
      <c r="O744" s="10">
        <f ref="O744:P744" t="shared" si="1660">A744</f>
        <v>0</v>
      </c>
      <c r="P744" s="11">
        <f t="shared" si="1660"/>
        <v>0</v>
      </c>
      <c r="Q744" s="11" t="s">
        <f t="shared" si="937"/>
      </c>
      <c r="R744" s="11">
        <f t="shared" si="943"/>
        <v>0</v>
      </c>
      <c r="S744" s="11">
        <f ref="S744:U744" t="shared" si="1661">E744</f>
        <v>0</v>
      </c>
      <c r="T744" s="11">
        <f t="shared" si="1661"/>
        <v>0</v>
      </c>
      <c r="U744" s="11">
        <f t="shared" si="1661"/>
        <v>0</v>
      </c>
      <c r="V744" s="11">
        <f t="shared" si="938"/>
      </c>
      <c r="W744" s="11" t="s">
        <f t="shared" si="942"/>
      </c>
      <c r="X744" s="11" t="s">
        <f t="shared" si="939"/>
      </c>
    </row>
    <row r="745" ht="12.50" customHeight="true">
      <c r="A745" s="10"/>
      <c r="B745" s="11"/>
      <c r="C745" s="11"/>
      <c r="D745" s="11"/>
      <c r="E745" s="11"/>
      <c r="F745" s="11"/>
      <c r="G745" s="11"/>
      <c r="H745" s="11"/>
      <c r="I745" s="11"/>
      <c r="J745" s="11"/>
      <c r="K745" s="11" t="s">
        <f>""</f>
      </c>
      <c r="L745" s="11" t="s">
        <f t="shared" si="944"/>
      </c>
      <c r="M745" s="8" t="s">
        <f t="shared" si="940"/>
      </c>
      <c r="N745" s="11"/>
      <c r="O745" s="10">
        <f ref="O745:P745" t="shared" si="724">A745</f>
        <v>0</v>
      </c>
      <c r="P745" s="11">
        <f t="shared" si="724"/>
        <v>0</v>
      </c>
      <c r="Q745" s="11" t="s">
        <f t="shared" si="937"/>
      </c>
      <c r="R745" s="11">
        <f t="shared" si="943"/>
        <v>0</v>
      </c>
      <c r="S745" s="11">
        <f ref="S745:U745" t="shared" si="725">E745</f>
        <v>0</v>
      </c>
      <c r="T745" s="11">
        <f t="shared" si="725"/>
        <v>0</v>
      </c>
      <c r="U745" s="11">
        <f t="shared" si="725"/>
        <v>0</v>
      </c>
      <c r="V745" s="11">
        <f t="shared" si="938"/>
      </c>
      <c r="W745" s="11" t="s">
        <f t="shared" si="942"/>
      </c>
      <c r="X745" s="11" t="s">
        <f t="shared" si="939"/>
      </c>
    </row>
    <row r="746" ht="12.50" customHeight="true">
      <c r="A746" s="10"/>
      <c r="B746" s="11"/>
      <c r="C746" s="11"/>
      <c r="D746" s="11"/>
      <c r="E746" s="11"/>
      <c r="F746" s="11"/>
      <c r="G746" s="11"/>
      <c r="H746" s="11"/>
      <c r="I746" s="11"/>
      <c r="J746" s="11"/>
      <c r="K746" s="11" t="s">
        <f>""</f>
      </c>
      <c r="L746" s="11" t="s">
        <f t="shared" si="944"/>
      </c>
      <c r="M746" s="8" t="s">
        <f t="shared" si="940"/>
      </c>
      <c r="N746" s="11"/>
      <c r="O746" s="10">
        <f ref="O746:P746" t="shared" si="278">A746</f>
        <v>0</v>
      </c>
      <c r="P746" s="11">
        <f t="shared" si="278"/>
        <v>0</v>
      </c>
      <c r="Q746" s="11" t="s">
        <f t="shared" si="937"/>
      </c>
      <c r="R746" s="11">
        <f t="shared" si="943"/>
        <v>0</v>
      </c>
      <c r="S746" s="11">
        <f ref="S746:U746" t="shared" si="279">E746</f>
        <v>0</v>
      </c>
      <c r="T746" s="11">
        <f t="shared" si="279"/>
        <v>0</v>
      </c>
      <c r="U746" s="11">
        <f t="shared" si="279"/>
        <v>0</v>
      </c>
      <c r="V746" s="11">
        <f t="shared" si="938"/>
      </c>
      <c r="W746" s="11" t="s">
        <f t="shared" si="942"/>
      </c>
      <c r="X746" s="11" t="s">
        <f t="shared" si="939"/>
      </c>
    </row>
    <row r="747" ht="12.50" customHeight="true">
      <c r="A747" s="10"/>
      <c r="B747" s="11"/>
      <c r="C747" s="11"/>
      <c r="D747" s="11"/>
      <c r="E747" s="11"/>
      <c r="F747" s="11"/>
      <c r="G747" s="11"/>
      <c r="H747" s="11"/>
      <c r="I747" s="11"/>
      <c r="J747" s="11"/>
      <c r="K747" s="11" t="s">
        <f>""</f>
      </c>
      <c r="L747" s="11" t="s">
        <f t="shared" si="944"/>
      </c>
      <c r="M747" s="8" t="s">
        <f t="shared" si="940"/>
      </c>
      <c r="N747" s="11"/>
      <c r="O747" s="10">
        <f ref="O747:P747" t="shared" si="1700">A747</f>
        <v>0</v>
      </c>
      <c r="P747" s="11">
        <f t="shared" si="1700"/>
        <v>0</v>
      </c>
      <c r="Q747" s="11" t="s">
        <f t="shared" si="937"/>
      </c>
      <c r="R747" s="11">
        <f t="shared" si="943"/>
        <v>0</v>
      </c>
      <c r="S747" s="11">
        <f ref="S747:U747" t="shared" si="1701">E747</f>
        <v>0</v>
      </c>
      <c r="T747" s="11">
        <f t="shared" si="1701"/>
        <v>0</v>
      </c>
      <c r="U747" s="11">
        <f t="shared" si="1701"/>
        <v>0</v>
      </c>
      <c r="V747" s="11">
        <f t="shared" si="938"/>
      </c>
      <c r="W747" s="11" t="s">
        <f t="shared" si="942"/>
      </c>
      <c r="X747" s="11" t="s">
        <f t="shared" si="939"/>
      </c>
    </row>
    <row r="748" ht="12.50" customHeight="true">
      <c r="A748" s="10"/>
      <c r="B748" s="11"/>
      <c r="C748" s="11"/>
      <c r="D748" s="11"/>
      <c r="E748" s="11"/>
      <c r="F748" s="11"/>
      <c r="G748" s="11"/>
      <c r="H748" s="11"/>
      <c r="I748" s="11"/>
      <c r="J748" s="11"/>
      <c r="K748" s="11" t="s">
        <f>""</f>
      </c>
      <c r="L748" s="11" t="s">
        <f t="shared" si="944"/>
      </c>
      <c r="M748" s="8" t="s">
        <f t="shared" si="940"/>
      </c>
      <c r="N748" s="11"/>
      <c r="O748" s="10">
        <f ref="O748:P748" t="shared" si="1880">A748</f>
        <v>0</v>
      </c>
      <c r="P748" s="11">
        <f t="shared" si="1880"/>
        <v>0</v>
      </c>
      <c r="Q748" s="11" t="s">
        <f t="shared" si="937"/>
      </c>
      <c r="R748" s="11">
        <f t="shared" si="943"/>
        <v>0</v>
      </c>
      <c r="S748" s="11">
        <f ref="S748:U748" t="shared" si="1881">E748</f>
        <v>0</v>
      </c>
      <c r="T748" s="11">
        <f t="shared" si="1881"/>
        <v>0</v>
      </c>
      <c r="U748" s="11">
        <f t="shared" si="1881"/>
        <v>0</v>
      </c>
      <c r="V748" s="11">
        <f t="shared" si="938"/>
      </c>
      <c r="W748" s="11" t="s">
        <f t="shared" si="942"/>
      </c>
      <c r="X748" s="11" t="s">
        <f t="shared" si="939"/>
      </c>
    </row>
    <row r="749" ht="12.50" customHeight="true">
      <c r="A749" s="10"/>
      <c r="B749" s="11"/>
      <c r="C749" s="11"/>
      <c r="D749" s="11"/>
      <c r="E749" s="11"/>
      <c r="F749" s="11"/>
      <c r="G749" s="11"/>
      <c r="H749" s="11"/>
      <c r="I749" s="11"/>
      <c r="J749" s="11"/>
      <c r="K749" s="11" t="s">
        <f>""</f>
      </c>
      <c r="L749" s="11" t="s">
        <f t="shared" si="944"/>
      </c>
      <c r="M749" s="8" t="s">
        <f t="shared" si="940"/>
      </c>
      <c r="N749" s="11"/>
      <c r="O749" s="10">
        <f ref="O749:P749" t="shared" si="157">A749</f>
        <v>0</v>
      </c>
      <c r="P749" s="11">
        <f t="shared" si="157"/>
        <v>0</v>
      </c>
      <c r="Q749" s="11" t="s">
        <f t="shared" si="937"/>
      </c>
      <c r="R749" s="11">
        <f t="shared" si="943"/>
        <v>0</v>
      </c>
      <c r="S749" s="11">
        <f ref="S749:U749" t="shared" si="158">E749</f>
        <v>0</v>
      </c>
      <c r="T749" s="11">
        <f t="shared" si="158"/>
        <v>0</v>
      </c>
      <c r="U749" s="11">
        <f t="shared" si="158"/>
        <v>0</v>
      </c>
      <c r="V749" s="11">
        <f t="shared" si="938"/>
      </c>
      <c r="W749" s="11" t="s">
        <f t="shared" si="942"/>
      </c>
      <c r="X749" s="11" t="s">
        <f t="shared" si="939"/>
      </c>
    </row>
    <row r="750" ht="12.50" customHeight="true">
      <c r="A750" s="10"/>
      <c r="B750" s="11"/>
      <c r="C750" s="11"/>
      <c r="D750" s="11"/>
      <c r="E750" s="11"/>
      <c r="F750" s="11"/>
      <c r="G750" s="11"/>
      <c r="H750" s="11"/>
      <c r="I750" s="11"/>
      <c r="J750" s="11"/>
      <c r="K750" s="11" t="s">
        <f>""</f>
      </c>
      <c r="L750" s="11" t="s">
        <f t="shared" si="944"/>
      </c>
      <c r="M750" s="8" t="s">
        <f t="shared" si="940"/>
      </c>
      <c r="N750" s="11"/>
      <c r="O750" s="10">
        <f ref="O750:P750" t="shared" si="1637">A750</f>
        <v>0</v>
      </c>
      <c r="P750" s="11">
        <f t="shared" si="1637"/>
        <v>0</v>
      </c>
      <c r="Q750" s="11" t="s">
        <f t="shared" si="937"/>
      </c>
      <c r="R750" s="11">
        <f t="shared" si="943"/>
        <v>0</v>
      </c>
      <c r="S750" s="11">
        <f ref="S750:U750" t="shared" si="1636">E750</f>
        <v>0</v>
      </c>
      <c r="T750" s="11">
        <f t="shared" si="1636"/>
        <v>0</v>
      </c>
      <c r="U750" s="11">
        <f t="shared" si="1636"/>
        <v>0</v>
      </c>
      <c r="V750" s="11">
        <f t="shared" si="938"/>
      </c>
      <c r="W750" s="11" t="s">
        <f t="shared" si="942"/>
      </c>
      <c r="X750" s="11" t="s">
        <f t="shared" si="939"/>
      </c>
    </row>
    <row r="751" ht="12.50" customHeight="true">
      <c r="A751" s="10"/>
      <c r="B751" s="11"/>
      <c r="C751" s="11"/>
      <c r="D751" s="11"/>
      <c r="E751" s="11"/>
      <c r="F751" s="11"/>
      <c r="G751" s="11"/>
      <c r="H751" s="11"/>
      <c r="I751" s="11"/>
      <c r="J751" s="11"/>
      <c r="K751" s="11" t="s">
        <f>""</f>
      </c>
      <c r="L751" s="11" t="s">
        <f t="shared" si="944"/>
      </c>
      <c r="M751" s="8" t="s">
        <f t="shared" si="940"/>
      </c>
      <c r="N751" s="11"/>
      <c r="O751" s="10">
        <f ref="O751:P751" t="shared" si="403">A751</f>
        <v>0</v>
      </c>
      <c r="P751" s="11">
        <f t="shared" si="403"/>
        <v>0</v>
      </c>
      <c r="Q751" s="11" t="s">
        <f t="shared" si="937"/>
      </c>
      <c r="R751" s="11">
        <f t="shared" si="943"/>
        <v>0</v>
      </c>
      <c r="S751" s="11">
        <f ref="S751:U751" t="shared" si="402">E751</f>
        <v>0</v>
      </c>
      <c r="T751" s="11">
        <f t="shared" si="402"/>
        <v>0</v>
      </c>
      <c r="U751" s="11">
        <f t="shared" si="402"/>
        <v>0</v>
      </c>
      <c r="V751" s="11">
        <f t="shared" si="938"/>
      </c>
      <c r="W751" s="11" t="s">
        <f t="shared" si="942"/>
      </c>
      <c r="X751" s="11" t="s">
        <f t="shared" si="939"/>
      </c>
    </row>
    <row r="752" ht="12.50" customHeight="true">
      <c r="A752" s="10"/>
      <c r="B752" s="11"/>
      <c r="C752" s="11"/>
      <c r="D752" s="11"/>
      <c r="E752" s="11"/>
      <c r="F752" s="11"/>
      <c r="G752" s="11"/>
      <c r="H752" s="11"/>
      <c r="I752" s="11"/>
      <c r="J752" s="11"/>
      <c r="K752" s="11" t="s">
        <f>""</f>
      </c>
      <c r="L752" s="11" t="s">
        <f t="shared" si="944"/>
      </c>
      <c r="M752" s="8" t="s">
        <f t="shared" si="940"/>
      </c>
      <c r="N752" s="11"/>
      <c r="O752" s="10">
        <f ref="O752:P752" t="shared" si="98">A752</f>
        <v>0</v>
      </c>
      <c r="P752" s="11">
        <f t="shared" si="98"/>
        <v>0</v>
      </c>
      <c r="Q752" s="11" t="s">
        <f t="shared" si="937"/>
      </c>
      <c r="R752" s="11">
        <f t="shared" si="943"/>
        <v>0</v>
      </c>
      <c r="S752" s="11">
        <f ref="S752:U752" t="shared" si="99">E752</f>
        <v>0</v>
      </c>
      <c r="T752" s="11">
        <f t="shared" si="99"/>
        <v>0</v>
      </c>
      <c r="U752" s="11">
        <f t="shared" si="99"/>
        <v>0</v>
      </c>
      <c r="V752" s="11">
        <f t="shared" si="938"/>
      </c>
      <c r="W752" s="11" t="s">
        <f t="shared" si="942"/>
      </c>
      <c r="X752" s="11" t="s">
        <f t="shared" si="939"/>
      </c>
    </row>
    <row r="753" ht="12.50" customHeight="true">
      <c r="A753" s="10"/>
      <c r="B753" s="11"/>
      <c r="C753" s="11"/>
      <c r="D753" s="11"/>
      <c r="E753" s="11"/>
      <c r="F753" s="11"/>
      <c r="G753" s="11"/>
      <c r="H753" s="11"/>
      <c r="I753" s="11"/>
      <c r="J753" s="11"/>
      <c r="K753" s="11" t="s">
        <f>""</f>
      </c>
      <c r="L753" s="11" t="s">
        <f t="shared" si="944"/>
      </c>
      <c r="M753" s="8" t="s">
        <f t="shared" si="940"/>
      </c>
      <c r="N753" s="11"/>
      <c r="O753" s="10">
        <f ref="O753:P753" t="shared" si="83">A753</f>
        <v>0</v>
      </c>
      <c r="P753" s="11">
        <f t="shared" si="83"/>
        <v>0</v>
      </c>
      <c r="Q753" s="11" t="s">
        <f t="shared" si="937"/>
      </c>
      <c r="R753" s="11">
        <f t="shared" si="943"/>
        <v>0</v>
      </c>
      <c r="S753" s="11">
        <f ref="S753:U753" t="shared" si="82">E753</f>
        <v>0</v>
      </c>
      <c r="T753" s="11">
        <f t="shared" si="82"/>
        <v>0</v>
      </c>
      <c r="U753" s="11">
        <f t="shared" si="82"/>
        <v>0</v>
      </c>
      <c r="V753" s="11">
        <f t="shared" si="938"/>
      </c>
      <c r="W753" s="11" t="s">
        <f t="shared" si="942"/>
      </c>
      <c r="X753" s="11" t="s">
        <f t="shared" si="939"/>
      </c>
    </row>
    <row r="754" ht="12.50" customHeight="true">
      <c r="A754" s="10"/>
      <c r="B754" s="11"/>
      <c r="C754" s="11"/>
      <c r="D754" s="11"/>
      <c r="E754" s="11"/>
      <c r="F754" s="11"/>
      <c r="G754" s="11"/>
      <c r="H754" s="11"/>
      <c r="I754" s="11"/>
      <c r="J754" s="11"/>
      <c r="K754" s="11" t="s">
        <f>""</f>
      </c>
      <c r="L754" s="11" t="s">
        <f t="shared" si="944"/>
      </c>
      <c r="M754" s="8" t="s">
        <f t="shared" si="940"/>
      </c>
      <c r="N754" s="11"/>
      <c r="O754" s="10">
        <f ref="O754:P754" t="shared" si="1200">A754</f>
        <v>0</v>
      </c>
      <c r="P754" s="11">
        <f t="shared" si="1200"/>
        <v>0</v>
      </c>
      <c r="Q754" s="11" t="s">
        <f t="shared" si="937"/>
      </c>
      <c r="R754" s="11">
        <f t="shared" si="943"/>
        <v>0</v>
      </c>
      <c r="S754" s="11">
        <f ref="S754:U754" t="shared" si="1199">E754</f>
        <v>0</v>
      </c>
      <c r="T754" s="11">
        <f t="shared" si="1199"/>
        <v>0</v>
      </c>
      <c r="U754" s="11">
        <f t="shared" si="1199"/>
        <v>0</v>
      </c>
      <c r="V754" s="11">
        <f t="shared" si="938"/>
      </c>
      <c r="W754" s="11" t="s">
        <f t="shared" si="942"/>
      </c>
      <c r="X754" s="11" t="s">
        <f t="shared" si="939"/>
      </c>
    </row>
    <row r="755" ht="12.50" customHeight="true">
      <c r="A755" s="10"/>
      <c r="B755" s="11"/>
      <c r="C755" s="11"/>
      <c r="D755" s="11"/>
      <c r="E755" s="11"/>
      <c r="F755" s="11"/>
      <c r="G755" s="11"/>
      <c r="H755" s="11"/>
      <c r="I755" s="11"/>
      <c r="J755" s="11"/>
      <c r="K755" s="11" t="s">
        <f>""</f>
      </c>
      <c r="L755" s="11" t="s">
        <f t="shared" si="944"/>
      </c>
      <c r="M755" s="8" t="s">
        <f t="shared" si="940"/>
      </c>
      <c r="N755" s="11"/>
      <c r="O755" s="10">
        <f ref="O755:P755" t="shared" si="965">A755</f>
        <v>0</v>
      </c>
      <c r="P755" s="11">
        <f t="shared" si="965"/>
        <v>0</v>
      </c>
      <c r="Q755" s="11" t="s">
        <f t="shared" si="937"/>
      </c>
      <c r="R755" s="11">
        <f t="shared" si="943"/>
        <v>0</v>
      </c>
      <c r="S755" s="11">
        <f ref="S755:U755" t="shared" si="966">E755</f>
        <v>0</v>
      </c>
      <c r="T755" s="11">
        <f t="shared" si="966"/>
        <v>0</v>
      </c>
      <c r="U755" s="11">
        <f t="shared" si="966"/>
        <v>0</v>
      </c>
      <c r="V755" s="11">
        <f t="shared" si="938"/>
      </c>
      <c r="W755" s="11" t="s">
        <f t="shared" si="942"/>
      </c>
      <c r="X755" s="11" t="s">
        <f t="shared" si="939"/>
      </c>
    </row>
    <row r="756" ht="12.50" customHeight="true">
      <c r="A756" s="10"/>
      <c r="B756" s="11"/>
      <c r="C756" s="11"/>
      <c r="D756" s="11"/>
      <c r="E756" s="11"/>
      <c r="F756" s="11"/>
      <c r="G756" s="11"/>
      <c r="H756" s="11"/>
      <c r="I756" s="11"/>
      <c r="J756" s="11"/>
      <c r="K756" s="11" t="s">
        <f>""</f>
      </c>
      <c r="L756" s="11" t="s">
        <f t="shared" si="944"/>
      </c>
      <c r="M756" s="8" t="s">
        <f t="shared" si="940"/>
      </c>
      <c r="N756" s="11"/>
      <c r="O756" s="10">
        <f ref="O756:P756" t="shared" si="165">A756</f>
        <v>0</v>
      </c>
      <c r="P756" s="11">
        <f t="shared" si="165"/>
        <v>0</v>
      </c>
      <c r="Q756" s="11" t="s">
        <f t="shared" si="937"/>
      </c>
      <c r="R756" s="11">
        <f t="shared" si="943"/>
        <v>0</v>
      </c>
      <c r="S756" s="11">
        <f ref="S756:U756" t="shared" si="166">E756</f>
        <v>0</v>
      </c>
      <c r="T756" s="11">
        <f t="shared" si="166"/>
        <v>0</v>
      </c>
      <c r="U756" s="11">
        <f t="shared" si="166"/>
        <v>0</v>
      </c>
      <c r="V756" s="11">
        <f t="shared" si="938"/>
      </c>
      <c r="W756" s="11" t="s">
        <f t="shared" si="942"/>
      </c>
      <c r="X756" s="11" t="s">
        <f t="shared" si="939"/>
      </c>
    </row>
    <row r="757" ht="12.50" customHeight="true">
      <c r="A757" s="10"/>
      <c r="B757" s="11"/>
      <c r="C757" s="11"/>
      <c r="D757" s="11"/>
      <c r="E757" s="11"/>
      <c r="F757" s="11"/>
      <c r="G757" s="11"/>
      <c r="H757" s="11"/>
      <c r="I757" s="11"/>
      <c r="J757" s="11"/>
      <c r="K757" s="11" t="s">
        <f>""</f>
      </c>
      <c r="L757" s="11" t="s">
        <f t="shared" si="944"/>
      </c>
      <c r="M757" s="8" t="s">
        <f t="shared" si="940"/>
      </c>
      <c r="N757" s="11"/>
      <c r="O757" s="10">
        <f ref="O757:P757" t="shared" si="394">A757</f>
        <v>0</v>
      </c>
      <c r="P757" s="11">
        <f t="shared" si="394"/>
        <v>0</v>
      </c>
      <c r="Q757" s="11" t="s">
        <f t="shared" si="937"/>
      </c>
      <c r="R757" s="11">
        <f t="shared" si="943"/>
        <v>0</v>
      </c>
      <c r="S757" s="11">
        <f ref="S757:U757" t="shared" si="395">E757</f>
        <v>0</v>
      </c>
      <c r="T757" s="11">
        <f t="shared" si="395"/>
        <v>0</v>
      </c>
      <c r="U757" s="11">
        <f t="shared" si="395"/>
        <v>0</v>
      </c>
      <c r="V757" s="11">
        <f t="shared" si="938"/>
      </c>
      <c r="W757" s="11" t="s">
        <f t="shared" si="942"/>
      </c>
      <c r="X757" s="11" t="s">
        <f t="shared" si="939"/>
      </c>
    </row>
    <row r="758" ht="12.50" customHeight="true">
      <c r="A758" s="10"/>
      <c r="B758" s="11"/>
      <c r="C758" s="11"/>
      <c r="D758" s="11"/>
      <c r="E758" s="11"/>
      <c r="F758" s="11"/>
      <c r="G758" s="11"/>
      <c r="H758" s="11"/>
      <c r="I758" s="11"/>
      <c r="J758" s="11"/>
      <c r="K758" s="11" t="s">
        <f>""</f>
      </c>
      <c r="L758" s="11" t="s">
        <f t="shared" si="944"/>
      </c>
      <c r="M758" s="8" t="s">
        <f t="shared" si="940"/>
      </c>
      <c r="N758" s="11"/>
      <c r="O758" s="10">
        <f ref="O758:P758" t="shared" si="748">A758</f>
        <v>0</v>
      </c>
      <c r="P758" s="11">
        <f t="shared" si="748"/>
        <v>0</v>
      </c>
      <c r="Q758" s="11" t="s">
        <f t="shared" si="937"/>
      </c>
      <c r="R758" s="11">
        <f t="shared" si="943"/>
        <v>0</v>
      </c>
      <c r="S758" s="11">
        <f ref="S758:U758" t="shared" si="749">E758</f>
        <v>0</v>
      </c>
      <c r="T758" s="11">
        <f t="shared" si="749"/>
        <v>0</v>
      </c>
      <c r="U758" s="11">
        <f t="shared" si="749"/>
        <v>0</v>
      </c>
      <c r="V758" s="11">
        <f t="shared" si="938"/>
      </c>
      <c r="W758" s="11" t="s">
        <f t="shared" si="942"/>
      </c>
      <c r="X758" s="11" t="s">
        <f t="shared" si="939"/>
      </c>
    </row>
    <row r="759" ht="12.50" customHeight="true">
      <c r="A759" s="10"/>
      <c r="B759" s="11"/>
      <c r="C759" s="11"/>
      <c r="D759" s="11"/>
      <c r="E759" s="11"/>
      <c r="F759" s="11"/>
      <c r="G759" s="11"/>
      <c r="H759" s="11"/>
      <c r="I759" s="11"/>
      <c r="J759" s="11"/>
      <c r="K759" s="11" t="s">
        <f>""</f>
      </c>
      <c r="L759" s="11" t="s">
        <f t="shared" si="944"/>
      </c>
      <c r="M759" s="8" t="s">
        <f t="shared" si="940"/>
      </c>
      <c r="N759" s="11"/>
      <c r="O759" s="10">
        <f ref="O759:P759" t="shared" si="927">A759</f>
        <v>0</v>
      </c>
      <c r="P759" s="11">
        <f t="shared" si="927"/>
        <v>0</v>
      </c>
      <c r="Q759" s="11" t="s">
        <f t="shared" si="937"/>
      </c>
      <c r="R759" s="11">
        <f t="shared" si="943"/>
        <v>0</v>
      </c>
      <c r="S759" s="11">
        <f ref="S759:U759" t="shared" si="926">E759</f>
        <v>0</v>
      </c>
      <c r="T759" s="11">
        <f t="shared" si="926"/>
        <v>0</v>
      </c>
      <c r="U759" s="11">
        <f t="shared" si="926"/>
        <v>0</v>
      </c>
      <c r="V759" s="11">
        <f t="shared" si="938"/>
      </c>
      <c r="W759" s="11" t="s">
        <f t="shared" si="942"/>
      </c>
      <c r="X759" s="11" t="s">
        <f t="shared" si="939"/>
      </c>
    </row>
    <row r="760" ht="12.50" customHeight="true">
      <c r="A760" s="10"/>
      <c r="B760" s="11"/>
      <c r="C760" s="11"/>
      <c r="D760" s="11"/>
      <c r="E760" s="11"/>
      <c r="F760" s="11"/>
      <c r="G760" s="11"/>
      <c r="H760" s="11"/>
      <c r="I760" s="11"/>
      <c r="J760" s="11"/>
      <c r="K760" s="11" t="s">
        <f>""</f>
      </c>
      <c r="L760" s="11" t="s">
        <f t="shared" si="944"/>
      </c>
      <c r="M760" s="8" t="s">
        <f t="shared" si="940"/>
      </c>
      <c r="N760" s="11"/>
      <c r="O760" s="10">
        <f ref="O760:P760" t="shared" si="1388">A760</f>
        <v>0</v>
      </c>
      <c r="P760" s="11">
        <f t="shared" si="1388"/>
        <v>0</v>
      </c>
      <c r="Q760" s="11" t="s">
        <f t="shared" si="937"/>
      </c>
      <c r="R760" s="11">
        <f t="shared" si="943"/>
        <v>0</v>
      </c>
      <c r="S760" s="11">
        <f ref="S760:U760" t="shared" si="1389">E760</f>
        <v>0</v>
      </c>
      <c r="T760" s="11">
        <f t="shared" si="1389"/>
        <v>0</v>
      </c>
      <c r="U760" s="11">
        <f t="shared" si="1389"/>
        <v>0</v>
      </c>
      <c r="V760" s="11">
        <f t="shared" si="938"/>
      </c>
      <c r="W760" s="11" t="s">
        <f t="shared" si="942"/>
      </c>
      <c r="X760" s="11" t="s">
        <f t="shared" si="939"/>
      </c>
    </row>
    <row r="761" ht="12.50" customHeight="true">
      <c r="A761" s="10"/>
      <c r="B761" s="11"/>
      <c r="C761" s="11"/>
      <c r="D761" s="11"/>
      <c r="E761" s="11"/>
      <c r="F761" s="11"/>
      <c r="G761" s="11"/>
      <c r="H761" s="11"/>
      <c r="I761" s="11"/>
      <c r="J761" s="11"/>
      <c r="K761" s="11" t="s">
        <f>""</f>
      </c>
      <c r="L761" s="11" t="s">
        <f t="shared" si="944"/>
      </c>
      <c r="M761" s="8" t="s">
        <f t="shared" si="940"/>
      </c>
      <c r="N761" s="11"/>
      <c r="O761" s="10">
        <f ref="O761:P761" t="shared" si="1233">A761</f>
        <v>0</v>
      </c>
      <c r="P761" s="11">
        <f t="shared" si="1233"/>
        <v>0</v>
      </c>
      <c r="Q761" s="11" t="s">
        <f t="shared" si="937"/>
      </c>
      <c r="R761" s="11">
        <f t="shared" si="943"/>
        <v>0</v>
      </c>
      <c r="S761" s="11">
        <f ref="S761:U761" t="shared" si="1234">E761</f>
        <v>0</v>
      </c>
      <c r="T761" s="11">
        <f t="shared" si="1234"/>
        <v>0</v>
      </c>
      <c r="U761" s="11">
        <f t="shared" si="1234"/>
        <v>0</v>
      </c>
      <c r="V761" s="11">
        <f t="shared" si="938"/>
      </c>
      <c r="W761" s="11" t="s">
        <f t="shared" si="942"/>
      </c>
      <c r="X761" s="11" t="s">
        <f t="shared" si="939"/>
      </c>
    </row>
    <row r="762" ht="12.50" customHeight="true">
      <c r="A762" s="10"/>
      <c r="B762" s="11"/>
      <c r="C762" s="11"/>
      <c r="D762" s="11"/>
      <c r="E762" s="11"/>
      <c r="F762" s="11"/>
      <c r="G762" s="11"/>
      <c r="H762" s="11"/>
      <c r="I762" s="11"/>
      <c r="J762" s="11"/>
      <c r="K762" s="11" t="s">
        <f>""</f>
      </c>
      <c r="L762" s="11" t="s">
        <f t="shared" si="944"/>
      </c>
      <c r="M762" s="8" t="s">
        <f t="shared" si="940"/>
      </c>
      <c r="N762" s="11"/>
      <c r="O762" s="10">
        <f ref="O762:P762" t="shared" si="116">A762</f>
        <v>0</v>
      </c>
      <c r="P762" s="11">
        <f t="shared" si="116"/>
        <v>0</v>
      </c>
      <c r="Q762" s="11" t="s">
        <f t="shared" si="937"/>
      </c>
      <c r="R762" s="11">
        <f t="shared" si="943"/>
        <v>0</v>
      </c>
      <c r="S762" s="11">
        <f ref="S762:U762" t="shared" si="117">E762</f>
        <v>0</v>
      </c>
      <c r="T762" s="11">
        <f t="shared" si="117"/>
        <v>0</v>
      </c>
      <c r="U762" s="11">
        <f t="shared" si="117"/>
        <v>0</v>
      </c>
      <c r="V762" s="11">
        <f t="shared" si="938"/>
      </c>
      <c r="W762" s="11" t="s">
        <f t="shared" si="942"/>
      </c>
      <c r="X762" s="11" t="s">
        <f t="shared" si="939"/>
      </c>
    </row>
    <row r="763" ht="12.50" customHeight="true">
      <c r="A763" s="10"/>
      <c r="B763" s="11"/>
      <c r="C763" s="11"/>
      <c r="D763" s="11"/>
      <c r="E763" s="11"/>
      <c r="F763" s="11"/>
      <c r="G763" s="11"/>
      <c r="H763" s="11"/>
      <c r="I763" s="11"/>
      <c r="J763" s="11"/>
      <c r="K763" s="11" t="s">
        <f>""</f>
      </c>
      <c r="L763" s="11" t="s">
        <f t="shared" si="944"/>
      </c>
      <c r="M763" s="8" t="s">
        <f t="shared" si="940"/>
      </c>
      <c r="N763" s="11"/>
      <c r="O763" s="10">
        <f ref="O763:P763" t="shared" si="2006">A763</f>
        <v>0</v>
      </c>
      <c r="P763" s="11">
        <f t="shared" si="2006"/>
        <v>0</v>
      </c>
      <c r="Q763" s="11" t="s">
        <f t="shared" si="937"/>
      </c>
      <c r="R763" s="11">
        <f t="shared" si="943"/>
        <v>0</v>
      </c>
      <c r="S763" s="11">
        <f ref="S763:U763" t="shared" si="2007">E763</f>
        <v>0</v>
      </c>
      <c r="T763" s="11">
        <f t="shared" si="2007"/>
        <v>0</v>
      </c>
      <c r="U763" s="11">
        <f t="shared" si="2007"/>
        <v>0</v>
      </c>
      <c r="V763" s="11">
        <f t="shared" si="938"/>
      </c>
      <c r="W763" s="11" t="s">
        <f t="shared" si="942"/>
      </c>
      <c r="X763" s="11" t="s">
        <f t="shared" si="939"/>
      </c>
    </row>
    <row r="764" ht="12.50" customHeight="true">
      <c r="A764" s="10"/>
      <c r="B764" s="11"/>
      <c r="C764" s="11"/>
      <c r="D764" s="11"/>
      <c r="E764" s="11"/>
      <c r="F764" s="11"/>
      <c r="G764" s="11"/>
      <c r="H764" s="11"/>
      <c r="I764" s="11"/>
      <c r="J764" s="11"/>
      <c r="K764" s="11" t="s">
        <f>""</f>
      </c>
      <c r="L764" s="11" t="s">
        <f t="shared" si="944"/>
      </c>
      <c r="M764" s="8" t="s">
        <f t="shared" si="940"/>
      </c>
      <c r="N764" s="11"/>
      <c r="O764" s="10">
        <f ref="O764:P764" t="shared" si="1473">A764</f>
        <v>0</v>
      </c>
      <c r="P764" s="11">
        <f t="shared" si="1473"/>
        <v>0</v>
      </c>
      <c r="Q764" s="11" t="s">
        <f t="shared" si="937"/>
      </c>
      <c r="R764" s="11">
        <f t="shared" si="943"/>
        <v>0</v>
      </c>
      <c r="S764" s="11">
        <f ref="S764:U764" t="shared" si="1472">E764</f>
        <v>0</v>
      </c>
      <c r="T764" s="11">
        <f t="shared" si="1472"/>
        <v>0</v>
      </c>
      <c r="U764" s="11">
        <f t="shared" si="1472"/>
        <v>0</v>
      </c>
      <c r="V764" s="11">
        <f t="shared" si="938"/>
      </c>
      <c r="W764" s="11" t="s">
        <f t="shared" si="942"/>
      </c>
      <c r="X764" s="11" t="s">
        <f t="shared" si="939"/>
      </c>
    </row>
    <row r="765" ht="12.50" customHeight="true">
      <c r="A765" s="10"/>
      <c r="B765" s="11"/>
      <c r="C765" s="11"/>
      <c r="D765" s="11"/>
      <c r="E765" s="11"/>
      <c r="F765" s="11"/>
      <c r="G765" s="11"/>
      <c r="H765" s="11"/>
      <c r="I765" s="11"/>
      <c r="J765" s="11"/>
      <c r="K765" s="11" t="s">
        <f>""</f>
      </c>
      <c r="L765" s="11" t="s">
        <f t="shared" si="944"/>
      </c>
      <c r="M765" s="8" t="s">
        <f t="shared" si="940"/>
      </c>
      <c r="N765" s="11"/>
      <c r="O765" s="10">
        <f ref="O765:P765" t="shared" si="682">A765</f>
        <v>0</v>
      </c>
      <c r="P765" s="11">
        <f t="shared" si="682"/>
        <v>0</v>
      </c>
      <c r="Q765" s="11" t="s">
        <f t="shared" si="937"/>
      </c>
      <c r="R765" s="11">
        <f t="shared" si="943"/>
        <v>0</v>
      </c>
      <c r="S765" s="11">
        <f ref="S765:U765" t="shared" si="683">E765</f>
        <v>0</v>
      </c>
      <c r="T765" s="11">
        <f t="shared" si="683"/>
        <v>0</v>
      </c>
      <c r="U765" s="11">
        <f t="shared" si="683"/>
        <v>0</v>
      </c>
      <c r="V765" s="11">
        <f t="shared" si="938"/>
      </c>
      <c r="W765" s="11" t="s">
        <f t="shared" si="942"/>
      </c>
      <c r="X765" s="11" t="s">
        <f t="shared" si="939"/>
      </c>
    </row>
    <row r="766" ht="12.50" customHeight="true">
      <c r="A766" s="10"/>
      <c r="B766" s="11"/>
      <c r="C766" s="11"/>
      <c r="D766" s="11"/>
      <c r="E766" s="11"/>
      <c r="F766" s="11"/>
      <c r="G766" s="11"/>
      <c r="H766" s="11"/>
      <c r="I766" s="11"/>
      <c r="J766" s="11"/>
      <c r="K766" s="11" t="s">
        <f>""</f>
      </c>
      <c r="L766" s="11" t="s">
        <f t="shared" si="944"/>
      </c>
      <c r="M766" s="8" t="s">
        <f t="shared" si="940"/>
      </c>
      <c r="N766" s="11"/>
      <c r="O766" s="10">
        <f ref="O766:P766" t="shared" si="182">A766</f>
        <v>0</v>
      </c>
      <c r="P766" s="11">
        <f t="shared" si="182"/>
        <v>0</v>
      </c>
      <c r="Q766" s="11" t="s">
        <f t="shared" si="937"/>
      </c>
      <c r="R766" s="11">
        <f t="shared" si="943"/>
        <v>0</v>
      </c>
      <c r="S766" s="11">
        <f ref="S766:U766" t="shared" si="181">E766</f>
        <v>0</v>
      </c>
      <c r="T766" s="11">
        <f t="shared" si="181"/>
        <v>0</v>
      </c>
      <c r="U766" s="11">
        <f t="shared" si="181"/>
        <v>0</v>
      </c>
      <c r="V766" s="11">
        <f t="shared" si="938"/>
      </c>
      <c r="W766" s="11" t="s">
        <f t="shared" si="942"/>
      </c>
      <c r="X766" s="11" t="s">
        <f t="shared" si="939"/>
      </c>
    </row>
    <row r="767" ht="12.50" customHeight="true">
      <c r="A767" s="10"/>
      <c r="B767" s="11"/>
      <c r="C767" s="11"/>
      <c r="D767" s="11"/>
      <c r="E767" s="11"/>
      <c r="F767" s="11"/>
      <c r="G767" s="11"/>
      <c r="H767" s="11"/>
      <c r="I767" s="11"/>
      <c r="J767" s="11"/>
      <c r="K767" s="11" t="s">
        <f>""</f>
      </c>
      <c r="L767" s="11" t="s">
        <f t="shared" si="944"/>
      </c>
      <c r="M767" s="8" t="s">
        <f t="shared" si="940"/>
      </c>
      <c r="N767" s="11"/>
      <c r="O767" s="10">
        <f ref="O767:P767" t="shared" si="1018">A767</f>
        <v>0</v>
      </c>
      <c r="P767" s="11">
        <f t="shared" si="1018"/>
        <v>0</v>
      </c>
      <c r="Q767" s="11" t="s">
        <f t="shared" si="937"/>
      </c>
      <c r="R767" s="11">
        <f t="shared" si="943"/>
        <v>0</v>
      </c>
      <c r="S767" s="11">
        <f ref="S767:U767" t="shared" si="1017">E767</f>
        <v>0</v>
      </c>
      <c r="T767" s="11">
        <f t="shared" si="1017"/>
        <v>0</v>
      </c>
      <c r="U767" s="11">
        <f t="shared" si="1017"/>
        <v>0</v>
      </c>
      <c r="V767" s="11">
        <f t="shared" si="938"/>
      </c>
      <c r="W767" s="11" t="s">
        <f t="shared" si="942"/>
      </c>
      <c r="X767" s="11" t="s">
        <f t="shared" si="939"/>
      </c>
    </row>
    <row r="768" ht="12.50" customHeight="true">
      <c r="A768" s="10"/>
      <c r="B768" s="11"/>
      <c r="C768" s="11"/>
      <c r="D768" s="11"/>
      <c r="E768" s="11"/>
      <c r="F768" s="11"/>
      <c r="G768" s="11"/>
      <c r="H768" s="11"/>
      <c r="I768" s="11"/>
      <c r="J768" s="11"/>
      <c r="K768" s="11" t="s">
        <f>""</f>
      </c>
      <c r="L768" s="11" t="s">
        <f ref="L768:L1001" t="shared" si="143">IF(K768&lt;&gt;"",J768*K768,"")</f>
      </c>
      <c r="M768" s="8" t="s">
        <f ref="M768:M1001" t="shared" si="141">IF(I768="STITCHING","MOHAK",IF(I768="CUTTING","MOHAK",IF(I768="WASHING","WASHING",IF(I768="OTHER","OTHER",""))))</f>
      </c>
      <c r="N768" s="11"/>
      <c r="O768" s="10">
        <f ref="O768:P768" t="shared" si="140">A768</f>
        <v>0</v>
      </c>
      <c r="P768" s="11">
        <f t="shared" si="140"/>
        <v>0</v>
      </c>
      <c r="Q768" s="11" t="s">
        <f ref="Q768:Q1001" t="shared" si="144">M768</f>
      </c>
      <c r="R768" s="11">
        <f ref="R768:R1001" t="shared" si="139">C768</f>
        <v>0</v>
      </c>
      <c r="S768" s="11">
        <f ref="S768:U768" t="shared" si="142">E768</f>
        <v>0</v>
      </c>
      <c r="T768" s="11">
        <f t="shared" si="142"/>
        <v>0</v>
      </c>
      <c r="U768" s="11">
        <f t="shared" si="142"/>
        <v>0</v>
      </c>
      <c r="V768" s="11">
        <f ref="V768:V1001" t="shared" si="146">IF(N768="",J768,0)</f>
      </c>
      <c r="W768" s="11" t="s">
        <f ref="W768:W1001" t="shared" si="145">(IF(T768="BEDCOVER",1.5,IF(T768="pillow",0.9,IF(T768="cushion",0.9,IF(T768="booster",0.9,"")))))</f>
      </c>
      <c r="X768" s="11" t="s">
        <f ref="X768:X1001" t="shared" si="138">IF(W768&lt;&gt;"",V768*W768,"")</f>
      </c>
    </row>
    <row r="769" ht="12.50" customHeight="true">
      <c r="A769" s="10"/>
      <c r="B769" s="11"/>
      <c r="C769" s="11"/>
      <c r="D769" s="11"/>
      <c r="E769" s="11"/>
      <c r="F769" s="11"/>
      <c r="G769" s="11"/>
      <c r="H769" s="11"/>
      <c r="I769" s="11"/>
      <c r="J769" s="11"/>
      <c r="K769" s="11" t="s">
        <f>""</f>
      </c>
      <c r="L769" s="11" t="s">
        <f t="shared" si="143"/>
      </c>
      <c r="M769" s="8" t="s">
        <f t="shared" si="141"/>
      </c>
      <c r="N769" s="11"/>
      <c r="O769" s="10">
        <f ref="O769:P769" t="shared" si="1360">A769</f>
        <v>0</v>
      </c>
      <c r="P769" s="11">
        <f t="shared" si="1360"/>
        <v>0</v>
      </c>
      <c r="Q769" s="11" t="s">
        <f t="shared" si="144"/>
      </c>
      <c r="R769" s="11">
        <f t="shared" si="139"/>
        <v>0</v>
      </c>
      <c r="S769" s="11">
        <f ref="S769:U769" t="shared" si="1361">E769</f>
        <v>0</v>
      </c>
      <c r="T769" s="11">
        <f t="shared" si="1361"/>
        <v>0</v>
      </c>
      <c r="U769" s="11">
        <f t="shared" si="1361"/>
        <v>0</v>
      </c>
      <c r="V769" s="11">
        <f t="shared" si="146"/>
      </c>
      <c r="W769" s="11" t="s">
        <f t="shared" si="145"/>
      </c>
      <c r="X769" s="11" t="s">
        <f t="shared" si="138"/>
      </c>
    </row>
    <row r="770" ht="12.50" customHeight="true">
      <c r="A770" s="10"/>
      <c r="B770" s="11"/>
      <c r="C770" s="11"/>
      <c r="D770" s="11"/>
      <c r="E770" s="11"/>
      <c r="F770" s="11"/>
      <c r="G770" s="11"/>
      <c r="H770" s="11"/>
      <c r="I770" s="11"/>
      <c r="J770" s="11"/>
      <c r="K770" s="11" t="s">
        <f>""</f>
      </c>
      <c r="L770" s="11" t="s">
        <f t="shared" si="143"/>
      </c>
      <c r="M770" s="8" t="s">
        <f t="shared" si="141"/>
      </c>
      <c r="N770" s="11"/>
      <c r="O770" s="10">
        <f ref="O770:P770" t="shared" si="961">A770</f>
        <v>0</v>
      </c>
      <c r="P770" s="11">
        <f t="shared" si="961"/>
        <v>0</v>
      </c>
      <c r="Q770" s="11" t="s">
        <f t="shared" si="144"/>
      </c>
      <c r="R770" s="11">
        <f t="shared" si="139"/>
        <v>0</v>
      </c>
      <c r="S770" s="11">
        <f ref="S770:U770" t="shared" si="962">E770</f>
        <v>0</v>
      </c>
      <c r="T770" s="11">
        <f t="shared" si="962"/>
        <v>0</v>
      </c>
      <c r="U770" s="11">
        <f t="shared" si="962"/>
        <v>0</v>
      </c>
      <c r="V770" s="11">
        <f t="shared" si="146"/>
      </c>
      <c r="W770" s="11" t="s">
        <f t="shared" si="145"/>
      </c>
      <c r="X770" s="11" t="s">
        <f t="shared" si="138"/>
      </c>
    </row>
    <row r="771" ht="12.50" customHeight="true">
      <c r="A771" s="10"/>
      <c r="B771" s="11"/>
      <c r="C771" s="11"/>
      <c r="D771" s="11"/>
      <c r="E771" s="11"/>
      <c r="F771" s="11"/>
      <c r="G771" s="11"/>
      <c r="H771" s="11"/>
      <c r="I771" s="11"/>
      <c r="J771" s="11"/>
      <c r="K771" s="11" t="s">
        <f>""</f>
      </c>
      <c r="L771" s="11" t="s">
        <f t="shared" si="143"/>
      </c>
      <c r="M771" s="8" t="s">
        <f t="shared" si="141"/>
      </c>
      <c r="N771" s="11"/>
      <c r="O771" s="10">
        <f ref="O771:P771" t="shared" si="571">A771</f>
        <v>0</v>
      </c>
      <c r="P771" s="11">
        <f t="shared" si="571"/>
        <v>0</v>
      </c>
      <c r="Q771" s="11" t="s">
        <f t="shared" si="144"/>
      </c>
      <c r="R771" s="11">
        <f t="shared" si="139"/>
        <v>0</v>
      </c>
      <c r="S771" s="11">
        <f ref="S771:U771" t="shared" si="570">E771</f>
        <v>0</v>
      </c>
      <c r="T771" s="11">
        <f t="shared" si="570"/>
        <v>0</v>
      </c>
      <c r="U771" s="11">
        <f t="shared" si="570"/>
        <v>0</v>
      </c>
      <c r="V771" s="11">
        <f t="shared" si="146"/>
      </c>
      <c r="W771" s="11" t="s">
        <f t="shared" si="145"/>
      </c>
      <c r="X771" s="11" t="s">
        <f t="shared" si="138"/>
      </c>
    </row>
    <row r="772" ht="12.50" customHeight="true">
      <c r="A772" s="10"/>
      <c r="B772" s="11"/>
      <c r="C772" s="11"/>
      <c r="D772" s="11"/>
      <c r="E772" s="11"/>
      <c r="F772" s="11"/>
      <c r="G772" s="11"/>
      <c r="H772" s="11"/>
      <c r="I772" s="11"/>
      <c r="J772" s="11"/>
      <c r="K772" s="11" t="s">
        <f>""</f>
      </c>
      <c r="L772" s="11" t="s">
        <f t="shared" si="143"/>
      </c>
      <c r="M772" s="8" t="s">
        <f t="shared" si="141"/>
      </c>
      <c r="N772" s="11"/>
      <c r="O772" s="10">
        <f ref="O772:P772" t="shared" si="695">A772</f>
        <v>0</v>
      </c>
      <c r="P772" s="11">
        <f t="shared" si="695"/>
        <v>0</v>
      </c>
      <c r="Q772" s="11" t="s">
        <f t="shared" si="144"/>
      </c>
      <c r="R772" s="11">
        <f t="shared" si="139"/>
        <v>0</v>
      </c>
      <c r="S772" s="11">
        <f ref="S772:U772" t="shared" si="694">E772</f>
        <v>0</v>
      </c>
      <c r="T772" s="11">
        <f t="shared" si="694"/>
        <v>0</v>
      </c>
      <c r="U772" s="11">
        <f t="shared" si="694"/>
        <v>0</v>
      </c>
      <c r="V772" s="11">
        <f t="shared" si="146"/>
      </c>
      <c r="W772" s="11" t="s">
        <f t="shared" si="145"/>
      </c>
      <c r="X772" s="11" t="s">
        <f t="shared" si="138"/>
      </c>
    </row>
    <row r="773" ht="12.50" customHeight="true">
      <c r="A773" s="10"/>
      <c r="B773" s="11"/>
      <c r="C773" s="11"/>
      <c r="D773" s="11"/>
      <c r="E773" s="11"/>
      <c r="F773" s="11"/>
      <c r="G773" s="11"/>
      <c r="H773" s="11"/>
      <c r="I773" s="11"/>
      <c r="J773" s="11"/>
      <c r="K773" s="11" t="s">
        <f>""</f>
      </c>
      <c r="L773" s="11" t="s">
        <f t="shared" si="143"/>
      </c>
      <c r="M773" s="8" t="s">
        <f t="shared" si="141"/>
      </c>
      <c r="N773" s="11"/>
      <c r="O773" s="10">
        <f ref="O773:P773" t="shared" si="29">A773</f>
        <v>0</v>
      </c>
      <c r="P773" s="11">
        <f t="shared" si="29"/>
        <v>0</v>
      </c>
      <c r="Q773" s="11" t="s">
        <f t="shared" si="144"/>
      </c>
      <c r="R773" s="11">
        <f t="shared" si="139"/>
        <v>0</v>
      </c>
      <c r="S773" s="11">
        <f ref="S773:U773" t="shared" si="28">E773</f>
        <v>0</v>
      </c>
      <c r="T773" s="11">
        <f t="shared" si="28"/>
        <v>0</v>
      </c>
      <c r="U773" s="11">
        <f t="shared" si="28"/>
        <v>0</v>
      </c>
      <c r="V773" s="11">
        <f t="shared" si="146"/>
      </c>
      <c r="W773" s="11" t="s">
        <f t="shared" si="145"/>
      </c>
      <c r="X773" s="11" t="s">
        <f t="shared" si="138"/>
      </c>
    </row>
    <row r="774" ht="12.50" customHeight="true">
      <c r="A774" s="10"/>
      <c r="B774" s="11"/>
      <c r="C774" s="11"/>
      <c r="D774" s="11"/>
      <c r="E774" s="11"/>
      <c r="F774" s="11"/>
      <c r="G774" s="11"/>
      <c r="H774" s="11"/>
      <c r="I774" s="11"/>
      <c r="J774" s="11"/>
      <c r="K774" s="11" t="s">
        <f>""</f>
      </c>
      <c r="L774" s="11" t="s">
        <f t="shared" si="143"/>
      </c>
      <c r="M774" s="8" t="s">
        <f t="shared" si="141"/>
      </c>
      <c r="N774" s="11"/>
      <c r="O774" s="10">
        <f ref="O774:P774" t="shared" si="1433">A774</f>
        <v>0</v>
      </c>
      <c r="P774" s="11">
        <f t="shared" si="1433"/>
        <v>0</v>
      </c>
      <c r="Q774" s="11" t="s">
        <f t="shared" si="144"/>
      </c>
      <c r="R774" s="11">
        <f t="shared" si="139"/>
        <v>0</v>
      </c>
      <c r="S774" s="11">
        <f ref="S774:U774" t="shared" si="1432">E774</f>
        <v>0</v>
      </c>
      <c r="T774" s="11">
        <f t="shared" si="1432"/>
        <v>0</v>
      </c>
      <c r="U774" s="11">
        <f t="shared" si="1432"/>
        <v>0</v>
      </c>
      <c r="V774" s="11">
        <f t="shared" si="146"/>
      </c>
      <c r="W774" s="11" t="s">
        <f t="shared" si="145"/>
      </c>
      <c r="X774" s="11" t="s">
        <f t="shared" si="138"/>
      </c>
    </row>
    <row r="775" ht="12.50" customHeight="true">
      <c r="A775" s="10"/>
      <c r="B775" s="11"/>
      <c r="C775" s="11"/>
      <c r="D775" s="11"/>
      <c r="E775" s="11"/>
      <c r="F775" s="11"/>
      <c r="G775" s="11"/>
      <c r="H775" s="11"/>
      <c r="I775" s="11"/>
      <c r="J775" s="11"/>
      <c r="K775" s="11" t="s">
        <f>""</f>
      </c>
      <c r="L775" s="11" t="s">
        <f t="shared" si="143"/>
      </c>
      <c r="M775" s="8" t="s">
        <f t="shared" si="141"/>
      </c>
      <c r="N775" s="11"/>
      <c r="O775" s="10">
        <f ref="O775:P775" t="shared" si="1117">A775</f>
        <v>0</v>
      </c>
      <c r="P775" s="11">
        <f t="shared" si="1117"/>
        <v>0</v>
      </c>
      <c r="Q775" s="11" t="s">
        <f t="shared" si="144"/>
      </c>
      <c r="R775" s="11">
        <f t="shared" si="139"/>
        <v>0</v>
      </c>
      <c r="S775" s="11">
        <f ref="S775:U775" t="shared" si="1118">E775</f>
        <v>0</v>
      </c>
      <c r="T775" s="11">
        <f t="shared" si="1118"/>
        <v>0</v>
      </c>
      <c r="U775" s="11">
        <f t="shared" si="1118"/>
        <v>0</v>
      </c>
      <c r="V775" s="11">
        <f t="shared" si="146"/>
      </c>
      <c r="W775" s="11" t="s">
        <f t="shared" si="145"/>
      </c>
      <c r="X775" s="11" t="s">
        <f t="shared" si="138"/>
      </c>
    </row>
    <row r="776" ht="12.50" customHeight="true">
      <c r="A776" s="10"/>
      <c r="B776" s="11"/>
      <c r="C776" s="11"/>
      <c r="D776" s="11"/>
      <c r="E776" s="11"/>
      <c r="F776" s="11"/>
      <c r="G776" s="11"/>
      <c r="H776" s="11"/>
      <c r="I776" s="11"/>
      <c r="J776" s="11"/>
      <c r="K776" s="11" t="s">
        <f>""</f>
      </c>
      <c r="L776" s="11" t="s">
        <f t="shared" si="143"/>
      </c>
      <c r="M776" s="8" t="s">
        <f t="shared" si="141"/>
      </c>
      <c r="N776" s="11"/>
      <c r="O776" s="10">
        <f ref="O776:P776" t="shared" si="826">A776</f>
        <v>0</v>
      </c>
      <c r="P776" s="11">
        <f t="shared" si="826"/>
        <v>0</v>
      </c>
      <c r="Q776" s="11" t="s">
        <f t="shared" si="144"/>
      </c>
      <c r="R776" s="11">
        <f t="shared" si="139"/>
        <v>0</v>
      </c>
      <c r="S776" s="11">
        <f ref="S776:U776" t="shared" si="827">E776</f>
        <v>0</v>
      </c>
      <c r="T776" s="11">
        <f t="shared" si="827"/>
        <v>0</v>
      </c>
      <c r="U776" s="11">
        <f t="shared" si="827"/>
        <v>0</v>
      </c>
      <c r="V776" s="11">
        <f t="shared" si="146"/>
      </c>
      <c r="W776" s="11" t="s">
        <f t="shared" si="145"/>
      </c>
      <c r="X776" s="11" t="s">
        <f t="shared" si="138"/>
      </c>
    </row>
    <row r="777" ht="12.50" customHeight="true">
      <c r="A777" s="10"/>
      <c r="B777" s="11"/>
      <c r="C777" s="11"/>
      <c r="D777" s="11"/>
      <c r="E777" s="11"/>
      <c r="F777" s="11"/>
      <c r="G777" s="11"/>
      <c r="H777" s="11"/>
      <c r="I777" s="11"/>
      <c r="J777" s="11"/>
      <c r="K777" s="11" t="s">
        <f>""</f>
      </c>
      <c r="L777" s="11" t="s">
        <f t="shared" si="143"/>
      </c>
      <c r="M777" s="8" t="s">
        <f t="shared" si="141"/>
      </c>
      <c r="N777" s="11"/>
      <c r="O777" s="10">
        <f ref="O777:P777" t="shared" si="1341">A777</f>
        <v>0</v>
      </c>
      <c r="P777" s="11">
        <f t="shared" si="1341"/>
        <v>0</v>
      </c>
      <c r="Q777" s="11" t="s">
        <f t="shared" si="144"/>
      </c>
      <c r="R777" s="11">
        <f t="shared" si="139"/>
        <v>0</v>
      </c>
      <c r="S777" s="11">
        <f ref="S777:U777" t="shared" si="1340">E777</f>
        <v>0</v>
      </c>
      <c r="T777" s="11">
        <f t="shared" si="1340"/>
        <v>0</v>
      </c>
      <c r="U777" s="11">
        <f t="shared" si="1340"/>
        <v>0</v>
      </c>
      <c r="V777" s="11">
        <f t="shared" si="146"/>
      </c>
      <c r="W777" s="11" t="s">
        <f t="shared" si="145"/>
      </c>
      <c r="X777" s="11" t="s">
        <f t="shared" si="138"/>
      </c>
    </row>
    <row r="778" ht="12.50" customHeight="true">
      <c r="A778" s="10"/>
      <c r="B778" s="11"/>
      <c r="C778" s="11"/>
      <c r="D778" s="11"/>
      <c r="E778" s="11"/>
      <c r="F778" s="11"/>
      <c r="G778" s="11"/>
      <c r="H778" s="11"/>
      <c r="I778" s="11"/>
      <c r="J778" s="11"/>
      <c r="K778" s="11" t="s">
        <f>""</f>
      </c>
      <c r="L778" s="11" t="s">
        <f t="shared" si="143"/>
      </c>
      <c r="M778" s="8" t="s">
        <f t="shared" si="141"/>
      </c>
      <c r="N778" s="11"/>
      <c r="O778" s="10">
        <f ref="O778:P778" t="shared" si="1707">A778</f>
        <v>0</v>
      </c>
      <c r="P778" s="11">
        <f t="shared" si="1707"/>
        <v>0</v>
      </c>
      <c r="Q778" s="11" t="s">
        <f t="shared" si="144"/>
      </c>
      <c r="R778" s="11">
        <f t="shared" si="139"/>
        <v>0</v>
      </c>
      <c r="S778" s="11">
        <f ref="S778:U778" t="shared" si="1706">E778</f>
        <v>0</v>
      </c>
      <c r="T778" s="11">
        <f t="shared" si="1706"/>
        <v>0</v>
      </c>
      <c r="U778" s="11">
        <f t="shared" si="1706"/>
        <v>0</v>
      </c>
      <c r="V778" s="11">
        <f t="shared" si="146"/>
      </c>
      <c r="W778" s="11" t="s">
        <f t="shared" si="145"/>
      </c>
      <c r="X778" s="11" t="s">
        <f t="shared" si="138"/>
      </c>
    </row>
    <row r="779" ht="12.50" customHeight="true">
      <c r="A779" s="10"/>
      <c r="B779" s="11"/>
      <c r="C779" s="11"/>
      <c r="D779" s="11"/>
      <c r="E779" s="11"/>
      <c r="F779" s="11"/>
      <c r="G779" s="11"/>
      <c r="H779" s="11"/>
      <c r="I779" s="11"/>
      <c r="J779" s="11"/>
      <c r="K779" s="11" t="s">
        <f>""</f>
      </c>
      <c r="L779" s="11" t="s">
        <f t="shared" si="143"/>
      </c>
      <c r="M779" s="8" t="s">
        <f t="shared" si="141"/>
      </c>
      <c r="N779" s="11"/>
      <c r="O779" s="10">
        <f ref="O779:P779" t="shared" si="1572">A779</f>
        <v>0</v>
      </c>
      <c r="P779" s="11">
        <f t="shared" si="1572"/>
        <v>0</v>
      </c>
      <c r="Q779" s="11" t="s">
        <f t="shared" si="144"/>
      </c>
      <c r="R779" s="11">
        <f t="shared" si="139"/>
        <v>0</v>
      </c>
      <c r="S779" s="11">
        <f ref="S779:U779" t="shared" si="1573">E779</f>
        <v>0</v>
      </c>
      <c r="T779" s="11">
        <f t="shared" si="1573"/>
        <v>0</v>
      </c>
      <c r="U779" s="11">
        <f t="shared" si="1573"/>
        <v>0</v>
      </c>
      <c r="V779" s="11">
        <f t="shared" si="146"/>
      </c>
      <c r="W779" s="11" t="s">
        <f t="shared" si="145"/>
      </c>
      <c r="X779" s="11" t="s">
        <f t="shared" si="138"/>
      </c>
    </row>
    <row r="780" ht="12.50" customHeight="true">
      <c r="A780" s="10"/>
      <c r="B780" s="11"/>
      <c r="C780" s="11"/>
      <c r="D780" s="11"/>
      <c r="E780" s="11"/>
      <c r="F780" s="11"/>
      <c r="G780" s="11"/>
      <c r="H780" s="11"/>
      <c r="I780" s="11"/>
      <c r="J780" s="11"/>
      <c r="K780" s="11" t="s">
        <f>""</f>
      </c>
      <c r="L780" s="11" t="s">
        <f t="shared" si="143"/>
      </c>
      <c r="M780" s="8" t="s">
        <f t="shared" si="141"/>
      </c>
      <c r="N780" s="11"/>
      <c r="O780" s="10">
        <f ref="O780:P780" t="shared" si="833">A780</f>
        <v>0</v>
      </c>
      <c r="P780" s="11">
        <f t="shared" si="833"/>
        <v>0</v>
      </c>
      <c r="Q780" s="11" t="s">
        <f t="shared" si="144"/>
      </c>
      <c r="R780" s="11">
        <f t="shared" si="139"/>
        <v>0</v>
      </c>
      <c r="S780" s="11">
        <f ref="S780:U780" t="shared" si="832">E780</f>
        <v>0</v>
      </c>
      <c r="T780" s="11">
        <f t="shared" si="832"/>
        <v>0</v>
      </c>
      <c r="U780" s="11">
        <f t="shared" si="832"/>
        <v>0</v>
      </c>
      <c r="V780" s="11">
        <f t="shared" si="146"/>
      </c>
      <c r="W780" s="11" t="s">
        <f t="shared" si="145"/>
      </c>
      <c r="X780" s="11" t="s">
        <f t="shared" si="138"/>
      </c>
    </row>
    <row r="781" ht="12.50" customHeight="true">
      <c r="A781" s="10"/>
      <c r="B781" s="11"/>
      <c r="C781" s="11"/>
      <c r="D781" s="11"/>
      <c r="E781" s="11"/>
      <c r="F781" s="11"/>
      <c r="G781" s="11"/>
      <c r="H781" s="11"/>
      <c r="I781" s="11"/>
      <c r="J781" s="11"/>
      <c r="K781" s="11" t="s">
        <f>""</f>
      </c>
      <c r="L781" s="11" t="s">
        <f t="shared" si="143"/>
      </c>
      <c r="M781" s="8" t="s">
        <f t="shared" si="141"/>
      </c>
      <c r="N781" s="11"/>
      <c r="O781" s="10">
        <f ref="O781:P781" t="shared" si="50">A781</f>
        <v>0</v>
      </c>
      <c r="P781" s="11">
        <f t="shared" si="50"/>
        <v>0</v>
      </c>
      <c r="Q781" s="11" t="s">
        <f t="shared" si="144"/>
      </c>
      <c r="R781" s="11">
        <f t="shared" si="139"/>
        <v>0</v>
      </c>
      <c r="S781" s="11">
        <f ref="S781:U781" t="shared" si="51">E781</f>
        <v>0</v>
      </c>
      <c r="T781" s="11">
        <f t="shared" si="51"/>
        <v>0</v>
      </c>
      <c r="U781" s="11">
        <f t="shared" si="51"/>
        <v>0</v>
      </c>
      <c r="V781" s="11">
        <f t="shared" si="146"/>
      </c>
      <c r="W781" s="11" t="s">
        <f t="shared" si="145"/>
      </c>
      <c r="X781" s="11" t="s">
        <f t="shared" si="138"/>
      </c>
    </row>
    <row r="782" ht="12.50" customHeight="true">
      <c r="A782" s="10"/>
      <c r="B782" s="11"/>
      <c r="C782" s="11"/>
      <c r="D782" s="11"/>
      <c r="E782" s="11"/>
      <c r="F782" s="11"/>
      <c r="G782" s="11"/>
      <c r="H782" s="11"/>
      <c r="I782" s="11"/>
      <c r="J782" s="11"/>
      <c r="K782" s="11" t="s">
        <f>""</f>
      </c>
      <c r="L782" s="11" t="s">
        <f t="shared" si="143"/>
      </c>
      <c r="M782" s="8" t="s">
        <f t="shared" si="141"/>
      </c>
      <c r="N782" s="11"/>
      <c r="O782" s="10">
        <f ref="O782:P782" t="shared" si="1563">A782</f>
        <v>0</v>
      </c>
      <c r="P782" s="11">
        <f t="shared" si="1563"/>
        <v>0</v>
      </c>
      <c r="Q782" s="11" t="s">
        <f t="shared" si="144"/>
      </c>
      <c r="R782" s="11">
        <f t="shared" si="139"/>
        <v>0</v>
      </c>
      <c r="S782" s="11">
        <f ref="S782:U782" t="shared" si="1562">E782</f>
        <v>0</v>
      </c>
      <c r="T782" s="11">
        <f t="shared" si="1562"/>
        <v>0</v>
      </c>
      <c r="U782" s="11">
        <f t="shared" si="1562"/>
        <v>0</v>
      </c>
      <c r="V782" s="11">
        <f t="shared" si="146"/>
      </c>
      <c r="W782" s="11" t="s">
        <f t="shared" si="145"/>
      </c>
      <c r="X782" s="11" t="s">
        <f t="shared" si="138"/>
      </c>
    </row>
    <row r="783" ht="12.50" customHeight="true">
      <c r="A783" s="10"/>
      <c r="B783" s="11"/>
      <c r="C783" s="11"/>
      <c r="D783" s="11"/>
      <c r="E783" s="11"/>
      <c r="F783" s="11"/>
      <c r="G783" s="11"/>
      <c r="H783" s="11"/>
      <c r="I783" s="11"/>
      <c r="J783" s="11"/>
      <c r="K783" s="11" t="s">
        <f>""</f>
      </c>
      <c r="L783" s="11" t="s">
        <f t="shared" si="143"/>
      </c>
      <c r="M783" s="8" t="s">
        <f t="shared" si="141"/>
      </c>
      <c r="N783" s="11"/>
      <c r="O783" s="10">
        <f ref="O783:P783" t="shared" si="1048">A783</f>
        <v>0</v>
      </c>
      <c r="P783" s="11">
        <f t="shared" si="1048"/>
        <v>0</v>
      </c>
      <c r="Q783" s="11" t="s">
        <f t="shared" si="144"/>
      </c>
      <c r="R783" s="11">
        <f t="shared" si="139"/>
        <v>0</v>
      </c>
      <c r="S783" s="11">
        <f ref="S783:U783" t="shared" si="1047">E783</f>
        <v>0</v>
      </c>
      <c r="T783" s="11">
        <f t="shared" si="1047"/>
        <v>0</v>
      </c>
      <c r="U783" s="11">
        <f t="shared" si="1047"/>
        <v>0</v>
      </c>
      <c r="V783" s="11">
        <f t="shared" si="146"/>
      </c>
      <c r="W783" s="11" t="s">
        <f t="shared" si="145"/>
      </c>
      <c r="X783" s="11" t="s">
        <f t="shared" si="138"/>
      </c>
    </row>
    <row r="784" ht="12.50" customHeight="true">
      <c r="A784" s="10"/>
      <c r="B784" s="11"/>
      <c r="C784" s="11"/>
      <c r="D784" s="11"/>
      <c r="E784" s="11"/>
      <c r="F784" s="11"/>
      <c r="G784" s="11"/>
      <c r="H784" s="11"/>
      <c r="I784" s="11"/>
      <c r="J784" s="11"/>
      <c r="K784" s="11" t="s">
        <f>""</f>
      </c>
      <c r="L784" s="11" t="s">
        <f t="shared" si="143"/>
      </c>
      <c r="M784" s="8" t="s">
        <f t="shared" si="141"/>
      </c>
      <c r="N784" s="11"/>
      <c r="O784" s="10">
        <f ref="O784:P784" t="shared" si="1693">A784</f>
        <v>0</v>
      </c>
      <c r="P784" s="11">
        <f t="shared" si="1693"/>
        <v>0</v>
      </c>
      <c r="Q784" s="11" t="s">
        <f t="shared" si="144"/>
      </c>
      <c r="R784" s="11">
        <f t="shared" si="139"/>
        <v>0</v>
      </c>
      <c r="S784" s="11">
        <f ref="S784:U784" t="shared" si="1692">E784</f>
        <v>0</v>
      </c>
      <c r="T784" s="11">
        <f t="shared" si="1692"/>
        <v>0</v>
      </c>
      <c r="U784" s="11">
        <f t="shared" si="1692"/>
        <v>0</v>
      </c>
      <c r="V784" s="11">
        <f t="shared" si="146"/>
      </c>
      <c r="W784" s="11" t="s">
        <f t="shared" si="145"/>
      </c>
      <c r="X784" s="11" t="s">
        <f t="shared" si="138"/>
      </c>
    </row>
    <row r="785" ht="12.50" customHeight="true">
      <c r="A785" s="10"/>
      <c r="B785" s="11"/>
      <c r="C785" s="11"/>
      <c r="D785" s="11"/>
      <c r="E785" s="11"/>
      <c r="F785" s="11"/>
      <c r="G785" s="11"/>
      <c r="H785" s="11"/>
      <c r="I785" s="11"/>
      <c r="J785" s="11"/>
      <c r="K785" s="11" t="s">
        <f>""</f>
      </c>
      <c r="L785" s="11" t="s">
        <f t="shared" si="143"/>
      </c>
      <c r="M785" s="8" t="s">
        <f t="shared" si="141"/>
      </c>
      <c r="N785" s="11"/>
      <c r="O785" s="10">
        <f ref="O785:P785" t="shared" si="895">A785</f>
        <v>0</v>
      </c>
      <c r="P785" s="11">
        <f t="shared" si="895"/>
        <v>0</v>
      </c>
      <c r="Q785" s="11" t="s">
        <f t="shared" si="144"/>
      </c>
      <c r="R785" s="11">
        <f t="shared" si="139"/>
        <v>0</v>
      </c>
      <c r="S785" s="11">
        <f ref="S785:U785" t="shared" si="894">E785</f>
        <v>0</v>
      </c>
      <c r="T785" s="11">
        <f t="shared" si="894"/>
        <v>0</v>
      </c>
      <c r="U785" s="11">
        <f t="shared" si="894"/>
        <v>0</v>
      </c>
      <c r="V785" s="11">
        <f t="shared" si="146"/>
      </c>
      <c r="W785" s="11" t="s">
        <f t="shared" si="145"/>
      </c>
      <c r="X785" s="11" t="s">
        <f t="shared" si="138"/>
      </c>
    </row>
    <row r="786" ht="12.50" customHeight="true">
      <c r="A786" s="10"/>
      <c r="B786" s="11"/>
      <c r="C786" s="11"/>
      <c r="D786" s="11"/>
      <c r="E786" s="11"/>
      <c r="F786" s="11"/>
      <c r="G786" s="11"/>
      <c r="H786" s="11"/>
      <c r="I786" s="11"/>
      <c r="J786" s="11"/>
      <c r="K786" s="11" t="s">
        <f>""</f>
      </c>
      <c r="L786" s="11" t="s">
        <f t="shared" si="143"/>
      </c>
      <c r="M786" s="8" t="s">
        <f t="shared" si="141"/>
      </c>
      <c r="N786" s="11"/>
      <c r="O786" s="10">
        <f ref="O786:P786" t="shared" si="1839">A786</f>
        <v>0</v>
      </c>
      <c r="P786" s="11">
        <f t="shared" si="1839"/>
        <v>0</v>
      </c>
      <c r="Q786" s="11" t="s">
        <f t="shared" si="144"/>
      </c>
      <c r="R786" s="11">
        <f t="shared" si="139"/>
        <v>0</v>
      </c>
      <c r="S786" s="11">
        <f ref="S786:U786" t="shared" si="1838">E786</f>
        <v>0</v>
      </c>
      <c r="T786" s="11">
        <f t="shared" si="1838"/>
        <v>0</v>
      </c>
      <c r="U786" s="11">
        <f t="shared" si="1838"/>
        <v>0</v>
      </c>
      <c r="V786" s="11">
        <f t="shared" si="146"/>
      </c>
      <c r="W786" s="11" t="s">
        <f t="shared" si="145"/>
      </c>
      <c r="X786" s="11" t="s">
        <f t="shared" si="138"/>
      </c>
    </row>
    <row r="787" ht="12.50" customHeight="true">
      <c r="A787" s="10"/>
      <c r="B787" s="11"/>
      <c r="C787" s="11"/>
      <c r="D787" s="11"/>
      <c r="E787" s="11"/>
      <c r="F787" s="11"/>
      <c r="G787" s="11"/>
      <c r="H787" s="11"/>
      <c r="I787" s="11"/>
      <c r="J787" s="11"/>
      <c r="K787" s="11" t="s">
        <f>""</f>
      </c>
      <c r="L787" s="11" t="s">
        <f t="shared" si="143"/>
      </c>
      <c r="M787" s="8" t="s">
        <f t="shared" si="141"/>
      </c>
      <c r="N787" s="11"/>
      <c r="O787" s="10">
        <f ref="O787:P787" t="shared" si="726">A787</f>
        <v>0</v>
      </c>
      <c r="P787" s="11">
        <f t="shared" si="726"/>
        <v>0</v>
      </c>
      <c r="Q787" s="11" t="s">
        <f t="shared" si="144"/>
      </c>
      <c r="R787" s="11">
        <f t="shared" si="139"/>
        <v>0</v>
      </c>
      <c r="S787" s="11">
        <f ref="S787:U787" t="shared" si="727">E787</f>
        <v>0</v>
      </c>
      <c r="T787" s="11">
        <f t="shared" si="727"/>
        <v>0</v>
      </c>
      <c r="U787" s="11">
        <f t="shared" si="727"/>
        <v>0</v>
      </c>
      <c r="V787" s="11">
        <f t="shared" si="146"/>
      </c>
      <c r="W787" s="11" t="s">
        <f t="shared" si="145"/>
      </c>
      <c r="X787" s="11" t="s">
        <f t="shared" si="138"/>
      </c>
    </row>
    <row r="788" ht="12.50" customHeight="true">
      <c r="A788" s="10"/>
      <c r="B788" s="11"/>
      <c r="C788" s="11"/>
      <c r="D788" s="11"/>
      <c r="E788" s="11"/>
      <c r="F788" s="11"/>
      <c r="G788" s="11"/>
      <c r="H788" s="11"/>
      <c r="I788" s="11"/>
      <c r="J788" s="11"/>
      <c r="K788" s="11" t="s">
        <f>""</f>
      </c>
      <c r="L788" s="11" t="s">
        <f t="shared" si="143"/>
      </c>
      <c r="M788" s="8" t="s">
        <f t="shared" si="141"/>
      </c>
      <c r="N788" s="11"/>
      <c r="O788" s="10">
        <f ref="O788:P788" t="shared" si="1886">A788</f>
        <v>0</v>
      </c>
      <c r="P788" s="11">
        <f t="shared" si="1886"/>
        <v>0</v>
      </c>
      <c r="Q788" s="11" t="s">
        <f t="shared" si="144"/>
      </c>
      <c r="R788" s="11">
        <f t="shared" si="139"/>
        <v>0</v>
      </c>
      <c r="S788" s="11">
        <f ref="S788:U788" t="shared" si="1887">E788</f>
        <v>0</v>
      </c>
      <c r="T788" s="11">
        <f t="shared" si="1887"/>
        <v>0</v>
      </c>
      <c r="U788" s="11">
        <f t="shared" si="1887"/>
        <v>0</v>
      </c>
      <c r="V788" s="11">
        <f t="shared" si="146"/>
      </c>
      <c r="W788" s="11" t="s">
        <f t="shared" si="145"/>
      </c>
      <c r="X788" s="11" t="s">
        <f t="shared" si="138"/>
      </c>
    </row>
    <row r="789" ht="12.50" customHeight="true">
      <c r="A789" s="10"/>
      <c r="B789" s="11"/>
      <c r="C789" s="11"/>
      <c r="D789" s="11"/>
      <c r="E789" s="11"/>
      <c r="F789" s="11"/>
      <c r="G789" s="11"/>
      <c r="H789" s="11"/>
      <c r="I789" s="11"/>
      <c r="J789" s="11"/>
      <c r="K789" s="11" t="s">
        <f>""</f>
      </c>
      <c r="L789" s="11" t="s">
        <f t="shared" si="143"/>
      </c>
      <c r="M789" s="8" t="s">
        <f t="shared" si="141"/>
      </c>
      <c r="N789" s="11"/>
      <c r="O789" s="10">
        <f ref="O789:P789" t="shared" si="1355">A789</f>
        <v>0</v>
      </c>
      <c r="P789" s="11">
        <f t="shared" si="1355"/>
        <v>0</v>
      </c>
      <c r="Q789" s="11" t="s">
        <f t="shared" si="144"/>
      </c>
      <c r="R789" s="11">
        <f t="shared" si="139"/>
        <v>0</v>
      </c>
      <c r="S789" s="11">
        <f ref="S789:U789" t="shared" si="1354">E789</f>
        <v>0</v>
      </c>
      <c r="T789" s="11">
        <f t="shared" si="1354"/>
        <v>0</v>
      </c>
      <c r="U789" s="11">
        <f t="shared" si="1354"/>
        <v>0</v>
      </c>
      <c r="V789" s="11">
        <f t="shared" si="146"/>
      </c>
      <c r="W789" s="11" t="s">
        <f t="shared" si="145"/>
      </c>
      <c r="X789" s="11" t="s">
        <f t="shared" si="138"/>
      </c>
    </row>
    <row r="790" ht="12.50" customHeight="true">
      <c r="A790" s="10"/>
      <c r="B790" s="11"/>
      <c r="C790" s="11"/>
      <c r="D790" s="11"/>
      <c r="E790" s="11"/>
      <c r="F790" s="11"/>
      <c r="G790" s="11"/>
      <c r="H790" s="11"/>
      <c r="I790" s="11"/>
      <c r="J790" s="11"/>
      <c r="K790" s="11" t="s">
        <f>""</f>
      </c>
      <c r="L790" s="11" t="s">
        <f t="shared" si="143"/>
      </c>
      <c r="M790" s="8" t="s">
        <f t="shared" si="141"/>
      </c>
      <c r="N790" s="11"/>
      <c r="O790" s="10">
        <f ref="O790:P790" t="shared" si="1000">A790</f>
        <v>0</v>
      </c>
      <c r="P790" s="11">
        <f t="shared" si="1000"/>
        <v>0</v>
      </c>
      <c r="Q790" s="11" t="s">
        <f t="shared" si="144"/>
      </c>
      <c r="R790" s="11">
        <f t="shared" si="139"/>
        <v>0</v>
      </c>
      <c r="S790" s="11">
        <f ref="S790:U790" t="shared" si="999">E790</f>
        <v>0</v>
      </c>
      <c r="T790" s="11">
        <f t="shared" si="999"/>
        <v>0</v>
      </c>
      <c r="U790" s="11">
        <f t="shared" si="999"/>
        <v>0</v>
      </c>
      <c r="V790" s="11">
        <f t="shared" si="146"/>
      </c>
      <c r="W790" s="11" t="s">
        <f t="shared" si="145"/>
      </c>
      <c r="X790" s="11" t="s">
        <f t="shared" si="138"/>
      </c>
    </row>
    <row r="791" ht="12.50" customHeight="true">
      <c r="A791" s="10"/>
      <c r="B791" s="11"/>
      <c r="C791" s="11"/>
      <c r="D791" s="11"/>
      <c r="E791" s="11"/>
      <c r="F791" s="11"/>
      <c r="G791" s="11"/>
      <c r="H791" s="11"/>
      <c r="I791" s="11"/>
      <c r="J791" s="11"/>
      <c r="K791" s="11" t="s">
        <f>""</f>
      </c>
      <c r="L791" s="11" t="s">
        <f t="shared" si="143"/>
      </c>
      <c r="M791" s="8" t="s">
        <f t="shared" si="141"/>
      </c>
      <c r="N791" s="11"/>
      <c r="O791" s="10">
        <f ref="O791:P791" t="shared" si="1675">A791</f>
        <v>0</v>
      </c>
      <c r="P791" s="11">
        <f t="shared" si="1675"/>
        <v>0</v>
      </c>
      <c r="Q791" s="11" t="s">
        <f t="shared" si="144"/>
      </c>
      <c r="R791" s="11">
        <f t="shared" si="139"/>
        <v>0</v>
      </c>
      <c r="S791" s="11">
        <f ref="S791:U791" t="shared" si="1674">E791</f>
        <v>0</v>
      </c>
      <c r="T791" s="11">
        <f t="shared" si="1674"/>
        <v>0</v>
      </c>
      <c r="U791" s="11">
        <f t="shared" si="1674"/>
        <v>0</v>
      </c>
      <c r="V791" s="11">
        <f t="shared" si="146"/>
      </c>
      <c r="W791" s="11" t="s">
        <f t="shared" si="145"/>
      </c>
      <c r="X791" s="11" t="s">
        <f t="shared" si="138"/>
      </c>
    </row>
    <row r="792" ht="12.50" customHeight="true">
      <c r="A792" s="10"/>
      <c r="B792" s="11"/>
      <c r="C792" s="11"/>
      <c r="D792" s="11"/>
      <c r="E792" s="11"/>
      <c r="F792" s="11"/>
      <c r="G792" s="11"/>
      <c r="H792" s="11"/>
      <c r="I792" s="11"/>
      <c r="J792" s="11"/>
      <c r="K792" s="11" t="s">
        <f>""</f>
      </c>
      <c r="L792" s="11" t="s">
        <f t="shared" si="143"/>
      </c>
      <c r="M792" s="8" t="s">
        <f t="shared" si="141"/>
      </c>
      <c r="N792" s="11"/>
      <c r="O792" s="10">
        <f ref="O792:P792" t="shared" si="745">A792</f>
        <v>0</v>
      </c>
      <c r="P792" s="11">
        <f t="shared" si="745"/>
        <v>0</v>
      </c>
      <c r="Q792" s="11" t="s">
        <f t="shared" si="144"/>
      </c>
      <c r="R792" s="11">
        <f t="shared" si="139"/>
        <v>0</v>
      </c>
      <c r="S792" s="11">
        <f ref="S792:U792" t="shared" si="744">E792</f>
        <v>0</v>
      </c>
      <c r="T792" s="11">
        <f t="shared" si="744"/>
        <v>0</v>
      </c>
      <c r="U792" s="11">
        <f t="shared" si="744"/>
        <v>0</v>
      </c>
      <c r="V792" s="11">
        <f t="shared" si="146"/>
      </c>
      <c r="W792" s="11" t="s">
        <f t="shared" si="145"/>
      </c>
      <c r="X792" s="11" t="s">
        <f t="shared" si="138"/>
      </c>
    </row>
    <row r="793" ht="12.50" customHeight="true">
      <c r="A793" s="10"/>
      <c r="B793" s="11"/>
      <c r="C793" s="11"/>
      <c r="D793" s="11"/>
      <c r="E793" s="11"/>
      <c r="F793" s="11"/>
      <c r="G793" s="11"/>
      <c r="H793" s="11"/>
      <c r="I793" s="11"/>
      <c r="J793" s="11"/>
      <c r="K793" s="11" t="s">
        <f>""</f>
      </c>
      <c r="L793" s="11" t="s">
        <f t="shared" si="143"/>
      </c>
      <c r="M793" s="8" t="s">
        <f t="shared" si="141"/>
      </c>
      <c r="N793" s="11"/>
      <c r="O793" s="10">
        <f ref="O793:P793" t="shared" si="34">A793</f>
        <v>0</v>
      </c>
      <c r="P793" s="11">
        <f t="shared" si="34"/>
        <v>0</v>
      </c>
      <c r="Q793" s="11" t="s">
        <f t="shared" si="144"/>
      </c>
      <c r="R793" s="11">
        <f t="shared" si="139"/>
        <v>0</v>
      </c>
      <c r="S793" s="11">
        <f ref="S793:U793" t="shared" si="35">E793</f>
        <v>0</v>
      </c>
      <c r="T793" s="11">
        <f t="shared" si="35"/>
        <v>0</v>
      </c>
      <c r="U793" s="11">
        <f t="shared" si="35"/>
        <v>0</v>
      </c>
      <c r="V793" s="11">
        <f t="shared" si="146"/>
      </c>
      <c r="W793" s="11" t="s">
        <f t="shared" si="145"/>
      </c>
      <c r="X793" s="11" t="s">
        <f t="shared" si="138"/>
      </c>
    </row>
    <row r="794" ht="12.50" customHeight="true">
      <c r="A794" s="10"/>
      <c r="B794" s="11"/>
      <c r="C794" s="11"/>
      <c r="D794" s="11"/>
      <c r="E794" s="11"/>
      <c r="F794" s="11"/>
      <c r="G794" s="11"/>
      <c r="H794" s="11"/>
      <c r="I794" s="11"/>
      <c r="J794" s="11"/>
      <c r="K794" s="11" t="s">
        <f>""</f>
      </c>
      <c r="L794" s="11" t="s">
        <f t="shared" si="143"/>
      </c>
      <c r="M794" s="8" t="s">
        <f t="shared" si="141"/>
      </c>
      <c r="N794" s="11"/>
      <c r="O794" s="10">
        <f ref="O794:P794" t="shared" si="811">A794</f>
        <v>0</v>
      </c>
      <c r="P794" s="11">
        <f t="shared" si="811"/>
        <v>0</v>
      </c>
      <c r="Q794" s="11" t="s">
        <f t="shared" si="144"/>
      </c>
      <c r="R794" s="11">
        <f t="shared" si="139"/>
        <v>0</v>
      </c>
      <c r="S794" s="11">
        <f ref="S794:U794" t="shared" si="810">E794</f>
        <v>0</v>
      </c>
      <c r="T794" s="11">
        <f t="shared" si="810"/>
        <v>0</v>
      </c>
      <c r="U794" s="11">
        <f t="shared" si="810"/>
        <v>0</v>
      </c>
      <c r="V794" s="11">
        <f t="shared" si="146"/>
      </c>
      <c r="W794" s="11" t="s">
        <f t="shared" si="145"/>
      </c>
      <c r="X794" s="11" t="s">
        <f t="shared" si="138"/>
      </c>
    </row>
    <row r="795" ht="12.50" customHeight="true">
      <c r="A795" s="10"/>
      <c r="B795" s="11"/>
      <c r="C795" s="11"/>
      <c r="D795" s="11"/>
      <c r="E795" s="11"/>
      <c r="F795" s="11"/>
      <c r="G795" s="11"/>
      <c r="H795" s="11"/>
      <c r="I795" s="11"/>
      <c r="J795" s="11"/>
      <c r="K795" s="11" t="s">
        <f>""</f>
      </c>
      <c r="L795" s="11" t="s">
        <f t="shared" si="143"/>
      </c>
      <c r="M795" s="8" t="s">
        <f t="shared" si="141"/>
      </c>
      <c r="N795" s="11"/>
      <c r="O795" s="10">
        <f ref="O795:P795" t="shared" si="758">A795</f>
        <v>0</v>
      </c>
      <c r="P795" s="11">
        <f t="shared" si="758"/>
        <v>0</v>
      </c>
      <c r="Q795" s="11" t="s">
        <f t="shared" si="144"/>
      </c>
      <c r="R795" s="11">
        <f t="shared" si="139"/>
        <v>0</v>
      </c>
      <c r="S795" s="11">
        <f ref="S795:U795" t="shared" si="759">E795</f>
        <v>0</v>
      </c>
      <c r="T795" s="11">
        <f t="shared" si="759"/>
        <v>0</v>
      </c>
      <c r="U795" s="11">
        <f t="shared" si="759"/>
        <v>0</v>
      </c>
      <c r="V795" s="11">
        <f t="shared" si="146"/>
      </c>
      <c r="W795" s="11" t="s">
        <f t="shared" si="145"/>
      </c>
      <c r="X795" s="11" t="s">
        <f t="shared" si="138"/>
      </c>
    </row>
    <row r="796" ht="12.50" customHeight="true">
      <c r="A796" s="10"/>
      <c r="B796" s="11"/>
      <c r="C796" s="11"/>
      <c r="D796" s="11"/>
      <c r="E796" s="11"/>
      <c r="F796" s="11"/>
      <c r="G796" s="11"/>
      <c r="H796" s="11"/>
      <c r="I796" s="11"/>
      <c r="J796" s="11"/>
      <c r="K796" s="11" t="s">
        <f>""</f>
      </c>
      <c r="L796" s="11" t="s">
        <f t="shared" si="143"/>
      </c>
      <c r="M796" s="8" t="s">
        <f t="shared" si="141"/>
      </c>
      <c r="N796" s="11"/>
      <c r="O796" s="10">
        <f ref="O796:P796" t="shared" si="1970">A796</f>
        <v>0</v>
      </c>
      <c r="P796" s="11">
        <f t="shared" si="1970"/>
        <v>0</v>
      </c>
      <c r="Q796" s="11" t="s">
        <f t="shared" si="144"/>
      </c>
      <c r="R796" s="11">
        <f t="shared" si="139"/>
        <v>0</v>
      </c>
      <c r="S796" s="11">
        <f ref="S796:U796" t="shared" si="1971">E796</f>
        <v>0</v>
      </c>
      <c r="T796" s="11">
        <f t="shared" si="1971"/>
        <v>0</v>
      </c>
      <c r="U796" s="11">
        <f t="shared" si="1971"/>
        <v>0</v>
      </c>
      <c r="V796" s="11">
        <f t="shared" si="146"/>
      </c>
      <c r="W796" s="11" t="s">
        <f t="shared" si="145"/>
      </c>
      <c r="X796" s="11" t="s">
        <f t="shared" si="138"/>
      </c>
    </row>
    <row r="797" ht="12.50" customHeight="true">
      <c r="A797" s="10"/>
      <c r="B797" s="11"/>
      <c r="C797" s="11"/>
      <c r="D797" s="11"/>
      <c r="E797" s="11"/>
      <c r="F797" s="11"/>
      <c r="G797" s="11"/>
      <c r="H797" s="11"/>
      <c r="I797" s="11"/>
      <c r="J797" s="11"/>
      <c r="K797" s="11" t="s">
        <f>""</f>
      </c>
      <c r="L797" s="11" t="s">
        <f t="shared" si="143"/>
      </c>
      <c r="M797" s="8" t="s">
        <f t="shared" si="141"/>
      </c>
      <c r="N797" s="11"/>
      <c r="O797" s="10">
        <f ref="O797:P797" t="shared" si="876">A797</f>
        <v>0</v>
      </c>
      <c r="P797" s="11">
        <f t="shared" si="876"/>
        <v>0</v>
      </c>
      <c r="Q797" s="11" t="s">
        <f t="shared" si="144"/>
      </c>
      <c r="R797" s="11">
        <f t="shared" si="139"/>
        <v>0</v>
      </c>
      <c r="S797" s="11">
        <f ref="S797:U797" t="shared" si="877">E797</f>
        <v>0</v>
      </c>
      <c r="T797" s="11">
        <f t="shared" si="877"/>
        <v>0</v>
      </c>
      <c r="U797" s="11">
        <f t="shared" si="877"/>
        <v>0</v>
      </c>
      <c r="V797" s="11">
        <f t="shared" si="146"/>
      </c>
      <c r="W797" s="11" t="s">
        <f t="shared" si="145"/>
      </c>
      <c r="X797" s="11" t="s">
        <f t="shared" si="138"/>
      </c>
    </row>
    <row r="798" ht="12.50" customHeight="true">
      <c r="A798" s="10"/>
      <c r="B798" s="11"/>
      <c r="C798" s="11"/>
      <c r="D798" s="11"/>
      <c r="E798" s="11"/>
      <c r="F798" s="11"/>
      <c r="G798" s="11"/>
      <c r="H798" s="11"/>
      <c r="I798" s="11"/>
      <c r="J798" s="11"/>
      <c r="K798" s="11" t="s">
        <f>""</f>
      </c>
      <c r="L798" s="11" t="s">
        <f t="shared" si="143"/>
      </c>
      <c r="M798" s="8" t="s">
        <f t="shared" si="141"/>
      </c>
      <c r="N798" s="11"/>
      <c r="O798" s="10">
        <f ref="O798:P798" t="shared" si="1189">A798</f>
        <v>0</v>
      </c>
      <c r="P798" s="11">
        <f t="shared" si="1189"/>
        <v>0</v>
      </c>
      <c r="Q798" s="11" t="s">
        <f t="shared" si="144"/>
      </c>
      <c r="R798" s="11">
        <f t="shared" si="139"/>
        <v>0</v>
      </c>
      <c r="S798" s="11">
        <f ref="S798:U798" t="shared" si="1190">E798</f>
        <v>0</v>
      </c>
      <c r="T798" s="11">
        <f t="shared" si="1190"/>
        <v>0</v>
      </c>
      <c r="U798" s="11">
        <f t="shared" si="1190"/>
        <v>0</v>
      </c>
      <c r="V798" s="11">
        <f t="shared" si="146"/>
      </c>
      <c r="W798" s="11" t="s">
        <f t="shared" si="145"/>
      </c>
      <c r="X798" s="11" t="s">
        <f t="shared" si="138"/>
      </c>
    </row>
    <row r="799" ht="12.50" customHeight="true">
      <c r="A799" s="10"/>
      <c r="B799" s="11"/>
      <c r="C799" s="11"/>
      <c r="D799" s="11"/>
      <c r="E799" s="11"/>
      <c r="F799" s="11"/>
      <c r="G799" s="11"/>
      <c r="H799" s="11"/>
      <c r="I799" s="11"/>
      <c r="J799" s="11"/>
      <c r="K799" s="11" t="s">
        <f>""</f>
      </c>
      <c r="L799" s="11" t="s">
        <f t="shared" si="143"/>
      </c>
      <c r="M799" s="8" t="s">
        <f t="shared" si="141"/>
      </c>
      <c r="N799" s="11"/>
      <c r="O799" s="10">
        <f ref="O799:P799" t="shared" si="1950">A799</f>
        <v>0</v>
      </c>
      <c r="P799" s="11">
        <f t="shared" si="1950"/>
        <v>0</v>
      </c>
      <c r="Q799" s="11" t="s">
        <f t="shared" si="144"/>
      </c>
      <c r="R799" s="11">
        <f t="shared" si="139"/>
        <v>0</v>
      </c>
      <c r="S799" s="11">
        <f ref="S799:U799" t="shared" si="1951">E799</f>
        <v>0</v>
      </c>
      <c r="T799" s="11">
        <f t="shared" si="1951"/>
        <v>0</v>
      </c>
      <c r="U799" s="11">
        <f t="shared" si="1951"/>
        <v>0</v>
      </c>
      <c r="V799" s="11">
        <f t="shared" si="146"/>
      </c>
      <c r="W799" s="11" t="s">
        <f t="shared" si="145"/>
      </c>
      <c r="X799" s="11" t="s">
        <f t="shared" si="138"/>
      </c>
    </row>
    <row r="800" ht="12.50" customHeight="true">
      <c r="A800" s="10"/>
      <c r="B800" s="11"/>
      <c r="C800" s="11"/>
      <c r="D800" s="11"/>
      <c r="E800" s="11"/>
      <c r="F800" s="11"/>
      <c r="G800" s="11"/>
      <c r="H800" s="11"/>
      <c r="I800" s="11"/>
      <c r="J800" s="11"/>
      <c r="K800" s="11" t="s">
        <f>""</f>
      </c>
      <c r="L800" s="11" t="s">
        <f t="shared" si="143"/>
      </c>
      <c r="M800" s="8" t="s">
        <f t="shared" si="141"/>
      </c>
      <c r="N800" s="11"/>
      <c r="O800" s="10">
        <f ref="O800:P800" t="shared" si="1877">A800</f>
        <v>0</v>
      </c>
      <c r="P800" s="11">
        <f t="shared" si="1877"/>
        <v>0</v>
      </c>
      <c r="Q800" s="11" t="s">
        <f t="shared" si="144"/>
      </c>
      <c r="R800" s="11">
        <f t="shared" si="139"/>
        <v>0</v>
      </c>
      <c r="S800" s="11">
        <f ref="S800:U800" t="shared" si="1876">E800</f>
        <v>0</v>
      </c>
      <c r="T800" s="11">
        <f t="shared" si="1876"/>
        <v>0</v>
      </c>
      <c r="U800" s="11">
        <f t="shared" si="1876"/>
        <v>0</v>
      </c>
      <c r="V800" s="11">
        <f t="shared" si="146"/>
      </c>
      <c r="W800" s="11" t="s">
        <f t="shared" si="145"/>
      </c>
      <c r="X800" s="11" t="s">
        <f t="shared" si="138"/>
      </c>
    </row>
    <row r="801" ht="12.50" customHeight="true">
      <c r="A801" s="10"/>
      <c r="B801" s="11"/>
      <c r="C801" s="11"/>
      <c r="D801" s="11"/>
      <c r="E801" s="11"/>
      <c r="F801" s="11"/>
      <c r="G801" s="11"/>
      <c r="H801" s="11"/>
      <c r="I801" s="11"/>
      <c r="J801" s="11"/>
      <c r="K801" s="11" t="s">
        <f>""</f>
      </c>
      <c r="L801" s="11" t="s">
        <f t="shared" si="143"/>
      </c>
      <c r="M801" s="8" t="s">
        <f t="shared" si="141"/>
      </c>
      <c r="N801" s="11"/>
      <c r="O801" s="10">
        <f ref="O801:P801" t="shared" si="1463">A801</f>
        <v>0</v>
      </c>
      <c r="P801" s="11">
        <f t="shared" si="1463"/>
        <v>0</v>
      </c>
      <c r="Q801" s="11" t="s">
        <f t="shared" si="144"/>
      </c>
      <c r="R801" s="11">
        <f t="shared" si="139"/>
        <v>0</v>
      </c>
      <c r="S801" s="11">
        <f ref="S801:U801" t="shared" si="1462">E801</f>
        <v>0</v>
      </c>
      <c r="T801" s="11">
        <f t="shared" si="1462"/>
        <v>0</v>
      </c>
      <c r="U801" s="11">
        <f t="shared" si="1462"/>
        <v>0</v>
      </c>
      <c r="V801" s="11">
        <f t="shared" si="146"/>
      </c>
      <c r="W801" s="11" t="s">
        <f t="shared" si="145"/>
      </c>
      <c r="X801" s="11" t="s">
        <f t="shared" si="138"/>
      </c>
    </row>
    <row r="802" ht="12.50" customHeight="true">
      <c r="A802" s="10"/>
      <c r="B802" s="11"/>
      <c r="C802" s="11"/>
      <c r="D802" s="11"/>
      <c r="E802" s="11"/>
      <c r="F802" s="11"/>
      <c r="G802" s="11"/>
      <c r="H802" s="11"/>
      <c r="I802" s="11"/>
      <c r="J802" s="11"/>
      <c r="K802" s="11" t="s">
        <f>""</f>
      </c>
      <c r="L802" s="11" t="s">
        <f t="shared" si="143"/>
      </c>
      <c r="M802" s="8" t="s">
        <f t="shared" si="141"/>
      </c>
      <c r="N802" s="11"/>
      <c r="O802" s="10">
        <f ref="O802:P802" t="shared" si="1583">A802</f>
        <v>0</v>
      </c>
      <c r="P802" s="11">
        <f t="shared" si="1583"/>
        <v>0</v>
      </c>
      <c r="Q802" s="11" t="s">
        <f t="shared" si="144"/>
      </c>
      <c r="R802" s="11">
        <f t="shared" si="139"/>
        <v>0</v>
      </c>
      <c r="S802" s="11">
        <f ref="S802:U802" t="shared" si="1582">E802</f>
        <v>0</v>
      </c>
      <c r="T802" s="11">
        <f t="shared" si="1582"/>
        <v>0</v>
      </c>
      <c r="U802" s="11">
        <f t="shared" si="1582"/>
        <v>0</v>
      </c>
      <c r="V802" s="11">
        <f t="shared" si="146"/>
      </c>
      <c r="W802" s="11" t="s">
        <f t="shared" si="145"/>
      </c>
      <c r="X802" s="11" t="s">
        <f t="shared" si="138"/>
      </c>
    </row>
    <row r="803" ht="12.50" customHeight="true">
      <c r="A803" s="10"/>
      <c r="B803" s="11"/>
      <c r="C803" s="11"/>
      <c r="D803" s="11"/>
      <c r="E803" s="11"/>
      <c r="F803" s="11"/>
      <c r="G803" s="11"/>
      <c r="H803" s="11"/>
      <c r="I803" s="11"/>
      <c r="J803" s="11"/>
      <c r="K803" s="11" t="s">
        <f>""</f>
      </c>
      <c r="L803" s="11" t="s">
        <f t="shared" si="143"/>
      </c>
      <c r="M803" s="8" t="s">
        <f t="shared" si="141"/>
      </c>
      <c r="N803" s="11"/>
      <c r="O803" s="10">
        <f ref="O803:P803" t="shared" si="1302">A803</f>
        <v>0</v>
      </c>
      <c r="P803" s="11">
        <f t="shared" si="1302"/>
        <v>0</v>
      </c>
      <c r="Q803" s="11" t="s">
        <f t="shared" si="144"/>
      </c>
      <c r="R803" s="11">
        <f t="shared" si="139"/>
        <v>0</v>
      </c>
      <c r="S803" s="11">
        <f ref="S803:U803" t="shared" si="1303">E803</f>
        <v>0</v>
      </c>
      <c r="T803" s="11">
        <f t="shared" si="1303"/>
        <v>0</v>
      </c>
      <c r="U803" s="11">
        <f t="shared" si="1303"/>
        <v>0</v>
      </c>
      <c r="V803" s="11">
        <f t="shared" si="146"/>
      </c>
      <c r="W803" s="11" t="s">
        <f t="shared" si="145"/>
      </c>
      <c r="X803" s="11" t="s">
        <f t="shared" si="138"/>
      </c>
    </row>
    <row r="804" ht="12.50" customHeight="true">
      <c r="A804" s="10"/>
      <c r="B804" s="11"/>
      <c r="C804" s="11"/>
      <c r="D804" s="11"/>
      <c r="E804" s="11"/>
      <c r="F804" s="11"/>
      <c r="G804" s="11"/>
      <c r="H804" s="11"/>
      <c r="I804" s="11"/>
      <c r="J804" s="11"/>
      <c r="K804" s="11" t="s">
        <f>""</f>
      </c>
      <c r="L804" s="11" t="s">
        <f t="shared" si="143"/>
      </c>
      <c r="M804" s="8" t="s">
        <f t="shared" si="141"/>
      </c>
      <c r="N804" s="11"/>
      <c r="O804" s="10">
        <f ref="O804:P804" t="shared" si="1398">A804</f>
        <v>0</v>
      </c>
      <c r="P804" s="11">
        <f t="shared" si="1398"/>
        <v>0</v>
      </c>
      <c r="Q804" s="11" t="s">
        <f t="shared" si="144"/>
      </c>
      <c r="R804" s="11">
        <f t="shared" si="139"/>
        <v>0</v>
      </c>
      <c r="S804" s="11">
        <f ref="S804:U804" t="shared" si="1399">E804</f>
        <v>0</v>
      </c>
      <c r="T804" s="11">
        <f t="shared" si="1399"/>
        <v>0</v>
      </c>
      <c r="U804" s="11">
        <f t="shared" si="1399"/>
        <v>0</v>
      </c>
      <c r="V804" s="11">
        <f t="shared" si="146"/>
      </c>
      <c r="W804" s="11" t="s">
        <f t="shared" si="145"/>
      </c>
      <c r="X804" s="11" t="s">
        <f t="shared" si="138"/>
      </c>
    </row>
    <row r="805" ht="12.50" customHeight="true">
      <c r="A805" s="10"/>
      <c r="B805" s="11"/>
      <c r="C805" s="11"/>
      <c r="D805" s="11"/>
      <c r="E805" s="11"/>
      <c r="F805" s="11"/>
      <c r="G805" s="11"/>
      <c r="H805" s="11"/>
      <c r="I805" s="11"/>
      <c r="J805" s="11"/>
      <c r="K805" s="11" t="s">
        <f>""</f>
      </c>
      <c r="L805" s="11" t="s">
        <f t="shared" si="143"/>
      </c>
      <c r="M805" s="8" t="s">
        <f t="shared" si="141"/>
      </c>
      <c r="N805" s="11"/>
      <c r="O805" s="10">
        <f ref="O805:P805" t="shared" si="769">A805</f>
        <v>0</v>
      </c>
      <c r="P805" s="11">
        <f t="shared" si="769"/>
        <v>0</v>
      </c>
      <c r="Q805" s="11" t="s">
        <f t="shared" si="144"/>
      </c>
      <c r="R805" s="11">
        <f t="shared" si="139"/>
        <v>0</v>
      </c>
      <c r="S805" s="11">
        <f ref="S805:U805" t="shared" si="768">E805</f>
        <v>0</v>
      </c>
      <c r="T805" s="11">
        <f t="shared" si="768"/>
        <v>0</v>
      </c>
      <c r="U805" s="11">
        <f t="shared" si="768"/>
        <v>0</v>
      </c>
      <c r="V805" s="11">
        <f t="shared" si="146"/>
      </c>
      <c r="W805" s="11" t="s">
        <f t="shared" si="145"/>
      </c>
      <c r="X805" s="11" t="s">
        <f t="shared" si="138"/>
      </c>
    </row>
    <row r="806" ht="12.50" customHeight="true">
      <c r="A806" s="10"/>
      <c r="B806" s="11"/>
      <c r="C806" s="11"/>
      <c r="D806" s="11"/>
      <c r="E806" s="11"/>
      <c r="F806" s="11"/>
      <c r="G806" s="11"/>
      <c r="H806" s="11"/>
      <c r="I806" s="11"/>
      <c r="J806" s="11"/>
      <c r="K806" s="11" t="s">
        <f>""</f>
      </c>
      <c r="L806" s="11" t="s">
        <f t="shared" si="143"/>
      </c>
      <c r="M806" s="8" t="s">
        <f t="shared" si="141"/>
      </c>
      <c r="N806" s="11"/>
      <c r="O806" s="10">
        <f ref="O806:P806" t="shared" si="1407">A806</f>
        <v>0</v>
      </c>
      <c r="P806" s="11">
        <f t="shared" si="1407"/>
        <v>0</v>
      </c>
      <c r="Q806" s="11" t="s">
        <f t="shared" si="144"/>
      </c>
      <c r="R806" s="11">
        <f t="shared" si="139"/>
        <v>0</v>
      </c>
      <c r="S806" s="11">
        <f ref="S806:U806" t="shared" si="1406">E806</f>
        <v>0</v>
      </c>
      <c r="T806" s="11">
        <f t="shared" si="1406"/>
        <v>0</v>
      </c>
      <c r="U806" s="11">
        <f t="shared" si="1406"/>
        <v>0</v>
      </c>
      <c r="V806" s="11">
        <f t="shared" si="146"/>
      </c>
      <c r="W806" s="11" t="s">
        <f t="shared" si="145"/>
      </c>
      <c r="X806" s="11" t="s">
        <f t="shared" si="138"/>
      </c>
    </row>
    <row r="807" ht="12.50" customHeight="true">
      <c r="A807" s="10"/>
      <c r="B807" s="11"/>
      <c r="C807" s="11"/>
      <c r="D807" s="11"/>
      <c r="E807" s="11"/>
      <c r="F807" s="11"/>
      <c r="G807" s="11"/>
      <c r="H807" s="11"/>
      <c r="I807" s="11"/>
      <c r="J807" s="11"/>
      <c r="K807" s="11" t="s">
        <f>""</f>
      </c>
      <c r="L807" s="11" t="s">
        <f t="shared" si="143"/>
      </c>
      <c r="M807" s="8" t="s">
        <f t="shared" si="141"/>
      </c>
      <c r="N807" s="11"/>
      <c r="O807" s="10">
        <f ref="O807:P807" t="shared" si="171">A807</f>
        <v>0</v>
      </c>
      <c r="P807" s="11">
        <f t="shared" si="171"/>
        <v>0</v>
      </c>
      <c r="Q807" s="11" t="s">
        <f t="shared" si="144"/>
      </c>
      <c r="R807" s="11">
        <f t="shared" si="139"/>
        <v>0</v>
      </c>
      <c r="S807" s="11">
        <f ref="S807:U807" t="shared" si="172">E807</f>
        <v>0</v>
      </c>
      <c r="T807" s="11">
        <f t="shared" si="172"/>
        <v>0</v>
      </c>
      <c r="U807" s="11">
        <f t="shared" si="172"/>
        <v>0</v>
      </c>
      <c r="V807" s="11">
        <f t="shared" si="146"/>
      </c>
      <c r="W807" s="11" t="s">
        <f t="shared" si="145"/>
      </c>
      <c r="X807" s="11" t="s">
        <f t="shared" si="138"/>
      </c>
    </row>
    <row r="808" ht="12.50" customHeight="true">
      <c r="A808" s="10"/>
      <c r="B808" s="11"/>
      <c r="C808" s="11"/>
      <c r="D808" s="11"/>
      <c r="E808" s="11"/>
      <c r="F808" s="11"/>
      <c r="G808" s="11"/>
      <c r="H808" s="11"/>
      <c r="I808" s="11"/>
      <c r="J808" s="11"/>
      <c r="K808" s="11" t="s">
        <f>""</f>
      </c>
      <c r="L808" s="11" t="s">
        <f t="shared" si="143"/>
      </c>
      <c r="M808" s="8" t="s">
        <f t="shared" si="141"/>
      </c>
      <c r="N808" s="11"/>
      <c r="O808" s="10">
        <f ref="O808:P808" t="shared" si="1824">A808</f>
        <v>0</v>
      </c>
      <c r="P808" s="11">
        <f t="shared" si="1824"/>
        <v>0</v>
      </c>
      <c r="Q808" s="11" t="s">
        <f t="shared" si="144"/>
      </c>
      <c r="R808" s="11">
        <f t="shared" si="139"/>
        <v>0</v>
      </c>
      <c r="S808" s="11">
        <f ref="S808:U808" t="shared" si="1825">E808</f>
        <v>0</v>
      </c>
      <c r="T808" s="11">
        <f t="shared" si="1825"/>
        <v>0</v>
      </c>
      <c r="U808" s="11">
        <f t="shared" si="1825"/>
        <v>0</v>
      </c>
      <c r="V808" s="11">
        <f t="shared" si="146"/>
      </c>
      <c r="W808" s="11" t="s">
        <f t="shared" si="145"/>
      </c>
      <c r="X808" s="11" t="s">
        <f t="shared" si="138"/>
      </c>
    </row>
    <row r="809" ht="12.50" customHeight="true">
      <c r="A809" s="10"/>
      <c r="B809" s="11"/>
      <c r="C809" s="11"/>
      <c r="D809" s="11"/>
      <c r="E809" s="11"/>
      <c r="F809" s="11"/>
      <c r="G809" s="11"/>
      <c r="H809" s="11"/>
      <c r="I809" s="11"/>
      <c r="J809" s="11"/>
      <c r="K809" s="11" t="s">
        <f>""</f>
      </c>
      <c r="L809" s="11" t="s">
        <f t="shared" si="143"/>
      </c>
      <c r="M809" s="8" t="s">
        <f t="shared" si="141"/>
      </c>
      <c r="N809" s="11"/>
      <c r="O809" s="10">
        <f ref="O809:P809" t="shared" si="1795">A809</f>
        <v>0</v>
      </c>
      <c r="P809" s="11">
        <f t="shared" si="1795"/>
        <v>0</v>
      </c>
      <c r="Q809" s="11" t="s">
        <f t="shared" si="144"/>
      </c>
      <c r="R809" s="11">
        <f t="shared" si="139"/>
        <v>0</v>
      </c>
      <c r="S809" s="11">
        <f ref="S809:U809" t="shared" si="1794">E809</f>
        <v>0</v>
      </c>
      <c r="T809" s="11">
        <f t="shared" si="1794"/>
        <v>0</v>
      </c>
      <c r="U809" s="11">
        <f t="shared" si="1794"/>
        <v>0</v>
      </c>
      <c r="V809" s="11">
        <f t="shared" si="146"/>
      </c>
      <c r="W809" s="11" t="s">
        <f t="shared" si="145"/>
      </c>
      <c r="X809" s="11" t="s">
        <f t="shared" si="138"/>
      </c>
    </row>
    <row r="810" ht="12.50" customHeight="true">
      <c r="A810" s="10"/>
      <c r="B810" s="11"/>
      <c r="C810" s="11"/>
      <c r="D810" s="11"/>
      <c r="E810" s="11"/>
      <c r="F810" s="11"/>
      <c r="G810" s="11"/>
      <c r="H810" s="11"/>
      <c r="I810" s="11"/>
      <c r="J810" s="11"/>
      <c r="K810" s="11" t="s">
        <f>""</f>
      </c>
      <c r="L810" s="11" t="s">
        <f t="shared" si="143"/>
      </c>
      <c r="M810" s="8" t="s">
        <f t="shared" si="141"/>
      </c>
      <c r="N810" s="11"/>
      <c r="O810" s="10">
        <f ref="O810:P810" t="shared" si="582">A810</f>
        <v>0</v>
      </c>
      <c r="P810" s="11">
        <f t="shared" si="582"/>
        <v>0</v>
      </c>
      <c r="Q810" s="11" t="s">
        <f t="shared" si="144"/>
      </c>
      <c r="R810" s="11">
        <f t="shared" si="139"/>
        <v>0</v>
      </c>
      <c r="S810" s="11">
        <f ref="S810:U810" t="shared" si="583">E810</f>
        <v>0</v>
      </c>
      <c r="T810" s="11">
        <f t="shared" si="583"/>
        <v>0</v>
      </c>
      <c r="U810" s="11">
        <f t="shared" si="583"/>
        <v>0</v>
      </c>
      <c r="V810" s="11">
        <f t="shared" si="146"/>
      </c>
      <c r="W810" s="11" t="s">
        <f t="shared" si="145"/>
      </c>
      <c r="X810" s="11" t="s">
        <f t="shared" si="138"/>
      </c>
    </row>
    <row r="811" ht="12.50" customHeight="true">
      <c r="A811" s="10"/>
      <c r="B811" s="11"/>
      <c r="C811" s="11"/>
      <c r="D811" s="11"/>
      <c r="E811" s="11"/>
      <c r="F811" s="11"/>
      <c r="G811" s="11"/>
      <c r="H811" s="11"/>
      <c r="I811" s="11"/>
      <c r="J811" s="11"/>
      <c r="K811" s="11" t="s">
        <f>""</f>
      </c>
      <c r="L811" s="11" t="s">
        <f t="shared" si="143"/>
      </c>
      <c r="M811" s="8" t="s">
        <f t="shared" si="141"/>
      </c>
      <c r="N811" s="11"/>
      <c r="O811" s="10">
        <f ref="O811:P811" t="shared" si="1818">A811</f>
        <v>0</v>
      </c>
      <c r="P811" s="11">
        <f t="shared" si="1818"/>
        <v>0</v>
      </c>
      <c r="Q811" s="11" t="s">
        <f t="shared" si="144"/>
      </c>
      <c r="R811" s="11">
        <f t="shared" si="139"/>
        <v>0</v>
      </c>
      <c r="S811" s="11">
        <f ref="S811:U811" t="shared" si="1819">E811</f>
        <v>0</v>
      </c>
      <c r="T811" s="11">
        <f t="shared" si="1819"/>
        <v>0</v>
      </c>
      <c r="U811" s="11">
        <f t="shared" si="1819"/>
        <v>0</v>
      </c>
      <c r="V811" s="11">
        <f t="shared" si="146"/>
      </c>
      <c r="W811" s="11" t="s">
        <f t="shared" si="145"/>
      </c>
      <c r="X811" s="11" t="s">
        <f t="shared" si="138"/>
      </c>
    </row>
    <row r="812" ht="12.50" customHeight="true">
      <c r="A812" s="10"/>
      <c r="B812" s="11"/>
      <c r="C812" s="11"/>
      <c r="D812" s="11"/>
      <c r="E812" s="11"/>
      <c r="F812" s="11"/>
      <c r="G812" s="11"/>
      <c r="H812" s="11"/>
      <c r="I812" s="11"/>
      <c r="J812" s="11"/>
      <c r="K812" s="11" t="s">
        <f>""</f>
      </c>
      <c r="L812" s="11" t="s">
        <f t="shared" si="143"/>
      </c>
      <c r="M812" s="8" t="s">
        <f t="shared" si="141"/>
      </c>
      <c r="N812" s="11"/>
      <c r="O812" s="10">
        <f ref="O812:P812" t="shared" si="1332">A812</f>
        <v>0</v>
      </c>
      <c r="P812" s="11">
        <f t="shared" si="1332"/>
        <v>0</v>
      </c>
      <c r="Q812" s="11" t="s">
        <f t="shared" si="144"/>
      </c>
      <c r="R812" s="11">
        <f t="shared" si="139"/>
        <v>0</v>
      </c>
      <c r="S812" s="11">
        <f ref="S812:U812" t="shared" si="1333">E812</f>
        <v>0</v>
      </c>
      <c r="T812" s="11">
        <f t="shared" si="1333"/>
        <v>0</v>
      </c>
      <c r="U812" s="11">
        <f t="shared" si="1333"/>
        <v>0</v>
      </c>
      <c r="V812" s="11">
        <f t="shared" si="146"/>
      </c>
      <c r="W812" s="11" t="s">
        <f t="shared" si="145"/>
      </c>
      <c r="X812" s="11" t="s">
        <f t="shared" si="138"/>
      </c>
    </row>
    <row r="813" ht="12.50" customHeight="true">
      <c r="A813" s="10"/>
      <c r="B813" s="11"/>
      <c r="C813" s="11"/>
      <c r="D813" s="11"/>
      <c r="E813" s="11"/>
      <c r="F813" s="11"/>
      <c r="G813" s="11"/>
      <c r="H813" s="11"/>
      <c r="I813" s="11"/>
      <c r="J813" s="11"/>
      <c r="K813" s="11" t="s">
        <f>""</f>
      </c>
      <c r="L813" s="11" t="s">
        <f t="shared" si="143"/>
      </c>
      <c r="M813" s="8" t="s">
        <f t="shared" si="141"/>
      </c>
      <c r="N813" s="11"/>
      <c r="O813" s="10">
        <f ref="O813:P813" t="shared" si="11">A813</f>
        <v>0</v>
      </c>
      <c r="P813" s="11">
        <f t="shared" si="11"/>
        <v>0</v>
      </c>
      <c r="Q813" s="11" t="s">
        <f t="shared" si="144"/>
      </c>
      <c r="R813" s="11">
        <f t="shared" si="139"/>
        <v>0</v>
      </c>
      <c r="S813" s="11">
        <f ref="S813:U813" t="shared" si="10">E813</f>
        <v>0</v>
      </c>
      <c r="T813" s="11">
        <f t="shared" si="10"/>
        <v>0</v>
      </c>
      <c r="U813" s="11">
        <f t="shared" si="10"/>
        <v>0</v>
      </c>
      <c r="V813" s="11">
        <f t="shared" si="146"/>
      </c>
      <c r="W813" s="11" t="s">
        <f t="shared" si="145"/>
      </c>
      <c r="X813" s="11" t="s">
        <f t="shared" si="138"/>
      </c>
    </row>
    <row r="814" ht="12.50" customHeight="true">
      <c r="A814" s="10"/>
      <c r="B814" s="11"/>
      <c r="C814" s="11"/>
      <c r="D814" s="11"/>
      <c r="E814" s="11"/>
      <c r="F814" s="11"/>
      <c r="G814" s="11"/>
      <c r="H814" s="11"/>
      <c r="I814" s="11"/>
      <c r="J814" s="11"/>
      <c r="K814" s="11" t="s">
        <f>""</f>
      </c>
      <c r="L814" s="11" t="s">
        <f t="shared" si="143"/>
      </c>
      <c r="M814" s="8" t="s">
        <f t="shared" si="141"/>
      </c>
      <c r="N814" s="11"/>
      <c r="O814" s="10">
        <f ref="O814:P814" t="shared" si="638">A814</f>
        <v>0</v>
      </c>
      <c r="P814" s="11">
        <f t="shared" si="638"/>
        <v>0</v>
      </c>
      <c r="Q814" s="11" t="s">
        <f t="shared" si="144"/>
      </c>
      <c r="R814" s="11">
        <f t="shared" si="139"/>
        <v>0</v>
      </c>
      <c r="S814" s="11">
        <f ref="S814:U814" t="shared" si="639">E814</f>
        <v>0</v>
      </c>
      <c r="T814" s="11">
        <f t="shared" si="639"/>
        <v>0</v>
      </c>
      <c r="U814" s="11">
        <f t="shared" si="639"/>
        <v>0</v>
      </c>
      <c r="V814" s="11">
        <f t="shared" si="146"/>
      </c>
      <c r="W814" s="11" t="s">
        <f t="shared" si="145"/>
      </c>
      <c r="X814" s="11" t="s">
        <f t="shared" si="138"/>
      </c>
    </row>
    <row r="815" ht="12.50" customHeight="true">
      <c r="A815" s="10"/>
      <c r="B815" s="11"/>
      <c r="C815" s="11"/>
      <c r="D815" s="11"/>
      <c r="E815" s="11"/>
      <c r="F815" s="11"/>
      <c r="G815" s="11"/>
      <c r="H815" s="11"/>
      <c r="I815" s="11"/>
      <c r="J815" s="11"/>
      <c r="K815" s="11" t="s">
        <f>""</f>
      </c>
      <c r="L815" s="11" t="s">
        <f t="shared" si="143"/>
      </c>
      <c r="M815" s="8" t="s">
        <f t="shared" si="141"/>
      </c>
      <c r="N815" s="11"/>
      <c r="O815" s="10">
        <f ref="O815:P815" t="shared" si="462">A815</f>
        <v>0</v>
      </c>
      <c r="P815" s="11">
        <f t="shared" si="462"/>
        <v>0</v>
      </c>
      <c r="Q815" s="11" t="s">
        <f t="shared" si="144"/>
      </c>
      <c r="R815" s="11">
        <f t="shared" si="139"/>
        <v>0</v>
      </c>
      <c r="S815" s="11">
        <f ref="S815:U815" t="shared" si="463">E815</f>
        <v>0</v>
      </c>
      <c r="T815" s="11">
        <f t="shared" si="463"/>
        <v>0</v>
      </c>
      <c r="U815" s="11">
        <f t="shared" si="463"/>
        <v>0</v>
      </c>
      <c r="V815" s="11">
        <f t="shared" si="146"/>
      </c>
      <c r="W815" s="11" t="s">
        <f t="shared" si="145"/>
      </c>
      <c r="X815" s="11" t="s">
        <f t="shared" si="138"/>
      </c>
    </row>
    <row r="816" ht="12.50" customHeight="true">
      <c r="A816" s="10"/>
      <c r="B816" s="11"/>
      <c r="C816" s="11"/>
      <c r="D816" s="11"/>
      <c r="E816" s="11"/>
      <c r="F816" s="11"/>
      <c r="G816" s="11"/>
      <c r="H816" s="11"/>
      <c r="I816" s="11"/>
      <c r="J816" s="11"/>
      <c r="K816" s="11" t="s">
        <f>""</f>
      </c>
      <c r="L816" s="11" t="s">
        <f t="shared" si="143"/>
      </c>
      <c r="M816" s="8" t="s">
        <f t="shared" si="141"/>
      </c>
      <c r="N816" s="11"/>
      <c r="O816" s="10">
        <f ref="O816:P816" t="shared" si="370">A816</f>
        <v>0</v>
      </c>
      <c r="P816" s="11">
        <f t="shared" si="370"/>
        <v>0</v>
      </c>
      <c r="Q816" s="11" t="s">
        <f t="shared" si="144"/>
      </c>
      <c r="R816" s="11">
        <f t="shared" si="139"/>
        <v>0</v>
      </c>
      <c r="S816" s="11">
        <f ref="S816:U816" t="shared" si="371">E816</f>
        <v>0</v>
      </c>
      <c r="T816" s="11">
        <f t="shared" si="371"/>
        <v>0</v>
      </c>
      <c r="U816" s="11">
        <f t="shared" si="371"/>
        <v>0</v>
      </c>
      <c r="V816" s="11">
        <f t="shared" si="146"/>
      </c>
      <c r="W816" s="11" t="s">
        <f t="shared" si="145"/>
      </c>
      <c r="X816" s="11" t="s">
        <f t="shared" si="138"/>
      </c>
    </row>
    <row r="817" ht="12.50" customHeight="true">
      <c r="A817" s="10"/>
      <c r="B817" s="11"/>
      <c r="C817" s="11"/>
      <c r="D817" s="11"/>
      <c r="E817" s="11"/>
      <c r="F817" s="11"/>
      <c r="G817" s="11"/>
      <c r="H817" s="11"/>
      <c r="I817" s="11"/>
      <c r="J817" s="11"/>
      <c r="K817" s="11" t="s">
        <f>""</f>
      </c>
      <c r="L817" s="11" t="s">
        <f t="shared" si="143"/>
      </c>
      <c r="M817" s="8" t="s">
        <f t="shared" si="141"/>
      </c>
      <c r="N817" s="11"/>
      <c r="O817" s="10">
        <f ref="O817:P817" t="shared" si="1141">A817</f>
        <v>0</v>
      </c>
      <c r="P817" s="11">
        <f t="shared" si="1141"/>
        <v>0</v>
      </c>
      <c r="Q817" s="11" t="s">
        <f t="shared" si="144"/>
      </c>
      <c r="R817" s="11">
        <f t="shared" si="139"/>
        <v>0</v>
      </c>
      <c r="S817" s="11">
        <f ref="S817:U817" t="shared" si="1142">E817</f>
        <v>0</v>
      </c>
      <c r="T817" s="11">
        <f t="shared" si="1142"/>
        <v>0</v>
      </c>
      <c r="U817" s="11">
        <f t="shared" si="1142"/>
        <v>0</v>
      </c>
      <c r="V817" s="11">
        <f t="shared" si="146"/>
      </c>
      <c r="W817" s="11" t="s">
        <f t="shared" si="145"/>
      </c>
      <c r="X817" s="11" t="s">
        <f t="shared" si="138"/>
      </c>
    </row>
    <row r="818" ht="12.50" customHeight="true">
      <c r="A818" s="10"/>
      <c r="B818" s="11"/>
      <c r="C818" s="11"/>
      <c r="D818" s="11"/>
      <c r="E818" s="11"/>
      <c r="F818" s="11"/>
      <c r="G818" s="11"/>
      <c r="H818" s="11"/>
      <c r="I818" s="11"/>
      <c r="J818" s="11"/>
      <c r="K818" s="11" t="s">
        <f>""</f>
      </c>
      <c r="L818" s="11" t="s">
        <f t="shared" si="143"/>
      </c>
      <c r="M818" s="8" t="s">
        <f t="shared" si="141"/>
      </c>
      <c r="N818" s="11"/>
      <c r="O818" s="10">
        <f ref="O818:P818" t="shared" si="1450">A818</f>
        <v>0</v>
      </c>
      <c r="P818" s="11">
        <f t="shared" si="1450"/>
        <v>0</v>
      </c>
      <c r="Q818" s="11" t="s">
        <f t="shared" si="144"/>
      </c>
      <c r="R818" s="11">
        <f t="shared" si="139"/>
        <v>0</v>
      </c>
      <c r="S818" s="11">
        <f ref="S818:U818" t="shared" si="1451">E818</f>
        <v>0</v>
      </c>
      <c r="T818" s="11">
        <f t="shared" si="1451"/>
        <v>0</v>
      </c>
      <c r="U818" s="11">
        <f t="shared" si="1451"/>
        <v>0</v>
      </c>
      <c r="V818" s="11">
        <f t="shared" si="146"/>
      </c>
      <c r="W818" s="11" t="s">
        <f t="shared" si="145"/>
      </c>
      <c r="X818" s="11" t="s">
        <f t="shared" si="138"/>
      </c>
    </row>
    <row r="819" ht="12.50" customHeight="true">
      <c r="A819" s="10"/>
      <c r="B819" s="11"/>
      <c r="C819" s="11"/>
      <c r="D819" s="11"/>
      <c r="E819" s="11"/>
      <c r="F819" s="11"/>
      <c r="G819" s="11"/>
      <c r="H819" s="11"/>
      <c r="I819" s="11"/>
      <c r="J819" s="11"/>
      <c r="K819" s="11" t="s">
        <f>""</f>
      </c>
      <c r="L819" s="11" t="s">
        <f t="shared" si="143"/>
      </c>
      <c r="M819" s="8" t="s">
        <f t="shared" si="141"/>
      </c>
      <c r="N819" s="11"/>
      <c r="O819" s="10">
        <f ref="O819:P819" t="shared" si="1759">A819</f>
        <v>0</v>
      </c>
      <c r="P819" s="11">
        <f t="shared" si="1759"/>
        <v>0</v>
      </c>
      <c r="Q819" s="11" t="s">
        <f t="shared" si="144"/>
      </c>
      <c r="R819" s="11">
        <f t="shared" si="139"/>
        <v>0</v>
      </c>
      <c r="S819" s="11">
        <f ref="S819:U819" t="shared" si="1758">E819</f>
        <v>0</v>
      </c>
      <c r="T819" s="11">
        <f t="shared" si="1758"/>
        <v>0</v>
      </c>
      <c r="U819" s="11">
        <f t="shared" si="1758"/>
        <v>0</v>
      </c>
      <c r="V819" s="11">
        <f t="shared" si="146"/>
      </c>
      <c r="W819" s="11" t="s">
        <f t="shared" si="145"/>
      </c>
      <c r="X819" s="11" t="s">
        <f t="shared" si="138"/>
      </c>
    </row>
    <row r="820" ht="12.50" customHeight="true">
      <c r="A820" s="10"/>
      <c r="B820" s="11"/>
      <c r="C820" s="11"/>
      <c r="D820" s="11"/>
      <c r="E820" s="11"/>
      <c r="F820" s="11"/>
      <c r="G820" s="11"/>
      <c r="H820" s="11"/>
      <c r="I820" s="11"/>
      <c r="J820" s="11"/>
      <c r="K820" s="11" t="s">
        <f>""</f>
      </c>
      <c r="L820" s="11" t="s">
        <f t="shared" si="143"/>
      </c>
      <c r="M820" s="8" t="s">
        <f t="shared" si="141"/>
      </c>
      <c r="N820" s="11"/>
      <c r="O820" s="10">
        <f ref="O820:P820" t="shared" si="545">A820</f>
        <v>0</v>
      </c>
      <c r="P820" s="11">
        <f t="shared" si="545"/>
        <v>0</v>
      </c>
      <c r="Q820" s="11" t="s">
        <f t="shared" si="144"/>
      </c>
      <c r="R820" s="11">
        <f t="shared" si="139"/>
        <v>0</v>
      </c>
      <c r="S820" s="11">
        <f ref="S820:U820" t="shared" si="544">E820</f>
        <v>0</v>
      </c>
      <c r="T820" s="11">
        <f t="shared" si="544"/>
        <v>0</v>
      </c>
      <c r="U820" s="11">
        <f t="shared" si="544"/>
        <v>0</v>
      </c>
      <c r="V820" s="11">
        <f t="shared" si="146"/>
      </c>
      <c r="W820" s="11" t="s">
        <f t="shared" si="145"/>
      </c>
      <c r="X820" s="11" t="s">
        <f t="shared" si="138"/>
      </c>
    </row>
    <row r="821" ht="12.50" customHeight="true">
      <c r="A821" s="10"/>
      <c r="B821" s="11"/>
      <c r="C821" s="11"/>
      <c r="D821" s="11"/>
      <c r="E821" s="11"/>
      <c r="F821" s="11"/>
      <c r="G821" s="11"/>
      <c r="H821" s="11"/>
      <c r="I821" s="11"/>
      <c r="J821" s="11"/>
      <c r="K821" s="11" t="s">
        <f>""</f>
      </c>
      <c r="L821" s="11" t="s">
        <f t="shared" si="143"/>
      </c>
      <c r="M821" s="8" t="s">
        <f t="shared" si="141"/>
      </c>
      <c r="N821" s="11"/>
      <c r="O821" s="10">
        <f ref="O821:P821" t="shared" si="1655">A821</f>
        <v>0</v>
      </c>
      <c r="P821" s="11">
        <f t="shared" si="1655"/>
        <v>0</v>
      </c>
      <c r="Q821" s="11" t="s">
        <f t="shared" si="144"/>
      </c>
      <c r="R821" s="11">
        <f t="shared" si="139"/>
        <v>0</v>
      </c>
      <c r="S821" s="11">
        <f ref="S821:U821" t="shared" si="1654">E821</f>
        <v>0</v>
      </c>
      <c r="T821" s="11">
        <f t="shared" si="1654"/>
        <v>0</v>
      </c>
      <c r="U821" s="11">
        <f t="shared" si="1654"/>
        <v>0</v>
      </c>
      <c r="V821" s="11">
        <f t="shared" si="146"/>
      </c>
      <c r="W821" s="11" t="s">
        <f t="shared" si="145"/>
      </c>
      <c r="X821" s="11" t="s">
        <f t="shared" si="138"/>
      </c>
    </row>
    <row r="822" ht="12.50" customHeight="true">
      <c r="A822" s="10"/>
      <c r="B822" s="11"/>
      <c r="C822" s="11"/>
      <c r="D822" s="11"/>
      <c r="E822" s="11"/>
      <c r="F822" s="11"/>
      <c r="G822" s="11"/>
      <c r="H822" s="11"/>
      <c r="I822" s="11"/>
      <c r="J822" s="11"/>
      <c r="K822" s="11" t="s">
        <f>""</f>
      </c>
      <c r="L822" s="11" t="s">
        <f t="shared" si="143"/>
      </c>
      <c r="M822" s="8" t="s">
        <f t="shared" si="141"/>
      </c>
      <c r="N822" s="11"/>
      <c r="O822" s="10">
        <f ref="O822:P822" t="shared" si="603">A822</f>
        <v>0</v>
      </c>
      <c r="P822" s="11">
        <f t="shared" si="603"/>
        <v>0</v>
      </c>
      <c r="Q822" s="11" t="s">
        <f t="shared" si="144"/>
      </c>
      <c r="R822" s="11">
        <f t="shared" si="139"/>
        <v>0</v>
      </c>
      <c r="S822" s="11">
        <f ref="S822:U822" t="shared" si="602">E822</f>
        <v>0</v>
      </c>
      <c r="T822" s="11">
        <f t="shared" si="602"/>
        <v>0</v>
      </c>
      <c r="U822" s="11">
        <f t="shared" si="602"/>
        <v>0</v>
      </c>
      <c r="V822" s="11">
        <f t="shared" si="146"/>
      </c>
      <c r="W822" s="11" t="s">
        <f t="shared" si="145"/>
      </c>
      <c r="X822" s="11" t="s">
        <f t="shared" si="138"/>
      </c>
    </row>
    <row r="823" ht="12.50" customHeight="true">
      <c r="A823" s="10"/>
      <c r="B823" s="11"/>
      <c r="C823" s="11"/>
      <c r="D823" s="11"/>
      <c r="E823" s="11"/>
      <c r="F823" s="11"/>
      <c r="G823" s="11"/>
      <c r="H823" s="11"/>
      <c r="I823" s="11"/>
      <c r="J823" s="11"/>
      <c r="K823" s="11" t="s">
        <f>""</f>
      </c>
      <c r="L823" s="11" t="s">
        <f t="shared" si="143"/>
      </c>
      <c r="M823" s="8" t="s">
        <f t="shared" si="141"/>
      </c>
      <c r="N823" s="11"/>
      <c r="O823" s="10">
        <f ref="O823:P823" t="shared" si="228">A823</f>
        <v>0</v>
      </c>
      <c r="P823" s="11">
        <f t="shared" si="228"/>
        <v>0</v>
      </c>
      <c r="Q823" s="11" t="s">
        <f t="shared" si="144"/>
      </c>
      <c r="R823" s="11">
        <f t="shared" si="139"/>
        <v>0</v>
      </c>
      <c r="S823" s="11">
        <f ref="S823:U823" t="shared" si="227">E823</f>
        <v>0</v>
      </c>
      <c r="T823" s="11">
        <f t="shared" si="227"/>
        <v>0</v>
      </c>
      <c r="U823" s="11">
        <f t="shared" si="227"/>
        <v>0</v>
      </c>
      <c r="V823" s="11">
        <f t="shared" si="146"/>
      </c>
      <c r="W823" s="11" t="s">
        <f t="shared" si="145"/>
      </c>
      <c r="X823" s="11" t="s">
        <f t="shared" si="138"/>
      </c>
    </row>
    <row r="824" ht="12.50" customHeight="true">
      <c r="A824" s="10"/>
      <c r="B824" s="11"/>
      <c r="C824" s="11"/>
      <c r="D824" s="11"/>
      <c r="E824" s="11"/>
      <c r="F824" s="11"/>
      <c r="G824" s="11"/>
      <c r="H824" s="11"/>
      <c r="I824" s="11"/>
      <c r="J824" s="11"/>
      <c r="K824" s="11" t="s">
        <f>""</f>
      </c>
      <c r="L824" s="11" t="s">
        <f t="shared" si="143"/>
      </c>
      <c r="M824" s="8" t="s">
        <f t="shared" si="141"/>
      </c>
      <c r="N824" s="11"/>
      <c r="O824" s="10">
        <f ref="O824:P824" t="shared" si="1614">A824</f>
        <v>0</v>
      </c>
      <c r="P824" s="11">
        <f t="shared" si="1614"/>
        <v>0</v>
      </c>
      <c r="Q824" s="11" t="s">
        <f t="shared" si="144"/>
      </c>
      <c r="R824" s="11">
        <f t="shared" si="139"/>
        <v>0</v>
      </c>
      <c r="S824" s="11">
        <f ref="S824:U824" t="shared" si="1615">E824</f>
        <v>0</v>
      </c>
      <c r="T824" s="11">
        <f t="shared" si="1615"/>
        <v>0</v>
      </c>
      <c r="U824" s="11">
        <f t="shared" si="1615"/>
        <v>0</v>
      </c>
      <c r="V824" s="11">
        <f t="shared" si="146"/>
      </c>
      <c r="W824" s="11" t="s">
        <f t="shared" si="145"/>
      </c>
      <c r="X824" s="11" t="s">
        <f t="shared" si="138"/>
      </c>
    </row>
    <row r="825" ht="12.50" customHeight="true">
      <c r="A825" s="10"/>
      <c r="B825" s="11"/>
      <c r="C825" s="11"/>
      <c r="D825" s="11"/>
      <c r="E825" s="11"/>
      <c r="F825" s="11"/>
      <c r="G825" s="11"/>
      <c r="H825" s="11"/>
      <c r="I825" s="11"/>
      <c r="J825" s="11"/>
      <c r="K825" s="11" t="s">
        <f>""</f>
      </c>
      <c r="L825" s="11" t="s">
        <f t="shared" si="143"/>
      </c>
      <c r="M825" s="8" t="s">
        <f t="shared" si="141"/>
      </c>
      <c r="N825" s="11"/>
      <c r="O825" s="10">
        <f ref="O825:P825" t="shared" si="235">A825</f>
        <v>0</v>
      </c>
      <c r="P825" s="11">
        <f t="shared" si="235"/>
        <v>0</v>
      </c>
      <c r="Q825" s="11" t="s">
        <f t="shared" si="144"/>
      </c>
      <c r="R825" s="11">
        <f t="shared" si="139"/>
        <v>0</v>
      </c>
      <c r="S825" s="11">
        <f ref="S825:U825" t="shared" si="236">E825</f>
        <v>0</v>
      </c>
      <c r="T825" s="11">
        <f t="shared" si="236"/>
        <v>0</v>
      </c>
      <c r="U825" s="11">
        <f t="shared" si="236"/>
        <v>0</v>
      </c>
      <c r="V825" s="11">
        <f t="shared" si="146"/>
      </c>
      <c r="W825" s="11" t="s">
        <f t="shared" si="145"/>
      </c>
      <c r="X825" s="11" t="s">
        <f t="shared" si="138"/>
      </c>
    </row>
    <row r="826" ht="12.50" customHeight="true">
      <c r="A826" s="10"/>
      <c r="B826" s="11"/>
      <c r="C826" s="11"/>
      <c r="D826" s="11"/>
      <c r="E826" s="11"/>
      <c r="F826" s="11"/>
      <c r="G826" s="11"/>
      <c r="H826" s="11"/>
      <c r="I826" s="11"/>
      <c r="J826" s="11"/>
      <c r="K826" s="11" t="s">
        <f>""</f>
      </c>
      <c r="L826" s="11" t="s">
        <f t="shared" si="143"/>
      </c>
      <c r="M826" s="8" t="s">
        <f t="shared" si="141"/>
      </c>
      <c r="N826" s="11"/>
      <c r="O826" s="10">
        <f ref="O826:P826" t="shared" si="6">A826</f>
        <v>0</v>
      </c>
      <c r="P826" s="11">
        <f t="shared" si="6"/>
        <v>0</v>
      </c>
      <c r="Q826" s="11" t="s">
        <f t="shared" si="144"/>
      </c>
      <c r="R826" s="11">
        <f t="shared" si="139"/>
        <v>0</v>
      </c>
      <c r="S826" s="11">
        <f ref="S826:U826" t="shared" si="7">E826</f>
        <v>0</v>
      </c>
      <c r="T826" s="11">
        <f t="shared" si="7"/>
        <v>0</v>
      </c>
      <c r="U826" s="11">
        <f t="shared" si="7"/>
        <v>0</v>
      </c>
      <c r="V826" s="11">
        <f t="shared" si="146"/>
      </c>
      <c r="W826" s="11" t="s">
        <f t="shared" si="145"/>
      </c>
      <c r="X826" s="11" t="s">
        <f t="shared" si="138"/>
      </c>
    </row>
    <row r="827" ht="12.50" customHeight="true">
      <c r="A827" s="10"/>
      <c r="B827" s="11"/>
      <c r="C827" s="11"/>
      <c r="D827" s="11"/>
      <c r="E827" s="11"/>
      <c r="F827" s="11"/>
      <c r="G827" s="11"/>
      <c r="H827" s="11"/>
      <c r="I827" s="11"/>
      <c r="J827" s="11"/>
      <c r="K827" s="11" t="s">
        <f>""</f>
      </c>
      <c r="L827" s="11" t="s">
        <f t="shared" si="143"/>
      </c>
      <c r="M827" s="8" t="s">
        <f t="shared" si="141"/>
      </c>
      <c r="N827" s="11"/>
      <c r="O827" s="10">
        <f ref="O827:P827" t="shared" si="655">A827</f>
        <v>0</v>
      </c>
      <c r="P827" s="11">
        <f t="shared" si="655"/>
        <v>0</v>
      </c>
      <c r="Q827" s="11" t="s">
        <f t="shared" si="144"/>
      </c>
      <c r="R827" s="11">
        <f t="shared" si="139"/>
        <v>0</v>
      </c>
      <c r="S827" s="11">
        <f ref="S827:U827" t="shared" si="654">E827</f>
        <v>0</v>
      </c>
      <c r="T827" s="11">
        <f t="shared" si="654"/>
        <v>0</v>
      </c>
      <c r="U827" s="11">
        <f t="shared" si="654"/>
        <v>0</v>
      </c>
      <c r="V827" s="11">
        <f t="shared" si="146"/>
      </c>
      <c r="W827" s="11" t="s">
        <f t="shared" si="145"/>
      </c>
      <c r="X827" s="11" t="s">
        <f t="shared" si="138"/>
      </c>
    </row>
    <row r="828" ht="12.50" customHeight="true">
      <c r="A828" s="10"/>
      <c r="B828" s="11"/>
      <c r="C828" s="11"/>
      <c r="D828" s="11"/>
      <c r="E828" s="11"/>
      <c r="F828" s="11"/>
      <c r="G828" s="11"/>
      <c r="H828" s="11"/>
      <c r="I828" s="11"/>
      <c r="J828" s="11"/>
      <c r="K828" s="11" t="s">
        <f>""</f>
      </c>
      <c r="L828" s="11" t="s">
        <f t="shared" si="143"/>
      </c>
      <c r="M828" s="8" t="s">
        <f t="shared" si="141"/>
      </c>
      <c r="N828" s="11"/>
      <c r="O828" s="10">
        <f ref="O828:P828" t="shared" si="1041">A828</f>
        <v>0</v>
      </c>
      <c r="P828" s="11">
        <f t="shared" si="1041"/>
        <v>0</v>
      </c>
      <c r="Q828" s="11" t="s">
        <f t="shared" si="144"/>
      </c>
      <c r="R828" s="11">
        <f t="shared" si="139"/>
        <v>0</v>
      </c>
      <c r="S828" s="11">
        <f ref="S828:U828" t="shared" si="1042">E828</f>
        <v>0</v>
      </c>
      <c r="T828" s="11">
        <f t="shared" si="1042"/>
        <v>0</v>
      </c>
      <c r="U828" s="11">
        <f t="shared" si="1042"/>
        <v>0</v>
      </c>
      <c r="V828" s="11">
        <f t="shared" si="146"/>
      </c>
      <c r="W828" s="11" t="s">
        <f t="shared" si="145"/>
      </c>
      <c r="X828" s="11" t="s">
        <f t="shared" si="138"/>
      </c>
    </row>
    <row r="829" ht="12.50" customHeight="true">
      <c r="A829" s="10"/>
      <c r="B829" s="11"/>
      <c r="C829" s="11"/>
      <c r="D829" s="11"/>
      <c r="E829" s="11"/>
      <c r="F829" s="11"/>
      <c r="G829" s="11"/>
      <c r="H829" s="11"/>
      <c r="I829" s="11"/>
      <c r="J829" s="11"/>
      <c r="K829" s="11" t="s">
        <f>""</f>
      </c>
      <c r="L829" s="11" t="s">
        <f t="shared" si="143"/>
      </c>
      <c r="M829" s="8" t="s">
        <f t="shared" si="141"/>
      </c>
      <c r="N829" s="11"/>
      <c r="O829" s="10">
        <f ref="O829:P829" t="shared" si="312">A829</f>
        <v>0</v>
      </c>
      <c r="P829" s="11">
        <f t="shared" si="312"/>
        <v>0</v>
      </c>
      <c r="Q829" s="11" t="s">
        <f t="shared" si="144"/>
      </c>
      <c r="R829" s="11">
        <f t="shared" si="139"/>
        <v>0</v>
      </c>
      <c r="S829" s="11">
        <f ref="S829:U829" t="shared" si="313">E829</f>
        <v>0</v>
      </c>
      <c r="T829" s="11">
        <f t="shared" si="313"/>
        <v>0</v>
      </c>
      <c r="U829" s="11">
        <f t="shared" si="313"/>
        <v>0</v>
      </c>
      <c r="V829" s="11">
        <f t="shared" si="146"/>
      </c>
      <c r="W829" s="11" t="s">
        <f t="shared" si="145"/>
      </c>
      <c r="X829" s="11" t="s">
        <f t="shared" si="138"/>
      </c>
    </row>
    <row r="830" ht="12.50" customHeight="true">
      <c r="A830" s="10"/>
      <c r="B830" s="11"/>
      <c r="C830" s="11"/>
      <c r="D830" s="11"/>
      <c r="E830" s="11"/>
      <c r="F830" s="11"/>
      <c r="G830" s="11"/>
      <c r="H830" s="11"/>
      <c r="I830" s="11"/>
      <c r="J830" s="11"/>
      <c r="K830" s="11" t="s">
        <f>""</f>
      </c>
      <c r="L830" s="11" t="s">
        <f t="shared" si="143"/>
      </c>
      <c r="M830" s="8" t="s">
        <f t="shared" si="141"/>
      </c>
      <c r="N830" s="11"/>
      <c r="O830" s="10">
        <f ref="O830:P830" t="shared" si="1076">A830</f>
        <v>0</v>
      </c>
      <c r="P830" s="11">
        <f t="shared" si="1076"/>
        <v>0</v>
      </c>
      <c r="Q830" s="11" t="s">
        <f t="shared" si="144"/>
      </c>
      <c r="R830" s="11">
        <f t="shared" si="139"/>
        <v>0</v>
      </c>
      <c r="S830" s="11">
        <f ref="S830:U830" t="shared" si="1075">E830</f>
        <v>0</v>
      </c>
      <c r="T830" s="11">
        <f t="shared" si="1075"/>
        <v>0</v>
      </c>
      <c r="U830" s="11">
        <f t="shared" si="1075"/>
        <v>0</v>
      </c>
      <c r="V830" s="11">
        <f t="shared" si="146"/>
      </c>
      <c r="W830" s="11" t="s">
        <f t="shared" si="145"/>
      </c>
      <c r="X830" s="11" t="s">
        <f t="shared" si="138"/>
      </c>
    </row>
    <row r="831" ht="12.50" customHeight="true">
      <c r="A831" s="10"/>
      <c r="B831" s="11"/>
      <c r="C831" s="11"/>
      <c r="D831" s="11"/>
      <c r="E831" s="11"/>
      <c r="F831" s="11"/>
      <c r="G831" s="11"/>
      <c r="H831" s="11"/>
      <c r="I831" s="11"/>
      <c r="J831" s="11"/>
      <c r="K831" s="11" t="s">
        <f>""</f>
      </c>
      <c r="L831" s="11" t="s">
        <f t="shared" si="143"/>
      </c>
      <c r="M831" s="8" t="s">
        <f t="shared" si="141"/>
      </c>
      <c r="N831" s="11"/>
      <c r="O831" s="10">
        <f ref="O831:P831" t="shared" si="350">A831</f>
        <v>0</v>
      </c>
      <c r="P831" s="11">
        <f t="shared" si="350"/>
        <v>0</v>
      </c>
      <c r="Q831" s="11" t="s">
        <f t="shared" si="144"/>
      </c>
      <c r="R831" s="11">
        <f t="shared" si="139"/>
        <v>0</v>
      </c>
      <c r="S831" s="11">
        <f ref="S831:U831" t="shared" si="351">E831</f>
        <v>0</v>
      </c>
      <c r="T831" s="11">
        <f t="shared" si="351"/>
        <v>0</v>
      </c>
      <c r="U831" s="11">
        <f t="shared" si="351"/>
        <v>0</v>
      </c>
      <c r="V831" s="11">
        <f t="shared" si="146"/>
      </c>
      <c r="W831" s="11" t="s">
        <f t="shared" si="145"/>
      </c>
      <c r="X831" s="11" t="s">
        <f t="shared" si="138"/>
      </c>
    </row>
    <row r="832" ht="12.50" customHeight="true">
      <c r="A832" s="10"/>
      <c r="B832" s="11"/>
      <c r="C832" s="11"/>
      <c r="D832" s="11"/>
      <c r="E832" s="11"/>
      <c r="F832" s="11"/>
      <c r="G832" s="11"/>
      <c r="H832" s="11"/>
      <c r="I832" s="11"/>
      <c r="J832" s="11"/>
      <c r="K832" s="11" t="s">
        <f>""</f>
      </c>
      <c r="L832" s="11" t="s">
        <f t="shared" si="143"/>
      </c>
      <c r="M832" s="8" t="s">
        <f t="shared" si="141"/>
      </c>
      <c r="N832" s="11"/>
      <c r="O832" s="10">
        <f ref="O832:P832" t="shared" si="200">A832</f>
        <v>0</v>
      </c>
      <c r="P832" s="11">
        <f t="shared" si="200"/>
        <v>0</v>
      </c>
      <c r="Q832" s="11" t="s">
        <f t="shared" si="144"/>
      </c>
      <c r="R832" s="11">
        <f t="shared" si="139"/>
        <v>0</v>
      </c>
      <c r="S832" s="11">
        <f ref="S832:U832" t="shared" si="199">E832</f>
        <v>0</v>
      </c>
      <c r="T832" s="11">
        <f t="shared" si="199"/>
        <v>0</v>
      </c>
      <c r="U832" s="11">
        <f t="shared" si="199"/>
        <v>0</v>
      </c>
      <c r="V832" s="11">
        <f t="shared" si="146"/>
      </c>
      <c r="W832" s="11" t="s">
        <f t="shared" si="145"/>
      </c>
      <c r="X832" s="11" t="s">
        <f t="shared" si="138"/>
      </c>
    </row>
    <row r="833" ht="12.50" customHeight="true">
      <c r="A833" s="10"/>
      <c r="B833" s="11"/>
      <c r="C833" s="11"/>
      <c r="D833" s="11"/>
      <c r="E833" s="11"/>
      <c r="F833" s="11"/>
      <c r="G833" s="11"/>
      <c r="H833" s="11"/>
      <c r="I833" s="11"/>
      <c r="J833" s="11"/>
      <c r="K833" s="11" t="s">
        <f>""</f>
      </c>
      <c r="L833" s="11" t="s">
        <f t="shared" si="143"/>
      </c>
      <c r="M833" s="8" t="s">
        <f t="shared" si="141"/>
      </c>
      <c r="N833" s="11"/>
      <c r="O833" s="10">
        <f ref="O833:P833" t="shared" si="1664">A833</f>
        <v>0</v>
      </c>
      <c r="P833" s="11">
        <f t="shared" si="1664"/>
        <v>0</v>
      </c>
      <c r="Q833" s="11" t="s">
        <f t="shared" si="144"/>
      </c>
      <c r="R833" s="11">
        <f t="shared" si="139"/>
        <v>0</v>
      </c>
      <c r="S833" s="11">
        <f ref="S833:U833" t="shared" si="1665">E833</f>
        <v>0</v>
      </c>
      <c r="T833" s="11">
        <f t="shared" si="1665"/>
        <v>0</v>
      </c>
      <c r="U833" s="11">
        <f t="shared" si="1665"/>
        <v>0</v>
      </c>
      <c r="V833" s="11">
        <f t="shared" si="146"/>
      </c>
      <c r="W833" s="11" t="s">
        <f t="shared" si="145"/>
      </c>
      <c r="X833" s="11" t="s">
        <f t="shared" si="138"/>
      </c>
    </row>
    <row r="834" ht="12.50" customHeight="true">
      <c r="A834" s="10"/>
      <c r="B834" s="11"/>
      <c r="C834" s="11"/>
      <c r="D834" s="11"/>
      <c r="E834" s="11"/>
      <c r="F834" s="11"/>
      <c r="G834" s="11"/>
      <c r="H834" s="11"/>
      <c r="I834" s="11"/>
      <c r="J834" s="11"/>
      <c r="K834" s="11" t="s">
        <f>""</f>
      </c>
      <c r="L834" s="11" t="s">
        <f t="shared" si="143"/>
      </c>
      <c r="M834" s="8" t="s">
        <f t="shared" si="141"/>
      </c>
      <c r="N834" s="11"/>
      <c r="O834" s="10">
        <f ref="O834:P834" t="shared" si="1169">A834</f>
        <v>0</v>
      </c>
      <c r="P834" s="11">
        <f t="shared" si="1169"/>
        <v>0</v>
      </c>
      <c r="Q834" s="11" t="s">
        <f t="shared" si="144"/>
      </c>
      <c r="R834" s="11">
        <f t="shared" si="139"/>
        <v>0</v>
      </c>
      <c r="S834" s="11">
        <f ref="S834:U834" t="shared" si="1170">E834</f>
        <v>0</v>
      </c>
      <c r="T834" s="11">
        <f t="shared" si="1170"/>
        <v>0</v>
      </c>
      <c r="U834" s="11">
        <f t="shared" si="1170"/>
        <v>0</v>
      </c>
      <c r="V834" s="11">
        <f t="shared" si="146"/>
      </c>
      <c r="W834" s="11" t="s">
        <f t="shared" si="145"/>
      </c>
      <c r="X834" s="11" t="s">
        <f t="shared" si="138"/>
      </c>
    </row>
    <row r="835" ht="12.50" customHeight="true">
      <c r="A835" s="10"/>
      <c r="B835" s="11"/>
      <c r="C835" s="11"/>
      <c r="D835" s="11"/>
      <c r="E835" s="11"/>
      <c r="F835" s="11"/>
      <c r="G835" s="11"/>
      <c r="H835" s="11"/>
      <c r="I835" s="11"/>
      <c r="J835" s="11"/>
      <c r="K835" s="11" t="s">
        <f>""</f>
      </c>
      <c r="L835" s="11" t="s">
        <f t="shared" si="143"/>
      </c>
      <c r="M835" s="8" t="s">
        <f t="shared" si="141"/>
      </c>
      <c r="N835" s="11"/>
      <c r="O835" s="10">
        <f ref="O835:P835" t="shared" si="106">A835</f>
        <v>0</v>
      </c>
      <c r="P835" s="11">
        <f t="shared" si="106"/>
        <v>0</v>
      </c>
      <c r="Q835" s="11" t="s">
        <f t="shared" si="144"/>
      </c>
      <c r="R835" s="11">
        <f t="shared" si="139"/>
        <v>0</v>
      </c>
      <c r="S835" s="11">
        <f ref="S835:U835" t="shared" si="107">E835</f>
        <v>0</v>
      </c>
      <c r="T835" s="11">
        <f t="shared" si="107"/>
        <v>0</v>
      </c>
      <c r="U835" s="11">
        <f t="shared" si="107"/>
        <v>0</v>
      </c>
      <c r="V835" s="11">
        <f t="shared" si="146"/>
      </c>
      <c r="W835" s="11" t="s">
        <f t="shared" si="145"/>
      </c>
      <c r="X835" s="11" t="s">
        <f t="shared" si="138"/>
      </c>
    </row>
    <row r="836" ht="12.50" customHeight="true">
      <c r="A836" s="10"/>
      <c r="B836" s="11"/>
      <c r="C836" s="11"/>
      <c r="D836" s="11"/>
      <c r="E836" s="11"/>
      <c r="F836" s="11"/>
      <c r="G836" s="11"/>
      <c r="H836" s="11"/>
      <c r="I836" s="11"/>
      <c r="J836" s="11"/>
      <c r="K836" s="11" t="s">
        <f>""</f>
      </c>
      <c r="L836" s="11" t="s">
        <f t="shared" si="143"/>
      </c>
      <c r="M836" s="8" t="s">
        <f t="shared" si="141"/>
      </c>
      <c r="N836" s="11"/>
      <c r="O836" s="10">
        <f ref="O836:P836" t="shared" si="1742">A836</f>
        <v>0</v>
      </c>
      <c r="P836" s="11">
        <f t="shared" si="1742"/>
        <v>0</v>
      </c>
      <c r="Q836" s="11" t="s">
        <f t="shared" si="144"/>
      </c>
      <c r="R836" s="11">
        <f t="shared" si="139"/>
        <v>0</v>
      </c>
      <c r="S836" s="11">
        <f ref="S836:U836" t="shared" si="1743">E836</f>
        <v>0</v>
      </c>
      <c r="T836" s="11">
        <f t="shared" si="1743"/>
        <v>0</v>
      </c>
      <c r="U836" s="11">
        <f t="shared" si="1743"/>
        <v>0</v>
      </c>
      <c r="V836" s="11">
        <f t="shared" si="146"/>
      </c>
      <c r="W836" s="11" t="s">
        <f t="shared" si="145"/>
      </c>
      <c r="X836" s="11" t="s">
        <f t="shared" si="138"/>
      </c>
    </row>
    <row r="837" ht="12.50" customHeight="true">
      <c r="A837" s="10"/>
      <c r="B837" s="11"/>
      <c r="C837" s="11"/>
      <c r="D837" s="11"/>
      <c r="E837" s="11"/>
      <c r="F837" s="11"/>
      <c r="G837" s="11"/>
      <c r="H837" s="11"/>
      <c r="I837" s="11"/>
      <c r="J837" s="11"/>
      <c r="K837" s="11" t="s">
        <f>""</f>
      </c>
      <c r="L837" s="11" t="s">
        <f t="shared" si="143"/>
      </c>
      <c r="M837" s="8" t="s">
        <f t="shared" si="141"/>
      </c>
      <c r="N837" s="11"/>
      <c r="O837" s="10">
        <f ref="O837:P837" t="shared" si="416">A837</f>
        <v>0</v>
      </c>
      <c r="P837" s="11">
        <f t="shared" si="416"/>
        <v>0</v>
      </c>
      <c r="Q837" s="11" t="s">
        <f t="shared" si="144"/>
      </c>
      <c r="R837" s="11">
        <f t="shared" si="139"/>
        <v>0</v>
      </c>
      <c r="S837" s="11">
        <f ref="S837:U837" t="shared" si="417">E837</f>
        <v>0</v>
      </c>
      <c r="T837" s="11">
        <f t="shared" si="417"/>
        <v>0</v>
      </c>
      <c r="U837" s="11">
        <f t="shared" si="417"/>
        <v>0</v>
      </c>
      <c r="V837" s="11">
        <f t="shared" si="146"/>
      </c>
      <c r="W837" s="11" t="s">
        <f t="shared" si="145"/>
      </c>
      <c r="X837" s="11" t="s">
        <f t="shared" si="138"/>
      </c>
    </row>
    <row r="838" ht="12.50" customHeight="true">
      <c r="A838" s="10"/>
      <c r="B838" s="11"/>
      <c r="C838" s="11"/>
      <c r="D838" s="11"/>
      <c r="E838" s="11"/>
      <c r="F838" s="11"/>
      <c r="G838" s="11"/>
      <c r="H838" s="11"/>
      <c r="I838" s="11"/>
      <c r="J838" s="11"/>
      <c r="K838" s="11" t="s">
        <f>""</f>
      </c>
      <c r="L838" s="11" t="s">
        <f t="shared" si="143"/>
      </c>
      <c r="M838" s="8" t="s">
        <f t="shared" si="141"/>
      </c>
      <c r="N838" s="11"/>
      <c r="O838" s="10">
        <f ref="O838:P838" t="shared" si="912">A838</f>
        <v>0</v>
      </c>
      <c r="P838" s="11">
        <f t="shared" si="912"/>
        <v>0</v>
      </c>
      <c r="Q838" s="11" t="s">
        <f t="shared" si="144"/>
      </c>
      <c r="R838" s="11">
        <f t="shared" si="139"/>
        <v>0</v>
      </c>
      <c r="S838" s="11">
        <f ref="S838:U838" t="shared" si="913">E838</f>
        <v>0</v>
      </c>
      <c r="T838" s="11">
        <f t="shared" si="913"/>
        <v>0</v>
      </c>
      <c r="U838" s="11">
        <f t="shared" si="913"/>
        <v>0</v>
      </c>
      <c r="V838" s="11">
        <f t="shared" si="146"/>
      </c>
      <c r="W838" s="11" t="s">
        <f t="shared" si="145"/>
      </c>
      <c r="X838" s="11" t="s">
        <f t="shared" si="138"/>
      </c>
    </row>
    <row r="839" ht="12.50" customHeight="true">
      <c r="A839" s="10"/>
      <c r="B839" s="11"/>
      <c r="C839" s="11"/>
      <c r="D839" s="11"/>
      <c r="E839" s="11"/>
      <c r="F839" s="11"/>
      <c r="G839" s="11"/>
      <c r="H839" s="11"/>
      <c r="I839" s="11"/>
      <c r="J839" s="11"/>
      <c r="K839" s="11" t="s">
        <f>""</f>
      </c>
      <c r="L839" s="11" t="s">
        <f t="shared" si="143"/>
      </c>
      <c r="M839" s="8" t="s">
        <f t="shared" si="141"/>
      </c>
      <c r="N839" s="11"/>
      <c r="O839" s="10">
        <f ref="O839:P839" t="shared" si="846">A839</f>
        <v>0</v>
      </c>
      <c r="P839" s="11">
        <f t="shared" si="846"/>
        <v>0</v>
      </c>
      <c r="Q839" s="11" t="s">
        <f t="shared" si="144"/>
      </c>
      <c r="R839" s="11">
        <f t="shared" si="139"/>
        <v>0</v>
      </c>
      <c r="S839" s="11">
        <f ref="S839:U839" t="shared" si="847">E839</f>
        <v>0</v>
      </c>
      <c r="T839" s="11">
        <f t="shared" si="847"/>
        <v>0</v>
      </c>
      <c r="U839" s="11">
        <f t="shared" si="847"/>
        <v>0</v>
      </c>
      <c r="V839" s="11">
        <f t="shared" si="146"/>
      </c>
      <c r="W839" s="11" t="s">
        <f t="shared" si="145"/>
      </c>
      <c r="X839" s="11" t="s">
        <f t="shared" si="138"/>
      </c>
    </row>
    <row r="840" ht="12.50" customHeight="true">
      <c r="A840" s="10"/>
      <c r="B840" s="11"/>
      <c r="C840" s="11"/>
      <c r="D840" s="11"/>
      <c r="E840" s="11"/>
      <c r="F840" s="11"/>
      <c r="G840" s="11"/>
      <c r="H840" s="11"/>
      <c r="I840" s="11"/>
      <c r="J840" s="11"/>
      <c r="K840" s="11" t="s">
        <f>""</f>
      </c>
      <c r="L840" s="11" t="s">
        <f t="shared" si="143"/>
      </c>
      <c r="M840" s="8" t="s">
        <f t="shared" si="141"/>
      </c>
      <c r="N840" s="11"/>
      <c r="O840" s="10">
        <f ref="O840:P840" t="shared" si="604">A840</f>
        <v>0</v>
      </c>
      <c r="P840" s="11">
        <f t="shared" si="604"/>
        <v>0</v>
      </c>
      <c r="Q840" s="11" t="s">
        <f t="shared" si="144"/>
      </c>
      <c r="R840" s="11">
        <f t="shared" si="139"/>
        <v>0</v>
      </c>
      <c r="S840" s="11">
        <f ref="S840:U840" t="shared" si="605">E840</f>
        <v>0</v>
      </c>
      <c r="T840" s="11">
        <f t="shared" si="605"/>
        <v>0</v>
      </c>
      <c r="U840" s="11">
        <f t="shared" si="605"/>
        <v>0</v>
      </c>
      <c r="V840" s="11">
        <f t="shared" si="146"/>
      </c>
      <c r="W840" s="11" t="s">
        <f t="shared" si="145"/>
      </c>
      <c r="X840" s="11" t="s">
        <f t="shared" si="138"/>
      </c>
    </row>
    <row r="841" ht="12.50" customHeight="true">
      <c r="A841" s="10"/>
      <c r="B841" s="11"/>
      <c r="C841" s="11"/>
      <c r="D841" s="11"/>
      <c r="E841" s="11"/>
      <c r="F841" s="11"/>
      <c r="G841" s="11"/>
      <c r="H841" s="11"/>
      <c r="I841" s="11"/>
      <c r="J841" s="11"/>
      <c r="K841" s="11" t="s">
        <f>""</f>
      </c>
      <c r="L841" s="11" t="s">
        <f t="shared" si="143"/>
      </c>
      <c r="M841" s="8" t="s">
        <f t="shared" si="141"/>
      </c>
      <c r="N841" s="11"/>
      <c r="O841" s="10">
        <f ref="O841:P841" t="shared" si="1992">A841</f>
        <v>0</v>
      </c>
      <c r="P841" s="11">
        <f t="shared" si="1992"/>
        <v>0</v>
      </c>
      <c r="Q841" s="11" t="s">
        <f t="shared" si="144"/>
      </c>
      <c r="R841" s="11">
        <f t="shared" si="139"/>
        <v>0</v>
      </c>
      <c r="S841" s="11">
        <f ref="S841:U841" t="shared" si="1993">E841</f>
        <v>0</v>
      </c>
      <c r="T841" s="11">
        <f t="shared" si="1993"/>
        <v>0</v>
      </c>
      <c r="U841" s="11">
        <f t="shared" si="1993"/>
        <v>0</v>
      </c>
      <c r="V841" s="11">
        <f t="shared" si="146"/>
      </c>
      <c r="W841" s="11" t="s">
        <f t="shared" si="145"/>
      </c>
      <c r="X841" s="11" t="s">
        <f t="shared" si="138"/>
      </c>
    </row>
    <row r="842" ht="12.50" customHeight="true">
      <c r="A842" s="10"/>
      <c r="B842" s="11"/>
      <c r="C842" s="11"/>
      <c r="D842" s="11"/>
      <c r="E842" s="11"/>
      <c r="F842" s="11"/>
      <c r="G842" s="11"/>
      <c r="H842" s="11"/>
      <c r="I842" s="11"/>
      <c r="J842" s="11"/>
      <c r="K842" s="11" t="s">
        <f>""</f>
      </c>
      <c r="L842" s="11" t="s">
        <f t="shared" si="143"/>
      </c>
      <c r="M842" s="8" t="s">
        <f t="shared" si="141"/>
      </c>
      <c r="N842" s="11"/>
      <c r="O842" s="10">
        <f ref="O842:P842" t="shared" si="902">A842</f>
        <v>0</v>
      </c>
      <c r="P842" s="11">
        <f t="shared" si="902"/>
        <v>0</v>
      </c>
      <c r="Q842" s="11" t="s">
        <f t="shared" si="144"/>
      </c>
      <c r="R842" s="11">
        <f t="shared" si="139"/>
        <v>0</v>
      </c>
      <c r="S842" s="11">
        <f ref="S842:U842" t="shared" si="903">E842</f>
        <v>0</v>
      </c>
      <c r="T842" s="11">
        <f t="shared" si="903"/>
        <v>0</v>
      </c>
      <c r="U842" s="11">
        <f t="shared" si="903"/>
        <v>0</v>
      </c>
      <c r="V842" s="11">
        <f t="shared" si="146"/>
      </c>
      <c r="W842" s="11" t="s">
        <f t="shared" si="145"/>
      </c>
      <c r="X842" s="11" t="s">
        <f t="shared" si="138"/>
      </c>
    </row>
    <row r="843" ht="12.50" customHeight="true">
      <c r="A843" s="10"/>
      <c r="B843" s="11"/>
      <c r="C843" s="11"/>
      <c r="D843" s="11"/>
      <c r="E843" s="11"/>
      <c r="F843" s="11"/>
      <c r="G843" s="11"/>
      <c r="H843" s="11"/>
      <c r="I843" s="11"/>
      <c r="J843" s="11"/>
      <c r="K843" s="11" t="s">
        <f>""</f>
      </c>
      <c r="L843" s="11" t="s">
        <f t="shared" si="143"/>
      </c>
      <c r="M843" s="8" t="s">
        <f t="shared" si="141"/>
      </c>
      <c r="N843" s="11"/>
      <c r="O843" s="10">
        <f ref="O843:P843" t="shared" si="210">A843</f>
        <v>0</v>
      </c>
      <c r="P843" s="11">
        <f t="shared" si="210"/>
        <v>0</v>
      </c>
      <c r="Q843" s="11" t="s">
        <f t="shared" si="144"/>
      </c>
      <c r="R843" s="11">
        <f t="shared" si="139"/>
        <v>0</v>
      </c>
      <c r="S843" s="11">
        <f ref="S843:U843" t="shared" si="209">E843</f>
        <v>0</v>
      </c>
      <c r="T843" s="11">
        <f t="shared" si="209"/>
        <v>0</v>
      </c>
      <c r="U843" s="11">
        <f t="shared" si="209"/>
        <v>0</v>
      </c>
      <c r="V843" s="11">
        <f t="shared" si="146"/>
      </c>
      <c r="W843" s="11" t="s">
        <f t="shared" si="145"/>
      </c>
      <c r="X843" s="11" t="s">
        <f t="shared" si="138"/>
      </c>
    </row>
    <row r="844" ht="12.50" customHeight="true">
      <c r="A844" s="10"/>
      <c r="B844" s="11"/>
      <c r="C844" s="11"/>
      <c r="D844" s="11"/>
      <c r="E844" s="11"/>
      <c r="F844" s="11"/>
      <c r="G844" s="11"/>
      <c r="H844" s="11"/>
      <c r="I844" s="11"/>
      <c r="J844" s="11"/>
      <c r="K844" s="11" t="s">
        <f>""</f>
      </c>
      <c r="L844" s="11" t="s">
        <f t="shared" si="143"/>
      </c>
      <c r="M844" s="8" t="s">
        <f t="shared" si="141"/>
      </c>
      <c r="N844" s="11"/>
      <c r="O844" s="10">
        <f ref="O844:P844" t="shared" si="486">A844</f>
        <v>0</v>
      </c>
      <c r="P844" s="11">
        <f t="shared" si="486"/>
        <v>0</v>
      </c>
      <c r="Q844" s="11" t="s">
        <f t="shared" si="144"/>
      </c>
      <c r="R844" s="11">
        <f t="shared" si="139"/>
        <v>0</v>
      </c>
      <c r="S844" s="11">
        <f ref="S844:U844" t="shared" si="487">E844</f>
        <v>0</v>
      </c>
      <c r="T844" s="11">
        <f t="shared" si="487"/>
        <v>0</v>
      </c>
      <c r="U844" s="11">
        <f t="shared" si="487"/>
        <v>0</v>
      </c>
      <c r="V844" s="11">
        <f t="shared" si="146"/>
      </c>
      <c r="W844" s="11" t="s">
        <f t="shared" si="145"/>
      </c>
      <c r="X844" s="11" t="s">
        <f t="shared" si="138"/>
      </c>
    </row>
    <row r="845" ht="12.50" customHeight="true">
      <c r="A845" s="10"/>
      <c r="B845" s="11"/>
      <c r="C845" s="11"/>
      <c r="D845" s="11"/>
      <c r="E845" s="11"/>
      <c r="F845" s="11"/>
      <c r="G845" s="11"/>
      <c r="H845" s="11"/>
      <c r="I845" s="11"/>
      <c r="J845" s="11"/>
      <c r="K845" s="11" t="s">
        <f>""</f>
      </c>
      <c r="L845" s="11" t="s">
        <f t="shared" si="143"/>
      </c>
      <c r="M845" s="8" t="s">
        <f t="shared" si="141"/>
      </c>
      <c r="N845" s="11"/>
      <c r="O845" s="10">
        <f ref="O845:P845" t="shared" si="339">A845</f>
        <v>0</v>
      </c>
      <c r="P845" s="11">
        <f t="shared" si="339"/>
        <v>0</v>
      </c>
      <c r="Q845" s="11" t="s">
        <f t="shared" si="144"/>
      </c>
      <c r="R845" s="11">
        <f t="shared" si="139"/>
        <v>0</v>
      </c>
      <c r="S845" s="11">
        <f ref="S845:U845" t="shared" si="338">E845</f>
        <v>0</v>
      </c>
      <c r="T845" s="11">
        <f t="shared" si="338"/>
        <v>0</v>
      </c>
      <c r="U845" s="11">
        <f t="shared" si="338"/>
        <v>0</v>
      </c>
      <c r="V845" s="11">
        <f t="shared" si="146"/>
      </c>
      <c r="W845" s="11" t="s">
        <f t="shared" si="145"/>
      </c>
      <c r="X845" s="11" t="s">
        <f t="shared" si="138"/>
      </c>
    </row>
    <row r="846" ht="12.50" customHeight="true">
      <c r="A846" s="10"/>
      <c r="B846" s="11"/>
      <c r="C846" s="11"/>
      <c r="D846" s="11"/>
      <c r="E846" s="11"/>
      <c r="F846" s="11"/>
      <c r="G846" s="11"/>
      <c r="H846" s="11"/>
      <c r="I846" s="11"/>
      <c r="J846" s="11"/>
      <c r="K846" s="11" t="s">
        <f>""</f>
      </c>
      <c r="L846" s="11" t="s">
        <f t="shared" si="143"/>
      </c>
      <c r="M846" s="8" t="s">
        <f t="shared" si="141"/>
      </c>
      <c r="N846" s="11"/>
      <c r="O846" s="10">
        <f ref="O846:P846" t="shared" si="1254">A846</f>
        <v>0</v>
      </c>
      <c r="P846" s="11">
        <f t="shared" si="1254"/>
        <v>0</v>
      </c>
      <c r="Q846" s="11" t="s">
        <f t="shared" si="144"/>
      </c>
      <c r="R846" s="11">
        <f t="shared" si="139"/>
        <v>0</v>
      </c>
      <c r="S846" s="11">
        <f ref="S846:U846" t="shared" si="1255">E846</f>
        <v>0</v>
      </c>
      <c r="T846" s="11">
        <f t="shared" si="1255"/>
        <v>0</v>
      </c>
      <c r="U846" s="11">
        <f t="shared" si="1255"/>
        <v>0</v>
      </c>
      <c r="V846" s="11">
        <f t="shared" si="146"/>
      </c>
      <c r="W846" s="11" t="s">
        <f t="shared" si="145"/>
      </c>
      <c r="X846" s="11" t="s">
        <f t="shared" si="138"/>
      </c>
    </row>
    <row r="847" ht="12.50" customHeight="true">
      <c r="A847" s="10"/>
      <c r="B847" s="11"/>
      <c r="C847" s="11"/>
      <c r="D847" s="11"/>
      <c r="E847" s="11"/>
      <c r="F847" s="11"/>
      <c r="G847" s="11"/>
      <c r="H847" s="11"/>
      <c r="I847" s="11"/>
      <c r="J847" s="11"/>
      <c r="K847" s="11" t="s">
        <f>""</f>
      </c>
      <c r="L847" s="11" t="s">
        <f t="shared" si="143"/>
      </c>
      <c r="M847" s="8" t="s">
        <f t="shared" si="141"/>
      </c>
      <c r="N847" s="11"/>
      <c r="O847" s="10">
        <f ref="O847:P847" t="shared" si="1748">A847</f>
        <v>0</v>
      </c>
      <c r="P847" s="11">
        <f t="shared" si="1748"/>
        <v>0</v>
      </c>
      <c r="Q847" s="11" t="s">
        <f t="shared" si="144"/>
      </c>
      <c r="R847" s="11">
        <f t="shared" si="139"/>
        <v>0</v>
      </c>
      <c r="S847" s="11">
        <f ref="S847:U847" t="shared" si="1749">E847</f>
        <v>0</v>
      </c>
      <c r="T847" s="11">
        <f t="shared" si="1749"/>
        <v>0</v>
      </c>
      <c r="U847" s="11">
        <f t="shared" si="1749"/>
        <v>0</v>
      </c>
      <c r="V847" s="11">
        <f t="shared" si="146"/>
      </c>
      <c r="W847" s="11" t="s">
        <f t="shared" si="145"/>
      </c>
      <c r="X847" s="11" t="s">
        <f t="shared" si="138"/>
      </c>
    </row>
    <row r="848" ht="12.50" customHeight="true">
      <c r="A848" s="10"/>
      <c r="B848" s="11"/>
      <c r="C848" s="11"/>
      <c r="D848" s="11"/>
      <c r="E848" s="11"/>
      <c r="F848" s="11"/>
      <c r="G848" s="11"/>
      <c r="H848" s="11"/>
      <c r="I848" s="11"/>
      <c r="J848" s="11"/>
      <c r="K848" s="11" t="s">
        <f>""</f>
      </c>
      <c r="L848" s="11" t="s">
        <f t="shared" si="143"/>
      </c>
      <c r="M848" s="8" t="s">
        <f t="shared" si="141"/>
      </c>
      <c r="N848" s="11"/>
      <c r="O848" s="10">
        <f ref="O848:P848" t="shared" si="1505">A848</f>
        <v>0</v>
      </c>
      <c r="P848" s="11">
        <f t="shared" si="1505"/>
        <v>0</v>
      </c>
      <c r="Q848" s="11" t="s">
        <f t="shared" si="144"/>
      </c>
      <c r="R848" s="11">
        <f t="shared" si="139"/>
        <v>0</v>
      </c>
      <c r="S848" s="11">
        <f ref="S848:U848" t="shared" si="1504">E848</f>
        <v>0</v>
      </c>
      <c r="T848" s="11">
        <f t="shared" si="1504"/>
        <v>0</v>
      </c>
      <c r="U848" s="11">
        <f t="shared" si="1504"/>
        <v>0</v>
      </c>
      <c r="V848" s="11">
        <f t="shared" si="146"/>
      </c>
      <c r="W848" s="11" t="s">
        <f t="shared" si="145"/>
      </c>
      <c r="X848" s="11" t="s">
        <f t="shared" si="138"/>
      </c>
    </row>
    <row r="849" ht="12.50" customHeight="true">
      <c r="A849" s="10"/>
      <c r="B849" s="11"/>
      <c r="C849" s="11"/>
      <c r="D849" s="11"/>
      <c r="E849" s="11"/>
      <c r="F849" s="11"/>
      <c r="G849" s="11"/>
      <c r="H849" s="11"/>
      <c r="I849" s="11"/>
      <c r="J849" s="11"/>
      <c r="K849" s="11" t="s">
        <f>""</f>
      </c>
      <c r="L849" s="11" t="s">
        <f t="shared" si="143"/>
      </c>
      <c r="M849" s="8" t="s">
        <f t="shared" si="141"/>
      </c>
      <c r="N849" s="11"/>
      <c r="O849" s="10">
        <f ref="O849:P849" t="shared" si="73">A849</f>
        <v>0</v>
      </c>
      <c r="P849" s="11">
        <f t="shared" si="73"/>
        <v>0</v>
      </c>
      <c r="Q849" s="11" t="s">
        <f t="shared" si="144"/>
      </c>
      <c r="R849" s="11">
        <f t="shared" si="139"/>
        <v>0</v>
      </c>
      <c r="S849" s="11">
        <f ref="S849:U849" t="shared" si="72">E849</f>
        <v>0</v>
      </c>
      <c r="T849" s="11">
        <f t="shared" si="72"/>
        <v>0</v>
      </c>
      <c r="U849" s="11">
        <f t="shared" si="72"/>
        <v>0</v>
      </c>
      <c r="V849" s="11">
        <f t="shared" si="146"/>
      </c>
      <c r="W849" s="11" t="s">
        <f t="shared" si="145"/>
      </c>
      <c r="X849" s="11" t="s">
        <f t="shared" si="138"/>
      </c>
    </row>
    <row r="850" ht="12.50" customHeight="true">
      <c r="A850" s="10"/>
      <c r="B850" s="11"/>
      <c r="C850" s="11"/>
      <c r="D850" s="11"/>
      <c r="E850" s="11"/>
      <c r="F850" s="11"/>
      <c r="G850" s="11"/>
      <c r="H850" s="11"/>
      <c r="I850" s="11"/>
      <c r="J850" s="11"/>
      <c r="K850" s="11" t="s">
        <f>""</f>
      </c>
      <c r="L850" s="11" t="s">
        <f t="shared" si="143"/>
      </c>
      <c r="M850" s="8" t="s">
        <f t="shared" si="141"/>
      </c>
      <c r="N850" s="11"/>
      <c r="O850" s="10">
        <f ref="O850:P850" t="shared" si="1023">A850</f>
        <v>0</v>
      </c>
      <c r="P850" s="11">
        <f t="shared" si="1023"/>
        <v>0</v>
      </c>
      <c r="Q850" s="11" t="s">
        <f t="shared" si="144"/>
      </c>
      <c r="R850" s="11">
        <f t="shared" si="139"/>
        <v>0</v>
      </c>
      <c r="S850" s="11">
        <f ref="S850:U850" t="shared" si="1024">E850</f>
        <v>0</v>
      </c>
      <c r="T850" s="11">
        <f t="shared" si="1024"/>
        <v>0</v>
      </c>
      <c r="U850" s="11">
        <f t="shared" si="1024"/>
        <v>0</v>
      </c>
      <c r="V850" s="11">
        <f t="shared" si="146"/>
      </c>
      <c r="W850" s="11" t="s">
        <f t="shared" si="145"/>
      </c>
      <c r="X850" s="11" t="s">
        <f t="shared" si="138"/>
      </c>
    </row>
    <row r="851" ht="12.50" customHeight="true">
      <c r="A851" s="10"/>
      <c r="B851" s="11"/>
      <c r="C851" s="11"/>
      <c r="D851" s="11"/>
      <c r="E851" s="11"/>
      <c r="F851" s="11"/>
      <c r="G851" s="11"/>
      <c r="H851" s="11"/>
      <c r="I851" s="11"/>
      <c r="J851" s="11"/>
      <c r="K851" s="11" t="s">
        <f>""</f>
      </c>
      <c r="L851" s="11" t="s">
        <f t="shared" si="143"/>
      </c>
      <c r="M851" s="8" t="s">
        <f t="shared" si="141"/>
      </c>
      <c r="N851" s="11"/>
      <c r="O851" s="10">
        <f ref="O851:P851" t="shared" si="1867">A851</f>
        <v>0</v>
      </c>
      <c r="P851" s="11">
        <f t="shared" si="1867"/>
        <v>0</v>
      </c>
      <c r="Q851" s="11" t="s">
        <f t="shared" si="144"/>
      </c>
      <c r="R851" s="11">
        <f t="shared" si="139"/>
        <v>0</v>
      </c>
      <c r="S851" s="11">
        <f ref="S851:U851" t="shared" si="1866">E851</f>
        <v>0</v>
      </c>
      <c r="T851" s="11">
        <f t="shared" si="1866"/>
        <v>0</v>
      </c>
      <c r="U851" s="11">
        <f t="shared" si="1866"/>
        <v>0</v>
      </c>
      <c r="V851" s="11">
        <f t="shared" si="146"/>
      </c>
      <c r="W851" s="11" t="s">
        <f t="shared" si="145"/>
      </c>
      <c r="X851" s="11" t="s">
        <f t="shared" si="138"/>
      </c>
    </row>
    <row r="852" ht="12.50" customHeight="true">
      <c r="A852" s="10"/>
      <c r="B852" s="11"/>
      <c r="C852" s="11"/>
      <c r="D852" s="11"/>
      <c r="E852" s="11"/>
      <c r="F852" s="11"/>
      <c r="G852" s="11"/>
      <c r="H852" s="11"/>
      <c r="I852" s="11"/>
      <c r="J852" s="11"/>
      <c r="K852" s="11" t="s">
        <f>""</f>
      </c>
      <c r="L852" s="11" t="s">
        <f t="shared" si="143"/>
      </c>
      <c r="M852" s="8" t="s">
        <f t="shared" si="141"/>
      </c>
      <c r="N852" s="11"/>
      <c r="O852" s="10">
        <f ref="O852:P852" t="shared" si="529">A852</f>
        <v>0</v>
      </c>
      <c r="P852" s="11">
        <f t="shared" si="529"/>
        <v>0</v>
      </c>
      <c r="Q852" s="11" t="s">
        <f t="shared" si="144"/>
      </c>
      <c r="R852" s="11">
        <f t="shared" si="139"/>
        <v>0</v>
      </c>
      <c r="S852" s="11">
        <f ref="S852:U852" t="shared" si="528">E852</f>
        <v>0</v>
      </c>
      <c r="T852" s="11">
        <f t="shared" si="528"/>
        <v>0</v>
      </c>
      <c r="U852" s="11">
        <f t="shared" si="528"/>
        <v>0</v>
      </c>
      <c r="V852" s="11">
        <f t="shared" si="146"/>
      </c>
      <c r="W852" s="11" t="s">
        <f t="shared" si="145"/>
      </c>
      <c r="X852" s="11" t="s">
        <f t="shared" si="138"/>
      </c>
    </row>
    <row r="853" ht="12.50" customHeight="true">
      <c r="A853" s="10"/>
      <c r="B853" s="11"/>
      <c r="C853" s="11"/>
      <c r="D853" s="11"/>
      <c r="E853" s="11"/>
      <c r="F853" s="11"/>
      <c r="G853" s="11"/>
      <c r="H853" s="11"/>
      <c r="I853" s="11"/>
      <c r="J853" s="11"/>
      <c r="K853" s="11" t="s">
        <f>""</f>
      </c>
      <c r="L853" s="11" t="s">
        <f t="shared" si="143"/>
      </c>
      <c r="M853" s="8" t="s">
        <f t="shared" si="141"/>
      </c>
      <c r="N853" s="11"/>
      <c r="O853" s="10">
        <f ref="O853:P853" t="shared" si="795">A853</f>
        <v>0</v>
      </c>
      <c r="P853" s="11">
        <f t="shared" si="795"/>
        <v>0</v>
      </c>
      <c r="Q853" s="11" t="s">
        <f t="shared" si="144"/>
      </c>
      <c r="R853" s="11">
        <f t="shared" si="139"/>
        <v>0</v>
      </c>
      <c r="S853" s="11">
        <f ref="S853:U853" t="shared" si="794">E853</f>
        <v>0</v>
      </c>
      <c r="T853" s="11">
        <f t="shared" si="794"/>
        <v>0</v>
      </c>
      <c r="U853" s="11">
        <f t="shared" si="794"/>
        <v>0</v>
      </c>
      <c r="V853" s="11">
        <f t="shared" si="146"/>
      </c>
      <c r="W853" s="11" t="s">
        <f t="shared" si="145"/>
      </c>
      <c r="X853" s="11" t="s">
        <f t="shared" si="138"/>
      </c>
    </row>
    <row r="854" ht="12.50" customHeight="true">
      <c r="A854" s="10"/>
      <c r="B854" s="11"/>
      <c r="C854" s="11"/>
      <c r="D854" s="11"/>
      <c r="E854" s="11"/>
      <c r="F854" s="11"/>
      <c r="G854" s="11"/>
      <c r="H854" s="11"/>
      <c r="I854" s="11"/>
      <c r="J854" s="11"/>
      <c r="K854" s="11" t="s">
        <f>""</f>
      </c>
      <c r="L854" s="11" t="s">
        <f t="shared" si="143"/>
      </c>
      <c r="M854" s="8" t="s">
        <f t="shared" si="141"/>
      </c>
      <c r="N854" s="11"/>
      <c r="O854" s="10">
        <f ref="O854:P854" t="shared" si="1717">A854</f>
        <v>0</v>
      </c>
      <c r="P854" s="11">
        <f t="shared" si="1717"/>
        <v>0</v>
      </c>
      <c r="Q854" s="11" t="s">
        <f t="shared" si="144"/>
      </c>
      <c r="R854" s="11">
        <f t="shared" si="139"/>
        <v>0</v>
      </c>
      <c r="S854" s="11">
        <f ref="S854:U854" t="shared" si="1716">E854</f>
        <v>0</v>
      </c>
      <c r="T854" s="11">
        <f t="shared" si="1716"/>
        <v>0</v>
      </c>
      <c r="U854" s="11">
        <f t="shared" si="1716"/>
        <v>0</v>
      </c>
      <c r="V854" s="11">
        <f t="shared" si="146"/>
      </c>
      <c r="W854" s="11" t="s">
        <f t="shared" si="145"/>
      </c>
      <c r="X854" s="11" t="s">
        <f t="shared" si="138"/>
      </c>
    </row>
    <row r="855" ht="12.50" customHeight="true">
      <c r="A855" s="10"/>
      <c r="B855" s="11"/>
      <c r="C855" s="11"/>
      <c r="D855" s="11"/>
      <c r="E855" s="11"/>
      <c r="F855" s="11"/>
      <c r="G855" s="11"/>
      <c r="H855" s="11"/>
      <c r="I855" s="11"/>
      <c r="J855" s="11"/>
      <c r="K855" s="11" t="s">
        <f>""</f>
      </c>
      <c r="L855" s="11" t="s">
        <f t="shared" si="143"/>
      </c>
      <c r="M855" s="8" t="s">
        <f t="shared" si="141"/>
      </c>
      <c r="N855" s="11"/>
      <c r="O855" s="10">
        <f ref="O855:P855" t="shared" si="1196">A855</f>
        <v>0</v>
      </c>
      <c r="P855" s="11">
        <f t="shared" si="1196"/>
        <v>0</v>
      </c>
      <c r="Q855" s="11" t="s">
        <f t="shared" si="144"/>
      </c>
      <c r="R855" s="11">
        <f t="shared" si="139"/>
        <v>0</v>
      </c>
      <c r="S855" s="11">
        <f ref="S855:U855" t="shared" si="1195">E855</f>
        <v>0</v>
      </c>
      <c r="T855" s="11">
        <f t="shared" si="1195"/>
        <v>0</v>
      </c>
      <c r="U855" s="11">
        <f t="shared" si="1195"/>
        <v>0</v>
      </c>
      <c r="V855" s="11">
        <f t="shared" si="146"/>
      </c>
      <c r="W855" s="11" t="s">
        <f t="shared" si="145"/>
      </c>
      <c r="X855" s="11" t="s">
        <f t="shared" si="138"/>
      </c>
    </row>
    <row r="856" ht="12.50" customHeight="true">
      <c r="A856" s="10"/>
      <c r="B856" s="11"/>
      <c r="C856" s="11"/>
      <c r="D856" s="11"/>
      <c r="E856" s="11"/>
      <c r="F856" s="11"/>
      <c r="G856" s="11"/>
      <c r="H856" s="11"/>
      <c r="I856" s="11"/>
      <c r="J856" s="11"/>
      <c r="K856" s="11" t="s">
        <f>""</f>
      </c>
      <c r="L856" s="11" t="s">
        <f t="shared" si="143"/>
      </c>
      <c r="M856" s="8" t="s">
        <f t="shared" si="141"/>
      </c>
      <c r="N856" s="11"/>
      <c r="O856" s="10">
        <f ref="O856:P856" t="shared" si="1447">A856</f>
        <v>0</v>
      </c>
      <c r="P856" s="11">
        <f t="shared" si="1447"/>
        <v>0</v>
      </c>
      <c r="Q856" s="11" t="s">
        <f t="shared" si="144"/>
      </c>
      <c r="R856" s="11">
        <f t="shared" si="139"/>
        <v>0</v>
      </c>
      <c r="S856" s="11">
        <f ref="S856:U856" t="shared" si="1446">E856</f>
        <v>0</v>
      </c>
      <c r="T856" s="11">
        <f t="shared" si="1446"/>
        <v>0</v>
      </c>
      <c r="U856" s="11">
        <f t="shared" si="1446"/>
        <v>0</v>
      </c>
      <c r="V856" s="11">
        <f t="shared" si="146"/>
      </c>
      <c r="W856" s="11" t="s">
        <f t="shared" si="145"/>
      </c>
      <c r="X856" s="11" t="s">
        <f t="shared" si="138"/>
      </c>
    </row>
    <row r="857" ht="12.50" customHeight="true">
      <c r="A857" s="10"/>
      <c r="B857" s="11"/>
      <c r="C857" s="11"/>
      <c r="D857" s="11"/>
      <c r="E857" s="11"/>
      <c r="F857" s="11"/>
      <c r="G857" s="11"/>
      <c r="H857" s="11"/>
      <c r="I857" s="11"/>
      <c r="J857" s="11"/>
      <c r="K857" s="11" t="s">
        <f>""</f>
      </c>
      <c r="L857" s="11" t="s">
        <f t="shared" si="143"/>
      </c>
      <c r="M857" s="8" t="s">
        <f t="shared" si="141"/>
      </c>
      <c r="N857" s="11"/>
      <c r="O857" s="10">
        <f ref="O857:P857" t="shared" si="1377">A857</f>
        <v>0</v>
      </c>
      <c r="P857" s="11">
        <f t="shared" si="1377"/>
        <v>0</v>
      </c>
      <c r="Q857" s="11" t="s">
        <f t="shared" si="144"/>
      </c>
      <c r="R857" s="11">
        <f t="shared" si="139"/>
        <v>0</v>
      </c>
      <c r="S857" s="11">
        <f ref="S857:U857" t="shared" si="1376">E857</f>
        <v>0</v>
      </c>
      <c r="T857" s="11">
        <f t="shared" si="1376"/>
        <v>0</v>
      </c>
      <c r="U857" s="11">
        <f t="shared" si="1376"/>
        <v>0</v>
      </c>
      <c r="V857" s="11">
        <f t="shared" si="146"/>
      </c>
      <c r="W857" s="11" t="s">
        <f t="shared" si="145"/>
      </c>
      <c r="X857" s="11" t="s">
        <f t="shared" si="138"/>
      </c>
    </row>
    <row r="858" ht="12.50" customHeight="true">
      <c r="A858" s="10"/>
      <c r="B858" s="11"/>
      <c r="C858" s="11"/>
      <c r="D858" s="11"/>
      <c r="E858" s="11"/>
      <c r="F858" s="11"/>
      <c r="G858" s="11"/>
      <c r="H858" s="11"/>
      <c r="I858" s="11"/>
      <c r="J858" s="11"/>
      <c r="K858" s="11" t="s">
        <f>""</f>
      </c>
      <c r="L858" s="11" t="s">
        <f t="shared" si="143"/>
      </c>
      <c r="M858" s="8" t="s">
        <f t="shared" si="141"/>
      </c>
      <c r="N858" s="11"/>
      <c r="O858" s="10">
        <f ref="O858:P858" t="shared" si="1011">A858</f>
        <v>0</v>
      </c>
      <c r="P858" s="11">
        <f t="shared" si="1011"/>
        <v>0</v>
      </c>
      <c r="Q858" s="11" t="s">
        <f t="shared" si="144"/>
      </c>
      <c r="R858" s="11">
        <f t="shared" si="139"/>
        <v>0</v>
      </c>
      <c r="S858" s="11">
        <f ref="S858:U858" t="shared" si="1012">E858</f>
        <v>0</v>
      </c>
      <c r="T858" s="11">
        <f t="shared" si="1012"/>
        <v>0</v>
      </c>
      <c r="U858" s="11">
        <f t="shared" si="1012"/>
        <v>0</v>
      </c>
      <c r="V858" s="11">
        <f t="shared" si="146"/>
      </c>
      <c r="W858" s="11" t="s">
        <f t="shared" si="145"/>
      </c>
      <c r="X858" s="11" t="s">
        <f t="shared" si="138"/>
      </c>
    </row>
    <row r="859" ht="12.50" customHeight="true">
      <c r="A859" s="10"/>
      <c r="B859" s="11"/>
      <c r="C859" s="11"/>
      <c r="D859" s="11"/>
      <c r="E859" s="11"/>
      <c r="F859" s="11"/>
      <c r="G859" s="11"/>
      <c r="H859" s="11"/>
      <c r="I859" s="11"/>
      <c r="J859" s="11"/>
      <c r="K859" s="11" t="s">
        <f>""</f>
      </c>
      <c r="L859" s="11" t="s">
        <f t="shared" si="143"/>
      </c>
      <c r="M859" s="8" t="s">
        <f t="shared" si="141"/>
      </c>
      <c r="N859" s="11"/>
      <c r="O859" s="10">
        <f ref="O859:P859" t="shared" si="550">A859</f>
        <v>0</v>
      </c>
      <c r="P859" s="11">
        <f t="shared" si="550"/>
        <v>0</v>
      </c>
      <c r="Q859" s="11" t="s">
        <f t="shared" si="144"/>
      </c>
      <c r="R859" s="11">
        <f t="shared" si="139"/>
        <v>0</v>
      </c>
      <c r="S859" s="11">
        <f ref="S859:U859" t="shared" si="551">E859</f>
        <v>0</v>
      </c>
      <c r="T859" s="11">
        <f t="shared" si="551"/>
        <v>0</v>
      </c>
      <c r="U859" s="11">
        <f t="shared" si="551"/>
        <v>0</v>
      </c>
      <c r="V859" s="11">
        <f t="shared" si="146"/>
      </c>
      <c r="W859" s="11" t="s">
        <f t="shared" si="145"/>
      </c>
      <c r="X859" s="11" t="s">
        <f t="shared" si="138"/>
      </c>
    </row>
    <row r="860" ht="12.50" customHeight="true">
      <c r="A860" s="10"/>
      <c r="B860" s="11"/>
      <c r="C860" s="11"/>
      <c r="D860" s="11"/>
      <c r="E860" s="11"/>
      <c r="F860" s="11"/>
      <c r="G860" s="11"/>
      <c r="H860" s="11"/>
      <c r="I860" s="11"/>
      <c r="J860" s="11"/>
      <c r="K860" s="11" t="s">
        <f>""</f>
      </c>
      <c r="L860" s="11" t="s">
        <f t="shared" si="143"/>
      </c>
      <c r="M860" s="8" t="s">
        <f t="shared" si="141"/>
      </c>
      <c r="N860" s="11"/>
      <c r="O860" s="10">
        <f ref="O860:P860" t="shared" si="179">A860</f>
        <v>0</v>
      </c>
      <c r="P860" s="11">
        <f t="shared" si="179"/>
        <v>0</v>
      </c>
      <c r="Q860" s="11" t="s">
        <f t="shared" si="144"/>
      </c>
      <c r="R860" s="11">
        <f t="shared" si="139"/>
        <v>0</v>
      </c>
      <c r="S860" s="11">
        <f ref="S860:U860" t="shared" si="180">E860</f>
        <v>0</v>
      </c>
      <c r="T860" s="11">
        <f t="shared" si="180"/>
        <v>0</v>
      </c>
      <c r="U860" s="11">
        <f t="shared" si="180"/>
        <v>0</v>
      </c>
      <c r="V860" s="11">
        <f t="shared" si="146"/>
      </c>
      <c r="W860" s="11" t="s">
        <f t="shared" si="145"/>
      </c>
      <c r="X860" s="11" t="s">
        <f t="shared" si="138"/>
      </c>
    </row>
    <row r="861" ht="12.50" customHeight="true">
      <c r="A861" s="10"/>
      <c r="B861" s="11"/>
      <c r="C861" s="11"/>
      <c r="D861" s="11"/>
      <c r="E861" s="11"/>
      <c r="F861" s="11"/>
      <c r="G861" s="11"/>
      <c r="H861" s="11"/>
      <c r="I861" s="11"/>
      <c r="J861" s="11"/>
      <c r="K861" s="11" t="s">
        <f>""</f>
      </c>
      <c r="L861" s="11" t="s">
        <f t="shared" si="143"/>
      </c>
      <c r="M861" s="8" t="s">
        <f t="shared" si="141"/>
      </c>
      <c r="N861" s="11"/>
      <c r="O861" s="10">
        <f ref="O861:P861" t="shared" si="60">A861</f>
        <v>0</v>
      </c>
      <c r="P861" s="11">
        <f t="shared" si="60"/>
        <v>0</v>
      </c>
      <c r="Q861" s="11" t="s">
        <f t="shared" si="144"/>
      </c>
      <c r="R861" s="11">
        <f t="shared" si="139"/>
        <v>0</v>
      </c>
      <c r="S861" s="11">
        <f ref="S861:U861" t="shared" si="61">E861</f>
        <v>0</v>
      </c>
      <c r="T861" s="11">
        <f t="shared" si="61"/>
        <v>0</v>
      </c>
      <c r="U861" s="11">
        <f t="shared" si="61"/>
        <v>0</v>
      </c>
      <c r="V861" s="11">
        <f t="shared" si="146"/>
      </c>
      <c r="W861" s="11" t="s">
        <f t="shared" si="145"/>
      </c>
      <c r="X861" s="11" t="s">
        <f t="shared" si="138"/>
      </c>
    </row>
    <row r="862" ht="12.50" customHeight="true">
      <c r="A862" s="10"/>
      <c r="B862" s="11"/>
      <c r="C862" s="11"/>
      <c r="D862" s="11"/>
      <c r="E862" s="11"/>
      <c r="F862" s="11"/>
      <c r="G862" s="11"/>
      <c r="H862" s="11"/>
      <c r="I862" s="11"/>
      <c r="J862" s="11"/>
      <c r="K862" s="11" t="s">
        <f>""</f>
      </c>
      <c r="L862" s="11" t="s">
        <f t="shared" si="143"/>
      </c>
      <c r="M862" s="8" t="s">
        <f t="shared" si="141"/>
      </c>
      <c r="N862" s="11"/>
      <c r="O862" s="10">
        <f ref="O862:P862" t="shared" si="783">A862</f>
        <v>0</v>
      </c>
      <c r="P862" s="11">
        <f t="shared" si="783"/>
        <v>0</v>
      </c>
      <c r="Q862" s="11" t="s">
        <f t="shared" si="144"/>
      </c>
      <c r="R862" s="11">
        <f t="shared" si="139"/>
        <v>0</v>
      </c>
      <c r="S862" s="11">
        <f ref="S862:U862" t="shared" si="782">E862</f>
        <v>0</v>
      </c>
      <c r="T862" s="11">
        <f t="shared" si="782"/>
        <v>0</v>
      </c>
      <c r="U862" s="11">
        <f t="shared" si="782"/>
        <v>0</v>
      </c>
      <c r="V862" s="11">
        <f t="shared" si="146"/>
      </c>
      <c r="W862" s="11" t="s">
        <f t="shared" si="145"/>
      </c>
      <c r="X862" s="11" t="s">
        <f t="shared" si="138"/>
      </c>
    </row>
    <row r="863" ht="12.50" customHeight="true">
      <c r="A863" s="10"/>
      <c r="B863" s="11"/>
      <c r="C863" s="11"/>
      <c r="D863" s="11"/>
      <c r="E863" s="11"/>
      <c r="F863" s="11"/>
      <c r="G863" s="11"/>
      <c r="H863" s="11"/>
      <c r="I863" s="11"/>
      <c r="J863" s="11"/>
      <c r="K863" s="11" t="s">
        <f>""</f>
      </c>
      <c r="L863" s="11" t="s">
        <f t="shared" si="143"/>
      </c>
      <c r="M863" s="8" t="s">
        <f t="shared" si="141"/>
      </c>
      <c r="N863" s="11"/>
      <c r="O863" s="10">
        <f ref="O863:P863" t="shared" si="1872">A863</f>
        <v>0</v>
      </c>
      <c r="P863" s="11">
        <f t="shared" si="1872"/>
        <v>0</v>
      </c>
      <c r="Q863" s="11" t="s">
        <f t="shared" si="144"/>
      </c>
      <c r="R863" s="11">
        <f t="shared" si="139"/>
        <v>0</v>
      </c>
      <c r="S863" s="11">
        <f ref="S863:U863" t="shared" si="1873">E863</f>
        <v>0</v>
      </c>
      <c r="T863" s="11">
        <f t="shared" si="1873"/>
        <v>0</v>
      </c>
      <c r="U863" s="11">
        <f t="shared" si="1873"/>
        <v>0</v>
      </c>
      <c r="V863" s="11">
        <f t="shared" si="146"/>
      </c>
      <c r="W863" s="11" t="s">
        <f t="shared" si="145"/>
      </c>
      <c r="X863" s="11" t="s">
        <f t="shared" si="138"/>
      </c>
    </row>
    <row r="864" ht="12.50" customHeight="true">
      <c r="A864" s="10"/>
      <c r="B864" s="11"/>
      <c r="C864" s="11"/>
      <c r="D864" s="11"/>
      <c r="E864" s="11"/>
      <c r="F864" s="11"/>
      <c r="G864" s="11"/>
      <c r="H864" s="11"/>
      <c r="I864" s="11"/>
      <c r="J864" s="11"/>
      <c r="K864" s="11" t="s">
        <f>""</f>
      </c>
      <c r="L864" s="11" t="s">
        <f t="shared" si="143"/>
      </c>
      <c r="M864" s="8" t="s">
        <f t="shared" si="141"/>
      </c>
      <c r="N864" s="11"/>
      <c r="O864" s="10">
        <f ref="O864:P864" t="shared" si="216">A864</f>
        <v>0</v>
      </c>
      <c r="P864" s="11">
        <f t="shared" si="216"/>
        <v>0</v>
      </c>
      <c r="Q864" s="11" t="s">
        <f t="shared" si="144"/>
      </c>
      <c r="R864" s="11">
        <f t="shared" si="139"/>
        <v>0</v>
      </c>
      <c r="S864" s="11">
        <f ref="S864:U864" t="shared" si="215">E864</f>
        <v>0</v>
      </c>
      <c r="T864" s="11">
        <f t="shared" si="215"/>
        <v>0</v>
      </c>
      <c r="U864" s="11">
        <f t="shared" si="215"/>
        <v>0</v>
      </c>
      <c r="V864" s="11">
        <f t="shared" si="146"/>
      </c>
      <c r="W864" s="11" t="s">
        <f t="shared" si="145"/>
      </c>
      <c r="X864" s="11" t="s">
        <f t="shared" si="138"/>
      </c>
    </row>
    <row r="865" ht="12.50" customHeight="true">
      <c r="A865" s="10"/>
      <c r="B865" s="11"/>
      <c r="C865" s="11"/>
      <c r="D865" s="11"/>
      <c r="E865" s="11"/>
      <c r="F865" s="11"/>
      <c r="G865" s="11"/>
      <c r="H865" s="11"/>
      <c r="I865" s="11"/>
      <c r="J865" s="11"/>
      <c r="K865" s="11" t="s">
        <f>""</f>
      </c>
      <c r="L865" s="11" t="s">
        <f t="shared" si="143"/>
      </c>
      <c r="M865" s="8" t="s">
        <f t="shared" si="141"/>
      </c>
      <c r="N865" s="11"/>
      <c r="O865" s="10">
        <f ref="O865:P865" t="shared" si="1393">A865</f>
        <v>0</v>
      </c>
      <c r="P865" s="11">
        <f t="shared" si="1393"/>
        <v>0</v>
      </c>
      <c r="Q865" s="11" t="s">
        <f t="shared" si="144"/>
      </c>
      <c r="R865" s="11">
        <f t="shared" si="139"/>
        <v>0</v>
      </c>
      <c r="S865" s="11">
        <f ref="S865:U865" t="shared" si="1392">E865</f>
        <v>0</v>
      </c>
      <c r="T865" s="11">
        <f t="shared" si="1392"/>
        <v>0</v>
      </c>
      <c r="U865" s="11">
        <f t="shared" si="1392"/>
        <v>0</v>
      </c>
      <c r="V865" s="11">
        <f t="shared" si="146"/>
      </c>
      <c r="W865" s="11" t="s">
        <f t="shared" si="145"/>
      </c>
      <c r="X865" s="11" t="s">
        <f t="shared" si="138"/>
      </c>
    </row>
    <row r="866" ht="12.50" customHeight="true">
      <c r="A866" s="10"/>
      <c r="B866" s="11"/>
      <c r="C866" s="11"/>
      <c r="D866" s="11"/>
      <c r="E866" s="11"/>
      <c r="F866" s="11"/>
      <c r="G866" s="11"/>
      <c r="H866" s="11"/>
      <c r="I866" s="11"/>
      <c r="J866" s="11"/>
      <c r="K866" s="11" t="s">
        <f>""</f>
      </c>
      <c r="L866" s="11" t="s">
        <f t="shared" si="143"/>
      </c>
      <c r="M866" s="8" t="s">
        <f t="shared" si="141"/>
      </c>
      <c r="N866" s="11"/>
      <c r="O866" s="10">
        <f ref="O866:P866" t="shared" si="1536">A866</f>
        <v>0</v>
      </c>
      <c r="P866" s="11">
        <f t="shared" si="1536"/>
        <v>0</v>
      </c>
      <c r="Q866" s="11" t="s">
        <f t="shared" si="144"/>
      </c>
      <c r="R866" s="11">
        <f t="shared" si="139"/>
        <v>0</v>
      </c>
      <c r="S866" s="11">
        <f ref="S866:U866" t="shared" si="1537">E866</f>
        <v>0</v>
      </c>
      <c r="T866" s="11">
        <f t="shared" si="1537"/>
        <v>0</v>
      </c>
      <c r="U866" s="11">
        <f t="shared" si="1537"/>
        <v>0</v>
      </c>
      <c r="V866" s="11">
        <f t="shared" si="146"/>
      </c>
      <c r="W866" s="11" t="s">
        <f t="shared" si="145"/>
      </c>
      <c r="X866" s="11" t="s">
        <f t="shared" si="138"/>
      </c>
    </row>
    <row r="867" ht="12.50" customHeight="true">
      <c r="A867" s="10"/>
      <c r="B867" s="11"/>
      <c r="C867" s="11"/>
      <c r="D867" s="11"/>
      <c r="E867" s="11"/>
      <c r="F867" s="11"/>
      <c r="G867" s="11"/>
      <c r="H867" s="11"/>
      <c r="I867" s="11"/>
      <c r="J867" s="11"/>
      <c r="K867" s="11" t="s">
        <f>""</f>
      </c>
      <c r="L867" s="11" t="s">
        <f t="shared" si="143"/>
      </c>
      <c r="M867" s="8" t="s">
        <f t="shared" si="141"/>
      </c>
      <c r="N867" s="11"/>
      <c r="O867" s="10">
        <f ref="O867:P867" t="shared" si="1728">A867</f>
        <v>0</v>
      </c>
      <c r="P867" s="11">
        <f t="shared" si="1728"/>
        <v>0</v>
      </c>
      <c r="Q867" s="11" t="s">
        <f t="shared" si="144"/>
      </c>
      <c r="R867" s="11">
        <f t="shared" si="139"/>
        <v>0</v>
      </c>
      <c r="S867" s="11">
        <f ref="S867:U867" t="shared" si="1729">E867</f>
        <v>0</v>
      </c>
      <c r="T867" s="11">
        <f t="shared" si="1729"/>
        <v>0</v>
      </c>
      <c r="U867" s="11">
        <f t="shared" si="1729"/>
        <v>0</v>
      </c>
      <c r="V867" s="11">
        <f t="shared" si="146"/>
      </c>
      <c r="W867" s="11" t="s">
        <f t="shared" si="145"/>
      </c>
      <c r="X867" s="11" t="s">
        <f t="shared" si="138"/>
      </c>
    </row>
    <row r="868" ht="12.50" customHeight="true">
      <c r="A868" s="10"/>
      <c r="B868" s="11"/>
      <c r="C868" s="11"/>
      <c r="D868" s="11"/>
      <c r="E868" s="11"/>
      <c r="F868" s="11"/>
      <c r="G868" s="11"/>
      <c r="H868" s="11"/>
      <c r="I868" s="11"/>
      <c r="J868" s="11"/>
      <c r="K868" s="11" t="s">
        <f>""</f>
      </c>
      <c r="L868" s="11" t="s">
        <f t="shared" si="143"/>
      </c>
      <c r="M868" s="8" t="s">
        <f t="shared" si="141"/>
      </c>
      <c r="N868" s="11"/>
      <c r="O868" s="10">
        <f ref="O868:P868" t="shared" si="465">A868</f>
        <v>0</v>
      </c>
      <c r="P868" s="11">
        <f t="shared" si="465"/>
        <v>0</v>
      </c>
      <c r="Q868" s="11" t="s">
        <f t="shared" si="144"/>
      </c>
      <c r="R868" s="11">
        <f t="shared" si="139"/>
        <v>0</v>
      </c>
      <c r="S868" s="11">
        <f ref="S868:U868" t="shared" si="464">E868</f>
        <v>0</v>
      </c>
      <c r="T868" s="11">
        <f t="shared" si="464"/>
        <v>0</v>
      </c>
      <c r="U868" s="11">
        <f t="shared" si="464"/>
        <v>0</v>
      </c>
      <c r="V868" s="11">
        <f t="shared" si="146"/>
      </c>
      <c r="W868" s="11" t="s">
        <f t="shared" si="145"/>
      </c>
      <c r="X868" s="11" t="s">
        <f t="shared" si="138"/>
      </c>
    </row>
    <row r="869" ht="12.50" customHeight="true">
      <c r="A869" s="10"/>
      <c r="B869" s="11"/>
      <c r="C869" s="11"/>
      <c r="D869" s="11"/>
      <c r="E869" s="11"/>
      <c r="F869" s="11"/>
      <c r="G869" s="11"/>
      <c r="H869" s="11"/>
      <c r="I869" s="11"/>
      <c r="J869" s="11"/>
      <c r="K869" s="11" t="s">
        <f>""</f>
      </c>
      <c r="L869" s="11" t="s">
        <f t="shared" si="143"/>
      </c>
      <c r="M869" s="8" t="s">
        <f t="shared" si="141"/>
      </c>
      <c r="N869" s="11"/>
      <c r="O869" s="10">
        <f ref="O869:P869" t="shared" si="113">A869</f>
        <v>0</v>
      </c>
      <c r="P869" s="11">
        <f t="shared" si="113"/>
        <v>0</v>
      </c>
      <c r="Q869" s="11" t="s">
        <f t="shared" si="144"/>
      </c>
      <c r="R869" s="11">
        <f t="shared" si="139"/>
        <v>0</v>
      </c>
      <c r="S869" s="11">
        <f ref="S869:U869" t="shared" si="112">E869</f>
        <v>0</v>
      </c>
      <c r="T869" s="11">
        <f t="shared" si="112"/>
        <v>0</v>
      </c>
      <c r="U869" s="11">
        <f t="shared" si="112"/>
        <v>0</v>
      </c>
      <c r="V869" s="11">
        <f t="shared" si="146"/>
      </c>
      <c r="W869" s="11" t="s">
        <f t="shared" si="145"/>
      </c>
      <c r="X869" s="11" t="s">
        <f t="shared" si="138"/>
      </c>
    </row>
    <row r="870" ht="12.50" customHeight="true">
      <c r="A870" s="10"/>
      <c r="B870" s="11"/>
      <c r="C870" s="11"/>
      <c r="D870" s="11"/>
      <c r="E870" s="11"/>
      <c r="F870" s="11"/>
      <c r="G870" s="11"/>
      <c r="H870" s="11"/>
      <c r="I870" s="11"/>
      <c r="J870" s="11"/>
      <c r="K870" s="11" t="s">
        <f>""</f>
      </c>
      <c r="L870" s="11" t="s">
        <f t="shared" si="143"/>
      </c>
      <c r="M870" s="8" t="s">
        <f t="shared" si="141"/>
      </c>
      <c r="N870" s="11"/>
      <c r="O870" s="10">
        <f ref="O870:P870" t="shared" si="1016">A870</f>
        <v>0</v>
      </c>
      <c r="P870" s="11">
        <f t="shared" si="1016"/>
        <v>0</v>
      </c>
      <c r="Q870" s="11" t="s">
        <f t="shared" si="144"/>
      </c>
      <c r="R870" s="11">
        <f t="shared" si="139"/>
        <v>0</v>
      </c>
      <c r="S870" s="11">
        <f ref="S870:U870" t="shared" si="1015">E870</f>
        <v>0</v>
      </c>
      <c r="T870" s="11">
        <f t="shared" si="1015"/>
        <v>0</v>
      </c>
      <c r="U870" s="11">
        <f t="shared" si="1015"/>
        <v>0</v>
      </c>
      <c r="V870" s="11">
        <f t="shared" si="146"/>
      </c>
      <c r="W870" s="11" t="s">
        <f t="shared" si="145"/>
      </c>
      <c r="X870" s="11" t="s">
        <f t="shared" si="138"/>
      </c>
    </row>
    <row r="871" ht="12.50" customHeight="true">
      <c r="A871" s="10"/>
      <c r="B871" s="11"/>
      <c r="C871" s="11"/>
      <c r="D871" s="11"/>
      <c r="E871" s="11"/>
      <c r="F871" s="11"/>
      <c r="G871" s="11"/>
      <c r="H871" s="11"/>
      <c r="I871" s="11"/>
      <c r="J871" s="11"/>
      <c r="K871" s="11" t="s">
        <f>""</f>
      </c>
      <c r="L871" s="11" t="s">
        <f t="shared" si="143"/>
      </c>
      <c r="M871" s="8" t="s">
        <f t="shared" si="141"/>
      </c>
      <c r="N871" s="11"/>
      <c r="O871" s="10">
        <f ref="O871:P871" t="shared" si="1180">A871</f>
        <v>0</v>
      </c>
      <c r="P871" s="11">
        <f t="shared" si="1180"/>
        <v>0</v>
      </c>
      <c r="Q871" s="11" t="s">
        <f t="shared" si="144"/>
      </c>
      <c r="R871" s="11">
        <f t="shared" si="139"/>
        <v>0</v>
      </c>
      <c r="S871" s="11">
        <f ref="S871:U871" t="shared" si="1179">E871</f>
        <v>0</v>
      </c>
      <c r="T871" s="11">
        <f t="shared" si="1179"/>
        <v>0</v>
      </c>
      <c r="U871" s="11">
        <f t="shared" si="1179"/>
        <v>0</v>
      </c>
      <c r="V871" s="11">
        <f t="shared" si="146"/>
      </c>
      <c r="W871" s="11" t="s">
        <f t="shared" si="145"/>
      </c>
      <c r="X871" s="11" t="s">
        <f t="shared" si="138"/>
      </c>
    </row>
    <row r="872" ht="12.50" customHeight="true">
      <c r="A872" s="10"/>
      <c r="B872" s="11"/>
      <c r="C872" s="11"/>
      <c r="D872" s="11"/>
      <c r="E872" s="11"/>
      <c r="F872" s="11"/>
      <c r="G872" s="11"/>
      <c r="H872" s="11"/>
      <c r="I872" s="11"/>
      <c r="J872" s="11"/>
      <c r="K872" s="11" t="s">
        <f>""</f>
      </c>
      <c r="L872" s="11" t="s">
        <f t="shared" si="143"/>
      </c>
      <c r="M872" s="8" t="s">
        <f t="shared" si="141"/>
      </c>
      <c r="N872" s="11"/>
      <c r="O872" s="10">
        <f ref="O872:P872" t="shared" si="1906">A872</f>
        <v>0</v>
      </c>
      <c r="P872" s="11">
        <f t="shared" si="1906"/>
        <v>0</v>
      </c>
      <c r="Q872" s="11" t="s">
        <f t="shared" si="144"/>
      </c>
      <c r="R872" s="11">
        <f t="shared" si="139"/>
        <v>0</v>
      </c>
      <c r="S872" s="11">
        <f ref="S872:U872" t="shared" si="1907">E872</f>
        <v>0</v>
      </c>
      <c r="T872" s="11">
        <f t="shared" si="1907"/>
        <v>0</v>
      </c>
      <c r="U872" s="11">
        <f t="shared" si="1907"/>
        <v>0</v>
      </c>
      <c r="V872" s="11">
        <f t="shared" si="146"/>
      </c>
      <c r="W872" s="11" t="s">
        <f t="shared" si="145"/>
      </c>
      <c r="X872" s="11" t="s">
        <f t="shared" si="138"/>
      </c>
    </row>
    <row r="873" ht="12.50" customHeight="true">
      <c r="A873" s="10"/>
      <c r="B873" s="11"/>
      <c r="C873" s="11"/>
      <c r="D873" s="11"/>
      <c r="E873" s="11"/>
      <c r="F873" s="11"/>
      <c r="G873" s="11"/>
      <c r="H873" s="11"/>
      <c r="I873" s="11"/>
      <c r="J873" s="11"/>
      <c r="K873" s="11" t="s">
        <f>""</f>
      </c>
      <c r="L873" s="11" t="s">
        <f t="shared" si="143"/>
      </c>
      <c r="M873" s="8" t="s">
        <f t="shared" si="141"/>
      </c>
      <c r="N873" s="11"/>
      <c r="O873" s="10">
        <f ref="O873:P873" t="shared" si="915">A873</f>
        <v>0</v>
      </c>
      <c r="P873" s="11">
        <f t="shared" si="915"/>
        <v>0</v>
      </c>
      <c r="Q873" s="11" t="s">
        <f t="shared" si="144"/>
      </c>
      <c r="R873" s="11">
        <f t="shared" si="139"/>
        <v>0</v>
      </c>
      <c r="S873" s="11">
        <f ref="S873:U873" t="shared" si="914">E873</f>
        <v>0</v>
      </c>
      <c r="T873" s="11">
        <f t="shared" si="914"/>
        <v>0</v>
      </c>
      <c r="U873" s="11">
        <f t="shared" si="914"/>
        <v>0</v>
      </c>
      <c r="V873" s="11">
        <f t="shared" si="146"/>
      </c>
      <c r="W873" s="11" t="s">
        <f t="shared" si="145"/>
      </c>
      <c r="X873" s="11" t="s">
        <f t="shared" si="138"/>
      </c>
    </row>
    <row r="874" ht="12.50" customHeight="true">
      <c r="A874" s="10"/>
      <c r="B874" s="11"/>
      <c r="C874" s="11"/>
      <c r="D874" s="11"/>
      <c r="E874" s="11"/>
      <c r="F874" s="11"/>
      <c r="G874" s="11"/>
      <c r="H874" s="11"/>
      <c r="I874" s="11"/>
      <c r="J874" s="11"/>
      <c r="K874" s="11" t="s">
        <f>""</f>
      </c>
      <c r="L874" s="11" t="s">
        <f t="shared" si="143"/>
      </c>
      <c r="M874" s="8" t="s">
        <f t="shared" si="141"/>
      </c>
      <c r="N874" s="11"/>
      <c r="O874" s="10">
        <f ref="O874:P874" t="shared" si="775">A874</f>
        <v>0</v>
      </c>
      <c r="P874" s="11">
        <f t="shared" si="775"/>
        <v>0</v>
      </c>
      <c r="Q874" s="11" t="s">
        <f t="shared" si="144"/>
      </c>
      <c r="R874" s="11">
        <f t="shared" si="139"/>
        <v>0</v>
      </c>
      <c r="S874" s="11">
        <f ref="S874:U874" t="shared" si="774">E874</f>
        <v>0</v>
      </c>
      <c r="T874" s="11">
        <f t="shared" si="774"/>
        <v>0</v>
      </c>
      <c r="U874" s="11">
        <f t="shared" si="774"/>
        <v>0</v>
      </c>
      <c r="V874" s="11">
        <f t="shared" si="146"/>
      </c>
      <c r="W874" s="11" t="s">
        <f t="shared" si="145"/>
      </c>
      <c r="X874" s="11" t="s">
        <f t="shared" si="138"/>
      </c>
    </row>
    <row r="875" ht="12.50" customHeight="true">
      <c r="A875" s="10"/>
      <c r="B875" s="11"/>
      <c r="C875" s="11"/>
      <c r="D875" s="11"/>
      <c r="E875" s="11"/>
      <c r="F875" s="11"/>
      <c r="G875" s="11"/>
      <c r="H875" s="11"/>
      <c r="I875" s="11"/>
      <c r="J875" s="11"/>
      <c r="K875" s="11" t="s">
        <f>""</f>
      </c>
      <c r="L875" s="11" t="s">
        <f t="shared" si="143"/>
      </c>
      <c r="M875" s="8" t="s">
        <f t="shared" si="141"/>
      </c>
      <c r="N875" s="11"/>
      <c r="O875" s="10">
        <f ref="O875:P875" t="shared" si="1384">A875</f>
        <v>0</v>
      </c>
      <c r="P875" s="11">
        <f t="shared" si="1384"/>
        <v>0</v>
      </c>
      <c r="Q875" s="11" t="s">
        <f t="shared" si="144"/>
      </c>
      <c r="R875" s="11">
        <f t="shared" si="139"/>
        <v>0</v>
      </c>
      <c r="S875" s="11">
        <f ref="S875:U875" t="shared" si="1385">E875</f>
        <v>0</v>
      </c>
      <c r="T875" s="11">
        <f t="shared" si="1385"/>
        <v>0</v>
      </c>
      <c r="U875" s="11">
        <f t="shared" si="1385"/>
        <v>0</v>
      </c>
      <c r="V875" s="11">
        <f t="shared" si="146"/>
      </c>
      <c r="W875" s="11" t="s">
        <f t="shared" si="145"/>
      </c>
      <c r="X875" s="11" t="s">
        <f t="shared" si="138"/>
      </c>
    </row>
    <row r="876" ht="12.50" customHeight="true">
      <c r="A876" s="10"/>
      <c r="B876" s="11"/>
      <c r="C876" s="11"/>
      <c r="D876" s="11"/>
      <c r="E876" s="11"/>
      <c r="F876" s="11"/>
      <c r="G876" s="11"/>
      <c r="H876" s="11"/>
      <c r="I876" s="11"/>
      <c r="J876" s="11"/>
      <c r="K876" s="11" t="s">
        <f>""</f>
      </c>
      <c r="L876" s="11" t="s">
        <f t="shared" si="143"/>
      </c>
      <c r="M876" s="8" t="s">
        <f t="shared" si="141"/>
      </c>
      <c r="N876" s="11"/>
      <c r="O876" s="10">
        <f ref="O876:P876" t="shared" si="41">A876</f>
        <v>0</v>
      </c>
      <c r="P876" s="11">
        <f t="shared" si="41"/>
        <v>0</v>
      </c>
      <c r="Q876" s="11" t="s">
        <f t="shared" si="144"/>
      </c>
      <c r="R876" s="11">
        <f t="shared" si="139"/>
        <v>0</v>
      </c>
      <c r="S876" s="11">
        <f ref="S876:U876" t="shared" si="40">E876</f>
        <v>0</v>
      </c>
      <c r="T876" s="11">
        <f t="shared" si="40"/>
        <v>0</v>
      </c>
      <c r="U876" s="11">
        <f t="shared" si="40"/>
        <v>0</v>
      </c>
      <c r="V876" s="11">
        <f t="shared" si="146"/>
      </c>
      <c r="W876" s="11" t="s">
        <f t="shared" si="145"/>
      </c>
      <c r="X876" s="11" t="s">
        <f t="shared" si="138"/>
      </c>
    </row>
    <row r="877" ht="12.50" customHeight="true">
      <c r="A877" s="10"/>
      <c r="B877" s="11"/>
      <c r="C877" s="11"/>
      <c r="D877" s="11"/>
      <c r="E877" s="11"/>
      <c r="F877" s="11"/>
      <c r="G877" s="11"/>
      <c r="H877" s="11"/>
      <c r="I877" s="11"/>
      <c r="J877" s="11"/>
      <c r="K877" s="11" t="s">
        <f>""</f>
      </c>
      <c r="L877" s="11" t="s">
        <f t="shared" si="143"/>
      </c>
      <c r="M877" s="8" t="s">
        <f t="shared" si="141"/>
      </c>
      <c r="N877" s="11"/>
      <c r="O877" s="10">
        <f ref="O877:P877" t="shared" si="1281">A877</f>
        <v>0</v>
      </c>
      <c r="P877" s="11">
        <f t="shared" si="1281"/>
        <v>0</v>
      </c>
      <c r="Q877" s="11" t="s">
        <f t="shared" si="144"/>
      </c>
      <c r="R877" s="11">
        <f t="shared" si="139"/>
        <v>0</v>
      </c>
      <c r="S877" s="11">
        <f ref="S877:U877" t="shared" si="1280">E877</f>
        <v>0</v>
      </c>
      <c r="T877" s="11">
        <f t="shared" si="1280"/>
        <v>0</v>
      </c>
      <c r="U877" s="11">
        <f t="shared" si="1280"/>
        <v>0</v>
      </c>
      <c r="V877" s="11">
        <f t="shared" si="146"/>
      </c>
      <c r="W877" s="11" t="s">
        <f t="shared" si="145"/>
      </c>
      <c r="X877" s="11" t="s">
        <f t="shared" si="138"/>
      </c>
    </row>
    <row r="878" ht="12.50" customHeight="true">
      <c r="A878" s="10"/>
      <c r="B878" s="11"/>
      <c r="C878" s="11"/>
      <c r="D878" s="11"/>
      <c r="E878" s="11"/>
      <c r="F878" s="11"/>
      <c r="G878" s="11"/>
      <c r="H878" s="11"/>
      <c r="I878" s="11"/>
      <c r="J878" s="11"/>
      <c r="K878" s="11" t="s">
        <f>""</f>
      </c>
      <c r="L878" s="11" t="s">
        <f t="shared" si="143"/>
      </c>
      <c r="M878" s="8" t="s">
        <f t="shared" si="141"/>
      </c>
      <c r="N878" s="11"/>
      <c r="O878" s="10">
        <f ref="O878:P878" t="shared" si="646">A878</f>
        <v>0</v>
      </c>
      <c r="P878" s="11">
        <f t="shared" si="646"/>
        <v>0</v>
      </c>
      <c r="Q878" s="11" t="s">
        <f t="shared" si="144"/>
      </c>
      <c r="R878" s="11">
        <f t="shared" si="139"/>
        <v>0</v>
      </c>
      <c r="S878" s="11">
        <f ref="S878:U878" t="shared" si="647">E878</f>
        <v>0</v>
      </c>
      <c r="T878" s="11">
        <f t="shared" si="647"/>
        <v>0</v>
      </c>
      <c r="U878" s="11">
        <f t="shared" si="647"/>
        <v>0</v>
      </c>
      <c r="V878" s="11">
        <f t="shared" si="146"/>
      </c>
      <c r="W878" s="11" t="s">
        <f t="shared" si="145"/>
      </c>
      <c r="X878" s="11" t="s">
        <f t="shared" si="138"/>
      </c>
    </row>
    <row r="879" ht="12.50" customHeight="true">
      <c r="A879" s="10"/>
      <c r="B879" s="11"/>
      <c r="C879" s="11"/>
      <c r="D879" s="11"/>
      <c r="E879" s="11"/>
      <c r="F879" s="11"/>
      <c r="G879" s="11"/>
      <c r="H879" s="11"/>
      <c r="I879" s="11"/>
      <c r="J879" s="11"/>
      <c r="K879" s="11" t="s">
        <f>""</f>
      </c>
      <c r="L879" s="11" t="s">
        <f t="shared" si="143"/>
      </c>
      <c r="M879" s="8" t="s">
        <f t="shared" si="141"/>
      </c>
      <c r="N879" s="11"/>
      <c r="O879" s="10">
        <f ref="O879:P879" t="shared" si="1308">A879</f>
        <v>0</v>
      </c>
      <c r="P879" s="11">
        <f t="shared" si="1308"/>
        <v>0</v>
      </c>
      <c r="Q879" s="11" t="s">
        <f t="shared" si="144"/>
      </c>
      <c r="R879" s="11">
        <f t="shared" si="139"/>
        <v>0</v>
      </c>
      <c r="S879" s="11">
        <f ref="S879:U879" t="shared" si="1309">E879</f>
        <v>0</v>
      </c>
      <c r="T879" s="11">
        <f t="shared" si="1309"/>
        <v>0</v>
      </c>
      <c r="U879" s="11">
        <f t="shared" si="1309"/>
        <v>0</v>
      </c>
      <c r="V879" s="11">
        <f t="shared" si="146"/>
      </c>
      <c r="W879" s="11" t="s">
        <f t="shared" si="145"/>
      </c>
      <c r="X879" s="11" t="s">
        <f t="shared" si="138"/>
      </c>
    </row>
    <row r="880" ht="12.50" customHeight="true">
      <c r="A880" s="10"/>
      <c r="B880" s="11"/>
      <c r="C880" s="11"/>
      <c r="D880" s="11"/>
      <c r="E880" s="11"/>
      <c r="F880" s="11"/>
      <c r="G880" s="11"/>
      <c r="H880" s="11"/>
      <c r="I880" s="11"/>
      <c r="J880" s="11"/>
      <c r="K880" s="11" t="s">
        <f>""</f>
      </c>
      <c r="L880" s="11" t="s">
        <f t="shared" si="143"/>
      </c>
      <c r="M880" s="8" t="s">
        <f t="shared" si="141"/>
      </c>
      <c r="N880" s="11"/>
      <c r="O880" s="10">
        <f ref="O880:P880" t="shared" si="615">A880</f>
        <v>0</v>
      </c>
      <c r="P880" s="11">
        <f t="shared" si="615"/>
        <v>0</v>
      </c>
      <c r="Q880" s="11" t="s">
        <f t="shared" si="144"/>
      </c>
      <c r="R880" s="11">
        <f t="shared" si="139"/>
        <v>0</v>
      </c>
      <c r="S880" s="11">
        <f ref="S880:U880" t="shared" si="614">E880</f>
        <v>0</v>
      </c>
      <c r="T880" s="11">
        <f t="shared" si="614"/>
        <v>0</v>
      </c>
      <c r="U880" s="11">
        <f t="shared" si="614"/>
        <v>0</v>
      </c>
      <c r="V880" s="11">
        <f t="shared" si="146"/>
      </c>
      <c r="W880" s="11" t="s">
        <f t="shared" si="145"/>
      </c>
      <c r="X880" s="11" t="s">
        <f t="shared" si="138"/>
      </c>
    </row>
    <row r="881" ht="12.50" customHeight="true">
      <c r="A881" s="10"/>
      <c r="B881" s="11"/>
      <c r="C881" s="11"/>
      <c r="D881" s="11"/>
      <c r="E881" s="11"/>
      <c r="F881" s="11"/>
      <c r="G881" s="11"/>
      <c r="H881" s="11"/>
      <c r="I881" s="11"/>
      <c r="J881" s="11"/>
      <c r="K881" s="11" t="s">
        <f>""</f>
      </c>
      <c r="L881" s="11" t="s">
        <f t="shared" si="143"/>
      </c>
      <c r="M881" s="8" t="s">
        <f t="shared" si="141"/>
      </c>
      <c r="N881" s="11"/>
      <c r="O881" s="10">
        <f ref="O881:P881" t="shared" si="444">A881</f>
        <v>0</v>
      </c>
      <c r="P881" s="11">
        <f t="shared" si="444"/>
        <v>0</v>
      </c>
      <c r="Q881" s="11" t="s">
        <f t="shared" si="144"/>
      </c>
      <c r="R881" s="11">
        <f t="shared" si="139"/>
        <v>0</v>
      </c>
      <c r="S881" s="11">
        <f ref="S881:U881" t="shared" si="445">E881</f>
        <v>0</v>
      </c>
      <c r="T881" s="11">
        <f t="shared" si="445"/>
        <v>0</v>
      </c>
      <c r="U881" s="11">
        <f t="shared" si="445"/>
        <v>0</v>
      </c>
      <c r="V881" s="11">
        <f t="shared" si="146"/>
      </c>
      <c r="W881" s="11" t="s">
        <f t="shared" si="145"/>
      </c>
      <c r="X881" s="11" t="s">
        <f t="shared" si="138"/>
      </c>
    </row>
    <row r="882" ht="12.50" customHeight="true">
      <c r="A882" s="10"/>
      <c r="B882" s="11"/>
      <c r="C882" s="11"/>
      <c r="D882" s="11"/>
      <c r="E882" s="11"/>
      <c r="F882" s="11"/>
      <c r="G882" s="11"/>
      <c r="H882" s="11"/>
      <c r="I882" s="11"/>
      <c r="J882" s="11"/>
      <c r="K882" s="11" t="s">
        <f>""</f>
      </c>
      <c r="L882" s="11" t="s">
        <f t="shared" si="143"/>
      </c>
      <c r="M882" s="8" t="s">
        <f t="shared" si="141"/>
      </c>
      <c r="N882" s="11"/>
      <c r="O882" s="10">
        <f ref="O882:P882" t="shared" si="698">A882</f>
        <v>0</v>
      </c>
      <c r="P882" s="11">
        <f t="shared" si="698"/>
        <v>0</v>
      </c>
      <c r="Q882" s="11" t="s">
        <f t="shared" si="144"/>
      </c>
      <c r="R882" s="11">
        <f t="shared" si="139"/>
        <v>0</v>
      </c>
      <c r="S882" s="11">
        <f ref="S882:U882" t="shared" si="699">E882</f>
        <v>0</v>
      </c>
      <c r="T882" s="11">
        <f t="shared" si="699"/>
        <v>0</v>
      </c>
      <c r="U882" s="11">
        <f t="shared" si="699"/>
        <v>0</v>
      </c>
      <c r="V882" s="11">
        <f t="shared" si="146"/>
      </c>
      <c r="W882" s="11" t="s">
        <f t="shared" si="145"/>
      </c>
      <c r="X882" s="11" t="s">
        <f t="shared" si="138"/>
      </c>
    </row>
    <row r="883" ht="12.50" customHeight="true">
      <c r="A883" s="10"/>
      <c r="B883" s="11"/>
      <c r="C883" s="11"/>
      <c r="D883" s="11"/>
      <c r="E883" s="11"/>
      <c r="F883" s="11"/>
      <c r="G883" s="11"/>
      <c r="H883" s="11"/>
      <c r="I883" s="11"/>
      <c r="J883" s="11"/>
      <c r="K883" s="11" t="s">
        <f>""</f>
      </c>
      <c r="L883" s="11" t="s">
        <f t="shared" si="143"/>
      </c>
      <c r="M883" s="8" t="s">
        <f t="shared" si="141"/>
      </c>
      <c r="N883" s="11"/>
      <c r="O883" s="10">
        <f ref="O883:P883" t="shared" si="1854">A883</f>
        <v>0</v>
      </c>
      <c r="P883" s="11">
        <f t="shared" si="1854"/>
        <v>0</v>
      </c>
      <c r="Q883" s="11" t="s">
        <f t="shared" si="144"/>
      </c>
      <c r="R883" s="11">
        <f t="shared" si="139"/>
        <v>0</v>
      </c>
      <c r="S883" s="11">
        <f ref="S883:U883" t="shared" si="1855">E883</f>
        <v>0</v>
      </c>
      <c r="T883" s="11">
        <f t="shared" si="1855"/>
        <v>0</v>
      </c>
      <c r="U883" s="11">
        <f t="shared" si="1855"/>
        <v>0</v>
      </c>
      <c r="V883" s="11">
        <f t="shared" si="146"/>
      </c>
      <c r="W883" s="11" t="s">
        <f t="shared" si="145"/>
      </c>
      <c r="X883" s="11" t="s">
        <f t="shared" si="138"/>
      </c>
    </row>
    <row r="884" ht="12.50" customHeight="true">
      <c r="A884" s="10"/>
      <c r="B884" s="11"/>
      <c r="C884" s="11"/>
      <c r="D884" s="11"/>
      <c r="E884" s="11"/>
      <c r="F884" s="11"/>
      <c r="G884" s="11"/>
      <c r="H884" s="11"/>
      <c r="I884" s="11"/>
      <c r="J884" s="11"/>
      <c r="K884" s="11" t="s">
        <f>""</f>
      </c>
      <c r="L884" s="11" t="s">
        <f t="shared" si="143"/>
      </c>
      <c r="M884" s="8" t="s">
        <f t="shared" si="141"/>
      </c>
      <c r="N884" s="11"/>
      <c r="O884" s="10">
        <f ref="O884:P884" t="shared" si="1223">A884</f>
        <v>0</v>
      </c>
      <c r="P884" s="11">
        <f t="shared" si="1223"/>
        <v>0</v>
      </c>
      <c r="Q884" s="11" t="s">
        <f t="shared" si="144"/>
      </c>
      <c r="R884" s="11">
        <f t="shared" si="139"/>
        <v>0</v>
      </c>
      <c r="S884" s="11">
        <f ref="S884:U884" t="shared" si="1224">E884</f>
        <v>0</v>
      </c>
      <c r="T884" s="11">
        <f t="shared" si="1224"/>
        <v>0</v>
      </c>
      <c r="U884" s="11">
        <f t="shared" si="1224"/>
        <v>0</v>
      </c>
      <c r="V884" s="11">
        <f t="shared" si="146"/>
      </c>
      <c r="W884" s="11" t="s">
        <f t="shared" si="145"/>
      </c>
      <c r="X884" s="11" t="s">
        <f t="shared" si="138"/>
      </c>
    </row>
    <row r="885" ht="12.50" customHeight="true">
      <c r="A885" s="10"/>
      <c r="B885" s="11"/>
      <c r="C885" s="11"/>
      <c r="D885" s="11"/>
      <c r="E885" s="11"/>
      <c r="F885" s="11"/>
      <c r="G885" s="11"/>
      <c r="H885" s="11"/>
      <c r="I885" s="11"/>
      <c r="J885" s="11"/>
      <c r="K885" s="11" t="s">
        <f>""</f>
      </c>
      <c r="L885" s="11" t="s">
        <f t="shared" si="143"/>
      </c>
      <c r="M885" s="8" t="s">
        <f t="shared" si="141"/>
      </c>
      <c r="N885" s="11"/>
      <c r="O885" s="10">
        <f ref="O885:P885" t="shared" si="1604">A885</f>
        <v>0</v>
      </c>
      <c r="P885" s="11">
        <f t="shared" si="1604"/>
        <v>0</v>
      </c>
      <c r="Q885" s="11" t="s">
        <f t="shared" si="144"/>
      </c>
      <c r="R885" s="11">
        <f t="shared" si="139"/>
        <v>0</v>
      </c>
      <c r="S885" s="11">
        <f ref="S885:U885" t="shared" si="1605">E885</f>
        <v>0</v>
      </c>
      <c r="T885" s="11">
        <f t="shared" si="1605"/>
        <v>0</v>
      </c>
      <c r="U885" s="11">
        <f t="shared" si="1605"/>
        <v>0</v>
      </c>
      <c r="V885" s="11">
        <f t="shared" si="146"/>
      </c>
      <c r="W885" s="11" t="s">
        <f t="shared" si="145"/>
      </c>
      <c r="X885" s="11" t="s">
        <f t="shared" si="138"/>
      </c>
    </row>
    <row r="886" ht="12.50" customHeight="true">
      <c r="A886" s="10"/>
      <c r="B886" s="11"/>
      <c r="C886" s="11"/>
      <c r="D886" s="11"/>
      <c r="E886" s="11"/>
      <c r="F886" s="11"/>
      <c r="G886" s="11"/>
      <c r="H886" s="11"/>
      <c r="I886" s="11"/>
      <c r="J886" s="11"/>
      <c r="K886" s="11" t="s">
        <f>""</f>
      </c>
      <c r="L886" s="11" t="s">
        <f t="shared" si="143"/>
      </c>
      <c r="M886" s="8" t="s">
        <f t="shared" si="141"/>
      </c>
      <c r="N886" s="11"/>
      <c r="O886" s="10">
        <f ref="O886:P886" t="shared" si="1153">A886</f>
        <v>0</v>
      </c>
      <c r="P886" s="11">
        <f t="shared" si="1153"/>
        <v>0</v>
      </c>
      <c r="Q886" s="11" t="s">
        <f t="shared" si="144"/>
      </c>
      <c r="R886" s="11">
        <f t="shared" si="139"/>
        <v>0</v>
      </c>
      <c r="S886" s="11">
        <f ref="S886:U886" t="shared" si="1154">E886</f>
        <v>0</v>
      </c>
      <c r="T886" s="11">
        <f t="shared" si="1154"/>
        <v>0</v>
      </c>
      <c r="U886" s="11">
        <f t="shared" si="1154"/>
        <v>0</v>
      </c>
      <c r="V886" s="11">
        <f t="shared" si="146"/>
      </c>
      <c r="W886" s="11" t="s">
        <f t="shared" si="145"/>
      </c>
      <c r="X886" s="11" t="s">
        <f t="shared" si="138"/>
      </c>
    </row>
    <row r="887" ht="12.50" customHeight="true">
      <c r="A887" s="10"/>
      <c r="B887" s="11"/>
      <c r="C887" s="11"/>
      <c r="D887" s="11"/>
      <c r="E887" s="11"/>
      <c r="F887" s="11"/>
      <c r="G887" s="11"/>
      <c r="H887" s="11"/>
      <c r="I887" s="11"/>
      <c r="J887" s="11"/>
      <c r="K887" s="11" t="s">
        <f>""</f>
      </c>
      <c r="L887" s="11" t="s">
        <f t="shared" si="143"/>
      </c>
      <c r="M887" s="8" t="s">
        <f t="shared" si="141"/>
      </c>
      <c r="N887" s="11"/>
      <c r="O887" s="10">
        <f ref="O887:P887" t="shared" si="424">A887</f>
        <v>0</v>
      </c>
      <c r="P887" s="11">
        <f t="shared" si="424"/>
        <v>0</v>
      </c>
      <c r="Q887" s="11" t="s">
        <f t="shared" si="144"/>
      </c>
      <c r="R887" s="11">
        <f t="shared" si="139"/>
        <v>0</v>
      </c>
      <c r="S887" s="11">
        <f ref="S887:U887" t="shared" si="425">E887</f>
        <v>0</v>
      </c>
      <c r="T887" s="11">
        <f t="shared" si="425"/>
        <v>0</v>
      </c>
      <c r="U887" s="11">
        <f t="shared" si="425"/>
        <v>0</v>
      </c>
      <c r="V887" s="11">
        <f t="shared" si="146"/>
      </c>
      <c r="W887" s="11" t="s">
        <f t="shared" si="145"/>
      </c>
      <c r="X887" s="11" t="s">
        <f t="shared" si="138"/>
      </c>
    </row>
    <row r="888" ht="12.50" customHeight="true">
      <c r="A888" s="10"/>
      <c r="B888" s="11"/>
      <c r="C888" s="11"/>
      <c r="D888" s="11"/>
      <c r="E888" s="11"/>
      <c r="F888" s="11"/>
      <c r="G888" s="11"/>
      <c r="H888" s="11"/>
      <c r="I888" s="11"/>
      <c r="J888" s="11"/>
      <c r="K888" s="11" t="s">
        <f>""</f>
      </c>
      <c r="L888" s="11" t="s">
        <f t="shared" si="143"/>
      </c>
      <c r="M888" s="8" t="s">
        <f t="shared" si="141"/>
      </c>
      <c r="N888" s="11"/>
      <c r="O888" s="10">
        <f ref="O888:P888" t="shared" si="183">A888</f>
        <v>0</v>
      </c>
      <c r="P888" s="11">
        <f t="shared" si="183"/>
        <v>0</v>
      </c>
      <c r="Q888" s="11" t="s">
        <f t="shared" si="144"/>
      </c>
      <c r="R888" s="11">
        <f t="shared" si="139"/>
        <v>0</v>
      </c>
      <c r="S888" s="11">
        <f ref="S888:U888" t="shared" si="184">E888</f>
        <v>0</v>
      </c>
      <c r="T888" s="11">
        <f t="shared" si="184"/>
        <v>0</v>
      </c>
      <c r="U888" s="11">
        <f t="shared" si="184"/>
        <v>0</v>
      </c>
      <c r="V888" s="11">
        <f t="shared" si="146"/>
      </c>
      <c r="W888" s="11" t="s">
        <f t="shared" si="145"/>
      </c>
      <c r="X888" s="11" t="s">
        <f t="shared" si="138"/>
      </c>
    </row>
    <row r="889" ht="12.50" customHeight="true">
      <c r="A889" s="10"/>
      <c r="B889" s="11"/>
      <c r="C889" s="11"/>
      <c r="D889" s="11"/>
      <c r="E889" s="11"/>
      <c r="F889" s="11"/>
      <c r="G889" s="11"/>
      <c r="H889" s="11"/>
      <c r="I889" s="11"/>
      <c r="J889" s="11"/>
      <c r="K889" s="11" t="s">
        <f>""</f>
      </c>
      <c r="L889" s="11" t="s">
        <f t="shared" si="143"/>
      </c>
      <c r="M889" s="8" t="s">
        <f t="shared" si="141"/>
      </c>
      <c r="N889" s="11"/>
      <c r="O889" s="10">
        <f ref="O889:P889" t="shared" si="156">A889</f>
        <v>0</v>
      </c>
      <c r="P889" s="11">
        <f t="shared" si="156"/>
        <v>0</v>
      </c>
      <c r="Q889" s="11" t="s">
        <f t="shared" si="144"/>
      </c>
      <c r="R889" s="11">
        <f t="shared" si="139"/>
        <v>0</v>
      </c>
      <c r="S889" s="11">
        <f ref="S889:U889" t="shared" si="155">E889</f>
        <v>0</v>
      </c>
      <c r="T889" s="11">
        <f t="shared" si="155"/>
        <v>0</v>
      </c>
      <c r="U889" s="11">
        <f t="shared" si="155"/>
        <v>0</v>
      </c>
      <c r="V889" s="11">
        <f t="shared" si="146"/>
      </c>
      <c r="W889" s="11" t="s">
        <f t="shared" si="145"/>
      </c>
      <c r="X889" s="11" t="s">
        <f t="shared" si="138"/>
      </c>
    </row>
    <row r="890" ht="12.50" customHeight="true">
      <c r="A890" s="10"/>
      <c r="B890" s="11"/>
      <c r="C890" s="11"/>
      <c r="D890" s="11"/>
      <c r="E890" s="11"/>
      <c r="F890" s="11"/>
      <c r="G890" s="11"/>
      <c r="H890" s="11"/>
      <c r="I890" s="11"/>
      <c r="J890" s="11"/>
      <c r="K890" s="11" t="s">
        <f>""</f>
      </c>
      <c r="L890" s="11" t="s">
        <f t="shared" si="143"/>
      </c>
      <c r="M890" s="8" t="s">
        <f t="shared" si="141"/>
      </c>
      <c r="N890" s="11"/>
      <c r="O890" s="10">
        <f ref="O890:P890" t="shared" si="1577">A890</f>
        <v>0</v>
      </c>
      <c r="P890" s="11">
        <f t="shared" si="1577"/>
        <v>0</v>
      </c>
      <c r="Q890" s="11" t="s">
        <f t="shared" si="144"/>
      </c>
      <c r="R890" s="11">
        <f t="shared" si="139"/>
        <v>0</v>
      </c>
      <c r="S890" s="11">
        <f ref="S890:U890" t="shared" si="1576">E890</f>
        <v>0</v>
      </c>
      <c r="T890" s="11">
        <f t="shared" si="1576"/>
        <v>0</v>
      </c>
      <c r="U890" s="11">
        <f t="shared" si="1576"/>
        <v>0</v>
      </c>
      <c r="V890" s="11">
        <f t="shared" si="146"/>
      </c>
      <c r="W890" s="11" t="s">
        <f t="shared" si="145"/>
      </c>
      <c r="X890" s="11" t="s">
        <f t="shared" si="138"/>
      </c>
    </row>
    <row r="891" ht="12.50" customHeight="true">
      <c r="A891" s="10"/>
      <c r="B891" s="11"/>
      <c r="C891" s="11"/>
      <c r="D891" s="11"/>
      <c r="E891" s="11"/>
      <c r="F891" s="11"/>
      <c r="G891" s="11"/>
      <c r="H891" s="11"/>
      <c r="I891" s="11"/>
      <c r="J891" s="11"/>
      <c r="K891" s="11" t="s">
        <f>""</f>
      </c>
      <c r="L891" s="11" t="s">
        <f t="shared" si="143"/>
      </c>
      <c r="M891" s="8" t="s">
        <f t="shared" si="141"/>
      </c>
      <c r="N891" s="11"/>
      <c r="O891" s="10">
        <f ref="O891:P891" t="shared" si="988">A891</f>
        <v>0</v>
      </c>
      <c r="P891" s="11">
        <f t="shared" si="988"/>
        <v>0</v>
      </c>
      <c r="Q891" s="11" t="s">
        <f t="shared" si="144"/>
      </c>
      <c r="R891" s="11">
        <f t="shared" si="139"/>
        <v>0</v>
      </c>
      <c r="S891" s="11">
        <f ref="S891:U891" t="shared" si="987">E891</f>
        <v>0</v>
      </c>
      <c r="T891" s="11">
        <f t="shared" si="987"/>
        <v>0</v>
      </c>
      <c r="U891" s="11">
        <f t="shared" si="987"/>
        <v>0</v>
      </c>
      <c r="V891" s="11">
        <f t="shared" si="146"/>
      </c>
      <c r="W891" s="11" t="s">
        <f t="shared" si="145"/>
      </c>
      <c r="X891" s="11" t="s">
        <f t="shared" si="138"/>
      </c>
    </row>
    <row r="892" ht="12.50" customHeight="true">
      <c r="A892" s="10"/>
      <c r="B892" s="11"/>
      <c r="C892" s="11"/>
      <c r="D892" s="11"/>
      <c r="E892" s="11"/>
      <c r="F892" s="11"/>
      <c r="G892" s="11"/>
      <c r="H892" s="11"/>
      <c r="I892" s="11"/>
      <c r="J892" s="11"/>
      <c r="K892" s="11" t="s">
        <f>""</f>
      </c>
      <c r="L892" s="11" t="s">
        <f t="shared" si="143"/>
      </c>
      <c r="M892" s="8" t="s">
        <f t="shared" si="141"/>
      </c>
      <c r="N892" s="11"/>
      <c r="O892" s="10">
        <f ref="O892:P892" t="shared" si="678">A892</f>
        <v>0</v>
      </c>
      <c r="P892" s="11">
        <f t="shared" si="678"/>
        <v>0</v>
      </c>
      <c r="Q892" s="11" t="s">
        <f t="shared" si="144"/>
      </c>
      <c r="R892" s="11">
        <f t="shared" si="139"/>
        <v>0</v>
      </c>
      <c r="S892" s="11">
        <f ref="S892:U892" t="shared" si="679">E892</f>
        <v>0</v>
      </c>
      <c r="T892" s="11">
        <f t="shared" si="679"/>
        <v>0</v>
      </c>
      <c r="U892" s="11">
        <f t="shared" si="679"/>
        <v>0</v>
      </c>
      <c r="V892" s="11">
        <f t="shared" si="146"/>
      </c>
      <c r="W892" s="11" t="s">
        <f t="shared" si="145"/>
      </c>
      <c r="X892" s="11" t="s">
        <f t="shared" si="138"/>
      </c>
    </row>
    <row r="893" ht="12.50" customHeight="true">
      <c r="A893" s="10"/>
      <c r="B893" s="11"/>
      <c r="C893" s="11"/>
      <c r="D893" s="11"/>
      <c r="E893" s="11"/>
      <c r="F893" s="11"/>
      <c r="G893" s="11"/>
      <c r="H893" s="11"/>
      <c r="I893" s="11"/>
      <c r="J893" s="11"/>
      <c r="K893" s="11" t="s">
        <f>""</f>
      </c>
      <c r="L893" s="11" t="s">
        <f t="shared" si="143"/>
      </c>
      <c r="M893" s="8" t="s">
        <f t="shared" si="141"/>
      </c>
      <c r="N893" s="11"/>
      <c r="O893" s="10">
        <f ref="O893:P893" t="shared" si="1143">A893</f>
        <v>0</v>
      </c>
      <c r="P893" s="11">
        <f t="shared" si="1143"/>
        <v>0</v>
      </c>
      <c r="Q893" s="11" t="s">
        <f t="shared" si="144"/>
      </c>
      <c r="R893" s="11">
        <f t="shared" si="139"/>
        <v>0</v>
      </c>
      <c r="S893" s="11">
        <f ref="S893:U893" t="shared" si="1144">E893</f>
        <v>0</v>
      </c>
      <c r="T893" s="11">
        <f t="shared" si="1144"/>
        <v>0</v>
      </c>
      <c r="U893" s="11">
        <f t="shared" si="1144"/>
        <v>0</v>
      </c>
      <c r="V893" s="11">
        <f t="shared" si="146"/>
      </c>
      <c r="W893" s="11" t="s">
        <f t="shared" si="145"/>
      </c>
      <c r="X893" s="11" t="s">
        <f t="shared" si="138"/>
      </c>
    </row>
    <row r="894" ht="12.50" customHeight="true">
      <c r="A894" s="10"/>
      <c r="B894" s="11"/>
      <c r="C894" s="11"/>
      <c r="D894" s="11"/>
      <c r="E894" s="11"/>
      <c r="F894" s="11"/>
      <c r="G894" s="11"/>
      <c r="H894" s="11"/>
      <c r="I894" s="11"/>
      <c r="J894" s="11"/>
      <c r="K894" s="11" t="s">
        <f>""</f>
      </c>
      <c r="L894" s="11" t="s">
        <f t="shared" si="143"/>
      </c>
      <c r="M894" s="8" t="s">
        <f t="shared" si="141"/>
      </c>
      <c r="N894" s="11"/>
      <c r="O894" s="10">
        <f ref="O894:P894" t="shared" si="1273">A894</f>
        <v>0</v>
      </c>
      <c r="P894" s="11">
        <f t="shared" si="1273"/>
        <v>0</v>
      </c>
      <c r="Q894" s="11" t="s">
        <f t="shared" si="144"/>
      </c>
      <c r="R894" s="11">
        <f t="shared" si="139"/>
        <v>0</v>
      </c>
      <c r="S894" s="11">
        <f ref="S894:U894" t="shared" si="1272">E894</f>
        <v>0</v>
      </c>
      <c r="T894" s="11">
        <f t="shared" si="1272"/>
        <v>0</v>
      </c>
      <c r="U894" s="11">
        <f t="shared" si="1272"/>
        <v>0</v>
      </c>
      <c r="V894" s="11">
        <f t="shared" si="146"/>
      </c>
      <c r="W894" s="11" t="s">
        <f t="shared" si="145"/>
      </c>
      <c r="X894" s="11" t="s">
        <f t="shared" si="138"/>
      </c>
    </row>
    <row r="895" ht="12.50" customHeight="true">
      <c r="A895" s="10"/>
      <c r="B895" s="11"/>
      <c r="C895" s="11"/>
      <c r="D895" s="11"/>
      <c r="E895" s="11"/>
      <c r="F895" s="11"/>
      <c r="G895" s="11"/>
      <c r="H895" s="11"/>
      <c r="I895" s="11"/>
      <c r="J895" s="11"/>
      <c r="K895" s="11" t="s">
        <f>""</f>
      </c>
      <c r="L895" s="11" t="s">
        <f t="shared" si="143"/>
      </c>
      <c r="M895" s="8" t="s">
        <f t="shared" si="141"/>
      </c>
      <c r="N895" s="11"/>
      <c r="O895" s="10">
        <f ref="O895:P895" t="shared" si="950">A895</f>
        <v>0</v>
      </c>
      <c r="P895" s="11">
        <f t="shared" si="950"/>
        <v>0</v>
      </c>
      <c r="Q895" s="11" t="s">
        <f t="shared" si="144"/>
      </c>
      <c r="R895" s="11">
        <f t="shared" si="139"/>
        <v>0</v>
      </c>
      <c r="S895" s="11">
        <f ref="S895:U895" t="shared" si="949">E895</f>
        <v>0</v>
      </c>
      <c r="T895" s="11">
        <f t="shared" si="949"/>
        <v>0</v>
      </c>
      <c r="U895" s="11">
        <f t="shared" si="949"/>
        <v>0</v>
      </c>
      <c r="V895" s="11">
        <f t="shared" si="146"/>
      </c>
      <c r="W895" s="11" t="s">
        <f t="shared" si="145"/>
      </c>
      <c r="X895" s="11" t="s">
        <f t="shared" si="138"/>
      </c>
    </row>
    <row r="896" ht="12.50" customHeight="true">
      <c r="A896" s="10"/>
      <c r="B896" s="11"/>
      <c r="C896" s="11"/>
      <c r="D896" s="11"/>
      <c r="E896" s="11"/>
      <c r="F896" s="11"/>
      <c r="G896" s="11"/>
      <c r="H896" s="11"/>
      <c r="I896" s="11"/>
      <c r="J896" s="11"/>
      <c r="K896" s="11" t="s">
        <f>""</f>
      </c>
      <c r="L896" s="11" t="s">
        <f t="shared" si="143"/>
      </c>
      <c r="M896" s="8" t="s">
        <f t="shared" si="141"/>
      </c>
      <c r="N896" s="11"/>
      <c r="O896" s="10">
        <f ref="O896:P896" t="shared" si="1648">A896</f>
        <v>0</v>
      </c>
      <c r="P896" s="11">
        <f t="shared" si="1648"/>
        <v>0</v>
      </c>
      <c r="Q896" s="11" t="s">
        <f t="shared" si="144"/>
      </c>
      <c r="R896" s="11">
        <f t="shared" si="139"/>
        <v>0</v>
      </c>
      <c r="S896" s="11">
        <f ref="S896:U896" t="shared" si="1649">E896</f>
        <v>0</v>
      </c>
      <c r="T896" s="11">
        <f t="shared" si="1649"/>
        <v>0</v>
      </c>
      <c r="U896" s="11">
        <f t="shared" si="1649"/>
        <v>0</v>
      </c>
      <c r="V896" s="11">
        <f t="shared" si="146"/>
      </c>
      <c r="W896" s="11" t="s">
        <f t="shared" si="145"/>
      </c>
      <c r="X896" s="11" t="s">
        <f t="shared" si="138"/>
      </c>
    </row>
    <row r="897" ht="12.50" customHeight="true">
      <c r="A897" s="10"/>
      <c r="B897" s="11"/>
      <c r="C897" s="11"/>
      <c r="D897" s="11"/>
      <c r="E897" s="11"/>
      <c r="F897" s="11"/>
      <c r="G897" s="11"/>
      <c r="H897" s="11"/>
      <c r="I897" s="11"/>
      <c r="J897" s="11"/>
      <c r="K897" s="11" t="s">
        <f>""</f>
      </c>
      <c r="L897" s="11" t="s">
        <f t="shared" si="143"/>
      </c>
      <c r="M897" s="8" t="s">
        <f t="shared" si="141"/>
      </c>
      <c r="N897" s="11"/>
      <c r="O897" s="10">
        <f ref="O897:P897" t="shared" si="737">A897</f>
        <v>0</v>
      </c>
      <c r="P897" s="11">
        <f t="shared" si="737"/>
        <v>0</v>
      </c>
      <c r="Q897" s="11" t="s">
        <f t="shared" si="144"/>
      </c>
      <c r="R897" s="11">
        <f t="shared" si="139"/>
        <v>0</v>
      </c>
      <c r="S897" s="11">
        <f ref="S897:U897" t="shared" si="736">E897</f>
        <v>0</v>
      </c>
      <c r="T897" s="11">
        <f t="shared" si="736"/>
        <v>0</v>
      </c>
      <c r="U897" s="11">
        <f t="shared" si="736"/>
        <v>0</v>
      </c>
      <c r="V897" s="11">
        <f t="shared" si="146"/>
      </c>
      <c r="W897" s="11" t="s">
        <f t="shared" si="145"/>
      </c>
      <c r="X897" s="11" t="s">
        <f t="shared" si="138"/>
      </c>
    </row>
    <row r="898" ht="12.50" customHeight="true">
      <c r="A898" s="10"/>
      <c r="B898" s="11"/>
      <c r="C898" s="11"/>
      <c r="D898" s="11"/>
      <c r="E898" s="11"/>
      <c r="F898" s="11"/>
      <c r="G898" s="11"/>
      <c r="H898" s="11"/>
      <c r="I898" s="11"/>
      <c r="J898" s="11"/>
      <c r="K898" s="11" t="s">
        <f>""</f>
      </c>
      <c r="L898" s="11" t="s">
        <f t="shared" si="143"/>
      </c>
      <c r="M898" s="8" t="s">
        <f t="shared" si="141"/>
      </c>
      <c r="N898" s="11"/>
      <c r="O898" s="10">
        <f ref="O898:P898" t="shared" si="1482">A898</f>
        <v>0</v>
      </c>
      <c r="P898" s="11">
        <f t="shared" si="1482"/>
        <v>0</v>
      </c>
      <c r="Q898" s="11" t="s">
        <f t="shared" si="144"/>
      </c>
      <c r="R898" s="11">
        <f t="shared" si="139"/>
        <v>0</v>
      </c>
      <c r="S898" s="11">
        <f ref="S898:U898" t="shared" si="1483">E898</f>
        <v>0</v>
      </c>
      <c r="T898" s="11">
        <f t="shared" si="1483"/>
        <v>0</v>
      </c>
      <c r="U898" s="11">
        <f t="shared" si="1483"/>
        <v>0</v>
      </c>
      <c r="V898" s="11">
        <f t="shared" si="146"/>
      </c>
      <c r="W898" s="11" t="s">
        <f t="shared" si="145"/>
      </c>
      <c r="X898" s="11" t="s">
        <f t="shared" si="138"/>
      </c>
    </row>
    <row r="899" ht="12.50" customHeight="true">
      <c r="A899" s="10"/>
      <c r="B899" s="11"/>
      <c r="C899" s="11"/>
      <c r="D899" s="11"/>
      <c r="E899" s="11"/>
      <c r="F899" s="11"/>
      <c r="G899" s="11"/>
      <c r="H899" s="11"/>
      <c r="I899" s="11"/>
      <c r="J899" s="11"/>
      <c r="K899" s="11" t="s">
        <f>""</f>
      </c>
      <c r="L899" s="11" t="s">
        <f t="shared" si="143"/>
      </c>
      <c r="M899" s="8" t="s">
        <f t="shared" si="141"/>
      </c>
      <c r="N899" s="11"/>
      <c r="O899" s="10">
        <f ref="O899:P899" t="shared" si="707">A899</f>
        <v>0</v>
      </c>
      <c r="P899" s="11">
        <f t="shared" si="707"/>
        <v>0</v>
      </c>
      <c r="Q899" s="11" t="s">
        <f t="shared" si="144"/>
      </c>
      <c r="R899" s="11">
        <f t="shared" si="139"/>
        <v>0</v>
      </c>
      <c r="S899" s="11">
        <f ref="S899:U899" t="shared" si="706">E899</f>
        <v>0</v>
      </c>
      <c r="T899" s="11">
        <f t="shared" si="706"/>
        <v>0</v>
      </c>
      <c r="U899" s="11">
        <f t="shared" si="706"/>
        <v>0</v>
      </c>
      <c r="V899" s="11">
        <f t="shared" si="146"/>
      </c>
      <c r="W899" s="11" t="s">
        <f t="shared" si="145"/>
      </c>
      <c r="X899" s="11" t="s">
        <f t="shared" si="138"/>
      </c>
    </row>
    <row r="900" ht="12.50" customHeight="true">
      <c r="A900" s="10"/>
      <c r="B900" s="11"/>
      <c r="C900" s="11"/>
      <c r="D900" s="11"/>
      <c r="E900" s="11"/>
      <c r="F900" s="11"/>
      <c r="G900" s="11"/>
      <c r="H900" s="11"/>
      <c r="I900" s="11"/>
      <c r="J900" s="11"/>
      <c r="K900" s="11" t="s">
        <f>""</f>
      </c>
      <c r="L900" s="11" t="s">
        <f t="shared" si="143"/>
      </c>
      <c r="M900" s="8" t="s">
        <f t="shared" si="141"/>
      </c>
      <c r="N900" s="11"/>
      <c r="O900" s="10">
        <f ref="O900:P900" t="shared" si="1530">A900</f>
        <v>0</v>
      </c>
      <c r="P900" s="11">
        <f t="shared" si="1530"/>
        <v>0</v>
      </c>
      <c r="Q900" s="11" t="s">
        <f t="shared" si="144"/>
      </c>
      <c r="R900" s="11">
        <f t="shared" si="139"/>
        <v>0</v>
      </c>
      <c r="S900" s="11">
        <f ref="S900:U900" t="shared" si="1531">E900</f>
        <v>0</v>
      </c>
      <c r="T900" s="11">
        <f t="shared" si="1531"/>
        <v>0</v>
      </c>
      <c r="U900" s="11">
        <f t="shared" si="1531"/>
        <v>0</v>
      </c>
      <c r="V900" s="11">
        <f t="shared" si="146"/>
      </c>
      <c r="W900" s="11" t="s">
        <f t="shared" si="145"/>
      </c>
      <c r="X900" s="11" t="s">
        <f t="shared" si="138"/>
      </c>
    </row>
    <row r="901" ht="12.50" customHeight="true">
      <c r="A901" s="10"/>
      <c r="B901" s="11"/>
      <c r="C901" s="11"/>
      <c r="D901" s="11"/>
      <c r="E901" s="11"/>
      <c r="F901" s="11"/>
      <c r="G901" s="11"/>
      <c r="H901" s="11"/>
      <c r="I901" s="11"/>
      <c r="J901" s="11"/>
      <c r="K901" s="11" t="s">
        <f>""</f>
      </c>
      <c r="L901" s="11" t="s">
        <f t="shared" si="143"/>
      </c>
      <c r="M901" s="8" t="s">
        <f t="shared" si="141"/>
      </c>
      <c r="N901" s="11"/>
      <c r="O901" s="10">
        <f ref="O901:P901" t="shared" si="1596">A901</f>
        <v>0</v>
      </c>
      <c r="P901" s="11">
        <f t="shared" si="1596"/>
        <v>0</v>
      </c>
      <c r="Q901" s="11" t="s">
        <f t="shared" si="144"/>
      </c>
      <c r="R901" s="11">
        <f t="shared" si="139"/>
        <v>0</v>
      </c>
      <c r="S901" s="11">
        <f ref="S901:U901" t="shared" si="1597">E901</f>
        <v>0</v>
      </c>
      <c r="T901" s="11">
        <f t="shared" si="1597"/>
        <v>0</v>
      </c>
      <c r="U901" s="11">
        <f t="shared" si="1597"/>
        <v>0</v>
      </c>
      <c r="V901" s="11">
        <f t="shared" si="146"/>
      </c>
      <c r="W901" s="11" t="s">
        <f t="shared" si="145"/>
      </c>
      <c r="X901" s="11" t="s">
        <f t="shared" si="138"/>
      </c>
    </row>
    <row r="902" ht="12.50" customHeight="true">
      <c r="A902" s="10"/>
      <c r="B902" s="11"/>
      <c r="C902" s="11"/>
      <c r="D902" s="11"/>
      <c r="E902" s="11"/>
      <c r="F902" s="11"/>
      <c r="G902" s="11"/>
      <c r="H902" s="11"/>
      <c r="I902" s="11"/>
      <c r="J902" s="11"/>
      <c r="K902" s="11" t="s">
        <f>""</f>
      </c>
      <c r="L902" s="11" t="s">
        <f t="shared" si="143"/>
      </c>
      <c r="M902" s="8" t="s">
        <f t="shared" si="141"/>
      </c>
      <c r="N902" s="11"/>
      <c r="O902" s="10">
        <f ref="O902:P902" t="shared" si="1468">A902</f>
        <v>0</v>
      </c>
      <c r="P902" s="11">
        <f t="shared" si="1468"/>
        <v>0</v>
      </c>
      <c r="Q902" s="11" t="s">
        <f t="shared" si="144"/>
      </c>
      <c r="R902" s="11">
        <f t="shared" si="139"/>
        <v>0</v>
      </c>
      <c r="S902" s="11">
        <f ref="S902:U902" t="shared" si="1469">E902</f>
        <v>0</v>
      </c>
      <c r="T902" s="11">
        <f t="shared" si="1469"/>
        <v>0</v>
      </c>
      <c r="U902" s="11">
        <f t="shared" si="1469"/>
        <v>0</v>
      </c>
      <c r="V902" s="11">
        <f t="shared" si="146"/>
      </c>
      <c r="W902" s="11" t="s">
        <f t="shared" si="145"/>
      </c>
      <c r="X902" s="11" t="s">
        <f t="shared" si="138"/>
      </c>
    </row>
    <row r="903" ht="12.50" customHeight="true">
      <c r="A903" s="10"/>
      <c r="B903" s="11"/>
      <c r="C903" s="11"/>
      <c r="D903" s="11"/>
      <c r="E903" s="11"/>
      <c r="F903" s="11"/>
      <c r="G903" s="11"/>
      <c r="H903" s="11"/>
      <c r="I903" s="11"/>
      <c r="J903" s="11"/>
      <c r="K903" s="11" t="s">
        <f>""</f>
      </c>
      <c r="L903" s="11" t="s">
        <f t="shared" si="143"/>
      </c>
      <c r="M903" s="8" t="s">
        <f t="shared" si="141"/>
      </c>
      <c r="N903" s="11"/>
      <c r="O903" s="10">
        <f ref="O903:P903" t="shared" si="1803">A903</f>
        <v>0</v>
      </c>
      <c r="P903" s="11">
        <f t="shared" si="1803"/>
        <v>0</v>
      </c>
      <c r="Q903" s="11" t="s">
        <f t="shared" si="144"/>
      </c>
      <c r="R903" s="11">
        <f t="shared" si="139"/>
        <v>0</v>
      </c>
      <c r="S903" s="11">
        <f ref="S903:U903" t="shared" si="1802">E903</f>
        <v>0</v>
      </c>
      <c r="T903" s="11">
        <f t="shared" si="1802"/>
        <v>0</v>
      </c>
      <c r="U903" s="11">
        <f t="shared" si="1802"/>
        <v>0</v>
      </c>
      <c r="V903" s="11">
        <f t="shared" si="146"/>
      </c>
      <c r="W903" s="11" t="s">
        <f t="shared" si="145"/>
      </c>
      <c r="X903" s="11" t="s">
        <f t="shared" si="138"/>
      </c>
    </row>
    <row r="904" ht="12.50" customHeight="true">
      <c r="A904" s="10"/>
      <c r="B904" s="11"/>
      <c r="C904" s="11"/>
      <c r="D904" s="11"/>
      <c r="E904" s="11"/>
      <c r="F904" s="11"/>
      <c r="G904" s="11"/>
      <c r="H904" s="11"/>
      <c r="I904" s="11"/>
      <c r="J904" s="11"/>
      <c r="K904" s="11" t="s">
        <f>""</f>
      </c>
      <c r="L904" s="11" t="s">
        <f t="shared" si="143"/>
      </c>
      <c r="M904" s="8" t="s">
        <f t="shared" si="141"/>
      </c>
      <c r="N904" s="11"/>
      <c r="O904" s="10">
        <f ref="O904:P904" t="shared" si="1634">A904</f>
        <v>0</v>
      </c>
      <c r="P904" s="11">
        <f t="shared" si="1634"/>
        <v>0</v>
      </c>
      <c r="Q904" s="11" t="s">
        <f t="shared" si="144"/>
      </c>
      <c r="R904" s="11">
        <f t="shared" si="139"/>
        <v>0</v>
      </c>
      <c r="S904" s="11">
        <f ref="S904:U904" t="shared" si="1635">E904</f>
        <v>0</v>
      </c>
      <c r="T904" s="11">
        <f t="shared" si="1635"/>
        <v>0</v>
      </c>
      <c r="U904" s="11">
        <f t="shared" si="1635"/>
        <v>0</v>
      </c>
      <c r="V904" s="11">
        <f t="shared" si="146"/>
      </c>
      <c r="W904" s="11" t="s">
        <f t="shared" si="145"/>
      </c>
      <c r="X904" s="11" t="s">
        <f t="shared" si="138"/>
      </c>
    </row>
    <row r="905" ht="12.50" customHeight="true">
      <c r="A905" s="10"/>
      <c r="B905" s="11"/>
      <c r="C905" s="11"/>
      <c r="D905" s="11"/>
      <c r="E905" s="11"/>
      <c r="F905" s="11"/>
      <c r="G905" s="11"/>
      <c r="H905" s="11"/>
      <c r="I905" s="11"/>
      <c r="J905" s="11"/>
      <c r="K905" s="11" t="s">
        <f>""</f>
      </c>
      <c r="L905" s="11" t="s">
        <f t="shared" si="143"/>
      </c>
      <c r="M905" s="8" t="s">
        <f t="shared" si="141"/>
      </c>
      <c r="N905" s="11"/>
      <c r="O905" s="10">
        <f ref="O905:P905" t="shared" si="488">A905</f>
        <v>0</v>
      </c>
      <c r="P905" s="11">
        <f t="shared" si="488"/>
        <v>0</v>
      </c>
      <c r="Q905" s="11" t="s">
        <f t="shared" si="144"/>
      </c>
      <c r="R905" s="11">
        <f t="shared" si="139"/>
        <v>0</v>
      </c>
      <c r="S905" s="11">
        <f ref="S905:U905" t="shared" si="489">E905</f>
        <v>0</v>
      </c>
      <c r="T905" s="11">
        <f t="shared" si="489"/>
        <v>0</v>
      </c>
      <c r="U905" s="11">
        <f t="shared" si="489"/>
        <v>0</v>
      </c>
      <c r="V905" s="11">
        <f t="shared" si="146"/>
      </c>
      <c r="W905" s="11" t="s">
        <f t="shared" si="145"/>
      </c>
      <c r="X905" s="11" t="s">
        <f t="shared" si="138"/>
      </c>
    </row>
    <row r="906" ht="12.50" customHeight="true">
      <c r="A906" s="10"/>
      <c r="B906" s="11"/>
      <c r="C906" s="11"/>
      <c r="D906" s="11"/>
      <c r="E906" s="11"/>
      <c r="F906" s="11"/>
      <c r="G906" s="11"/>
      <c r="H906" s="11"/>
      <c r="I906" s="11"/>
      <c r="J906" s="11"/>
      <c r="K906" s="11" t="s">
        <f>""</f>
      </c>
      <c r="L906" s="11" t="s">
        <f t="shared" si="143"/>
      </c>
      <c r="M906" s="8" t="s">
        <f t="shared" si="141"/>
      </c>
      <c r="N906" s="11"/>
      <c r="O906" s="10">
        <f ref="O906:P906" t="shared" si="1931">A906</f>
        <v>0</v>
      </c>
      <c r="P906" s="11">
        <f t="shared" si="1931"/>
        <v>0</v>
      </c>
      <c r="Q906" s="11" t="s">
        <f t="shared" si="144"/>
      </c>
      <c r="R906" s="11">
        <f t="shared" si="139"/>
        <v>0</v>
      </c>
      <c r="S906" s="11">
        <f ref="S906:U906" t="shared" si="1930">E906</f>
        <v>0</v>
      </c>
      <c r="T906" s="11">
        <f t="shared" si="1930"/>
        <v>0</v>
      </c>
      <c r="U906" s="11">
        <f t="shared" si="1930"/>
        <v>0</v>
      </c>
      <c r="V906" s="11">
        <f t="shared" si="146"/>
      </c>
      <c r="W906" s="11" t="s">
        <f t="shared" si="145"/>
      </c>
      <c r="X906" s="11" t="s">
        <f t="shared" si="138"/>
      </c>
    </row>
    <row r="907" ht="12.50" customHeight="true">
      <c r="A907" s="10"/>
      <c r="B907" s="11"/>
      <c r="C907" s="11"/>
      <c r="D907" s="11"/>
      <c r="E907" s="11"/>
      <c r="F907" s="11"/>
      <c r="G907" s="11"/>
      <c r="H907" s="11"/>
      <c r="I907" s="11"/>
      <c r="J907" s="11"/>
      <c r="K907" s="11" t="s">
        <f>""</f>
      </c>
      <c r="L907" s="11" t="s">
        <f t="shared" si="143"/>
      </c>
      <c r="M907" s="8" t="s">
        <f t="shared" si="141"/>
      </c>
      <c r="N907" s="11"/>
      <c r="O907" s="10">
        <f ref="O907:P907" t="shared" si="1236">A907</f>
        <v>0</v>
      </c>
      <c r="P907" s="11">
        <f t="shared" si="1236"/>
        <v>0</v>
      </c>
      <c r="Q907" s="11" t="s">
        <f t="shared" si="144"/>
      </c>
      <c r="R907" s="11">
        <f t="shared" si="139"/>
        <v>0</v>
      </c>
      <c r="S907" s="11">
        <f ref="S907:U907" t="shared" si="1235">E907</f>
        <v>0</v>
      </c>
      <c r="T907" s="11">
        <f t="shared" si="1235"/>
        <v>0</v>
      </c>
      <c r="U907" s="11">
        <f t="shared" si="1235"/>
        <v>0</v>
      </c>
      <c r="V907" s="11">
        <f t="shared" si="146"/>
      </c>
      <c r="W907" s="11" t="s">
        <f t="shared" si="145"/>
      </c>
      <c r="X907" s="11" t="s">
        <f t="shared" si="138"/>
      </c>
    </row>
    <row r="908" ht="12.50" customHeight="true">
      <c r="A908" s="10"/>
      <c r="B908" s="11"/>
      <c r="C908" s="11"/>
      <c r="D908" s="11"/>
      <c r="E908" s="11"/>
      <c r="F908" s="11"/>
      <c r="G908" s="11"/>
      <c r="H908" s="11"/>
      <c r="I908" s="11"/>
      <c r="J908" s="11"/>
      <c r="K908" s="11" t="s">
        <f>""</f>
      </c>
      <c r="L908" s="11" t="s">
        <f t="shared" si="143"/>
      </c>
      <c r="M908" s="8" t="s">
        <f t="shared" si="141"/>
      </c>
      <c r="N908" s="11"/>
      <c r="O908" s="10">
        <f ref="O908:P908" t="shared" si="275">A908</f>
        <v>0</v>
      </c>
      <c r="P908" s="11">
        <f t="shared" si="275"/>
        <v>0</v>
      </c>
      <c r="Q908" s="11" t="s">
        <f t="shared" si="144"/>
      </c>
      <c r="R908" s="11">
        <f t="shared" si="139"/>
        <v>0</v>
      </c>
      <c r="S908" s="11">
        <f ref="S908:U908" t="shared" si="274">E908</f>
        <v>0</v>
      </c>
      <c r="T908" s="11">
        <f t="shared" si="274"/>
        <v>0</v>
      </c>
      <c r="U908" s="11">
        <f t="shared" si="274"/>
        <v>0</v>
      </c>
      <c r="V908" s="11">
        <f t="shared" si="146"/>
      </c>
      <c r="W908" s="11" t="s">
        <f t="shared" si="145"/>
      </c>
      <c r="X908" s="11" t="s">
        <f t="shared" si="138"/>
      </c>
    </row>
    <row r="909" ht="12.50" customHeight="true">
      <c r="A909" s="10"/>
      <c r="B909" s="11"/>
      <c r="C909" s="11"/>
      <c r="D909" s="11"/>
      <c r="E909" s="11"/>
      <c r="F909" s="11"/>
      <c r="G909" s="11"/>
      <c r="H909" s="11"/>
      <c r="I909" s="11"/>
      <c r="J909" s="11"/>
      <c r="K909" s="11" t="s">
        <f>""</f>
      </c>
      <c r="L909" s="11" t="s">
        <f t="shared" si="143"/>
      </c>
      <c r="M909" s="8" t="s">
        <f t="shared" si="141"/>
      </c>
      <c r="N909" s="11"/>
      <c r="O909" s="10">
        <f ref="O909:P909" t="shared" si="405">A909</f>
        <v>0</v>
      </c>
      <c r="P909" s="11">
        <f t="shared" si="405"/>
        <v>0</v>
      </c>
      <c r="Q909" s="11" t="s">
        <f t="shared" si="144"/>
      </c>
      <c r="R909" s="11">
        <f t="shared" si="139"/>
        <v>0</v>
      </c>
      <c r="S909" s="11">
        <f ref="S909:U909" t="shared" si="404">E909</f>
        <v>0</v>
      </c>
      <c r="T909" s="11">
        <f t="shared" si="404"/>
        <v>0</v>
      </c>
      <c r="U909" s="11">
        <f t="shared" si="404"/>
        <v>0</v>
      </c>
      <c r="V909" s="11">
        <f t="shared" si="146"/>
      </c>
      <c r="W909" s="11" t="s">
        <f t="shared" si="145"/>
      </c>
      <c r="X909" s="11" t="s">
        <f t="shared" si="138"/>
      </c>
    </row>
    <row r="910" ht="12.50" customHeight="true">
      <c r="A910" s="10"/>
      <c r="B910" s="11"/>
      <c r="C910" s="11"/>
      <c r="D910" s="11"/>
      <c r="E910" s="11"/>
      <c r="F910" s="11"/>
      <c r="G910" s="11"/>
      <c r="H910" s="11"/>
      <c r="I910" s="11"/>
      <c r="J910" s="11"/>
      <c r="K910" s="11" t="s">
        <f>""</f>
      </c>
      <c r="L910" s="11" t="s">
        <f t="shared" si="143"/>
      </c>
      <c r="M910" s="8" t="s">
        <f t="shared" si="141"/>
      </c>
      <c r="N910" s="11"/>
      <c r="O910" s="10">
        <f ref="O910:P910" t="shared" si="1037">A910</f>
        <v>0</v>
      </c>
      <c r="P910" s="11">
        <f t="shared" si="1037"/>
        <v>0</v>
      </c>
      <c r="Q910" s="11" t="s">
        <f t="shared" si="144"/>
      </c>
      <c r="R910" s="11">
        <f t="shared" si="139"/>
        <v>0</v>
      </c>
      <c r="S910" s="11">
        <f ref="S910:U910" t="shared" si="1038">E910</f>
        <v>0</v>
      </c>
      <c r="T910" s="11">
        <f t="shared" si="1038"/>
        <v>0</v>
      </c>
      <c r="U910" s="11">
        <f t="shared" si="1038"/>
        <v>0</v>
      </c>
      <c r="V910" s="11">
        <f t="shared" si="146"/>
      </c>
      <c r="W910" s="11" t="s">
        <f t="shared" si="145"/>
      </c>
      <c r="X910" s="11" t="s">
        <f t="shared" si="138"/>
      </c>
    </row>
    <row r="911" ht="12.50" customHeight="true">
      <c r="A911" s="10"/>
      <c r="B911" s="11"/>
      <c r="C911" s="11"/>
      <c r="D911" s="11"/>
      <c r="E911" s="11"/>
      <c r="F911" s="11"/>
      <c r="G911" s="11"/>
      <c r="H911" s="11"/>
      <c r="I911" s="11"/>
      <c r="J911" s="11"/>
      <c r="K911" s="11" t="s">
        <f>""</f>
      </c>
      <c r="L911" s="11" t="s">
        <f t="shared" si="143"/>
      </c>
      <c r="M911" s="8" t="s">
        <f t="shared" si="141"/>
      </c>
      <c r="N911" s="11"/>
      <c r="O911" s="10">
        <f ref="O911:P911" t="shared" si="576">A911</f>
        <v>0</v>
      </c>
      <c r="P911" s="11">
        <f t="shared" si="576"/>
        <v>0</v>
      </c>
      <c r="Q911" s="11" t="s">
        <f t="shared" si="144"/>
      </c>
      <c r="R911" s="11">
        <f t="shared" si="139"/>
        <v>0</v>
      </c>
      <c r="S911" s="11">
        <f ref="S911:U911" t="shared" si="577">E911</f>
        <v>0</v>
      </c>
      <c r="T911" s="11">
        <f t="shared" si="577"/>
        <v>0</v>
      </c>
      <c r="U911" s="11">
        <f t="shared" si="577"/>
        <v>0</v>
      </c>
      <c r="V911" s="11">
        <f t="shared" si="146"/>
      </c>
      <c r="W911" s="11" t="s">
        <f t="shared" si="145"/>
      </c>
      <c r="X911" s="11" t="s">
        <f t="shared" si="138"/>
      </c>
    </row>
    <row r="912" ht="12.50" customHeight="true">
      <c r="A912" s="10"/>
      <c r="B912" s="11"/>
      <c r="C912" s="11"/>
      <c r="D912" s="11"/>
      <c r="E912" s="11"/>
      <c r="F912" s="11"/>
      <c r="G912" s="11"/>
      <c r="H912" s="11"/>
      <c r="I912" s="11"/>
      <c r="J912" s="11"/>
      <c r="K912" s="11" t="s">
        <f>""</f>
      </c>
      <c r="L912" s="11" t="s">
        <f t="shared" si="143"/>
      </c>
      <c r="M912" s="8" t="s">
        <f t="shared" si="141"/>
      </c>
      <c r="N912" s="11"/>
      <c r="O912" s="10">
        <f ref="O912:P912" t="shared" si="335">A912</f>
        <v>0</v>
      </c>
      <c r="P912" s="11">
        <f t="shared" si="335"/>
        <v>0</v>
      </c>
      <c r="Q912" s="11" t="s">
        <f t="shared" si="144"/>
      </c>
      <c r="R912" s="11">
        <f t="shared" si="139"/>
        <v>0</v>
      </c>
      <c r="S912" s="11">
        <f ref="S912:U912" t="shared" si="334">E912</f>
        <v>0</v>
      </c>
      <c r="T912" s="11">
        <f t="shared" si="334"/>
        <v>0</v>
      </c>
      <c r="U912" s="11">
        <f t="shared" si="334"/>
        <v>0</v>
      </c>
      <c r="V912" s="11">
        <f t="shared" si="146"/>
      </c>
      <c r="W912" s="11" t="s">
        <f t="shared" si="145"/>
      </c>
      <c r="X912" s="11" t="s">
        <f t="shared" si="138"/>
      </c>
    </row>
    <row r="913" ht="12.50" customHeight="true">
      <c r="A913" s="10"/>
      <c r="B913" s="11"/>
      <c r="C913" s="11"/>
      <c r="D913" s="11"/>
      <c r="E913" s="11"/>
      <c r="F913" s="11"/>
      <c r="G913" s="11"/>
      <c r="H913" s="11"/>
      <c r="I913" s="11"/>
      <c r="J913" s="11"/>
      <c r="K913" s="11" t="s">
        <f>""</f>
      </c>
      <c r="L913" s="11" t="s">
        <f t="shared" si="143"/>
      </c>
      <c r="M913" s="8" t="s">
        <f t="shared" si="141"/>
      </c>
      <c r="N913" s="11"/>
      <c r="O913" s="10">
        <f ref="O913:P913" t="shared" si="159">A913</f>
        <v>0</v>
      </c>
      <c r="P913" s="11">
        <f t="shared" si="159"/>
        <v>0</v>
      </c>
      <c r="Q913" s="11" t="s">
        <f t="shared" si="144"/>
      </c>
      <c r="R913" s="11">
        <f t="shared" si="139"/>
        <v>0</v>
      </c>
      <c r="S913" s="11">
        <f ref="S913:U913" t="shared" si="160">E913</f>
        <v>0</v>
      </c>
      <c r="T913" s="11">
        <f t="shared" si="160"/>
        <v>0</v>
      </c>
      <c r="U913" s="11">
        <f t="shared" si="160"/>
        <v>0</v>
      </c>
      <c r="V913" s="11">
        <f t="shared" si="146"/>
      </c>
      <c r="W913" s="11" t="s">
        <f t="shared" si="145"/>
      </c>
      <c r="X913" s="11" t="s">
        <f t="shared" si="138"/>
      </c>
    </row>
    <row r="914" ht="12.50" customHeight="true">
      <c r="A914" s="10"/>
      <c r="B914" s="11"/>
      <c r="C914" s="11"/>
      <c r="D914" s="11"/>
      <c r="E914" s="11"/>
      <c r="F914" s="11"/>
      <c r="G914" s="11"/>
      <c r="H914" s="11"/>
      <c r="I914" s="11"/>
      <c r="J914" s="11"/>
      <c r="K914" s="11" t="s">
        <f>""</f>
      </c>
      <c r="L914" s="11" t="s">
        <f t="shared" si="143"/>
      </c>
      <c r="M914" s="8" t="s">
        <f t="shared" si="141"/>
      </c>
      <c r="N914" s="11"/>
      <c r="O914" s="10">
        <f ref="O914:P914" t="shared" si="1119">A914</f>
        <v>0</v>
      </c>
      <c r="P914" s="11">
        <f t="shared" si="1119"/>
        <v>0</v>
      </c>
      <c r="Q914" s="11" t="s">
        <f t="shared" si="144"/>
      </c>
      <c r="R914" s="11">
        <f t="shared" si="139"/>
        <v>0</v>
      </c>
      <c r="S914" s="11">
        <f ref="S914:U914" t="shared" si="1120">E914</f>
        <v>0</v>
      </c>
      <c r="T914" s="11">
        <f t="shared" si="1120"/>
        <v>0</v>
      </c>
      <c r="U914" s="11">
        <f t="shared" si="1120"/>
        <v>0</v>
      </c>
      <c r="V914" s="11">
        <f t="shared" si="146"/>
      </c>
      <c r="W914" s="11" t="s">
        <f t="shared" si="145"/>
      </c>
      <c r="X914" s="11" t="s">
        <f t="shared" si="138"/>
      </c>
    </row>
    <row r="915" ht="12.50" customHeight="true">
      <c r="A915" s="10"/>
      <c r="B915" s="11"/>
      <c r="C915" s="11"/>
      <c r="D915" s="11"/>
      <c r="E915" s="11"/>
      <c r="F915" s="11"/>
      <c r="G915" s="11"/>
      <c r="H915" s="11"/>
      <c r="I915" s="11"/>
      <c r="J915" s="11"/>
      <c r="K915" s="11" t="s">
        <f>""</f>
      </c>
      <c r="L915" s="11" t="s">
        <f t="shared" si="143"/>
      </c>
      <c r="M915" s="8" t="s">
        <f t="shared" si="141"/>
      </c>
      <c r="N915" s="11"/>
      <c r="O915" s="10">
        <f ref="O915:P915" t="shared" si="292">A915</f>
        <v>0</v>
      </c>
      <c r="P915" s="11">
        <f t="shared" si="292"/>
        <v>0</v>
      </c>
      <c r="Q915" s="11" t="s">
        <f t="shared" si="144"/>
      </c>
      <c r="R915" s="11">
        <f t="shared" si="139"/>
        <v>0</v>
      </c>
      <c r="S915" s="11">
        <f ref="S915:U915" t="shared" si="293">E915</f>
        <v>0</v>
      </c>
      <c r="T915" s="11">
        <f t="shared" si="293"/>
        <v>0</v>
      </c>
      <c r="U915" s="11">
        <f t="shared" si="293"/>
        <v>0</v>
      </c>
      <c r="V915" s="11">
        <f t="shared" si="146"/>
      </c>
      <c r="W915" s="11" t="s">
        <f t="shared" si="145"/>
      </c>
      <c r="X915" s="11" t="s">
        <f t="shared" si="138"/>
      </c>
    </row>
    <row r="916" ht="12.50" customHeight="true">
      <c r="A916" s="10"/>
      <c r="B916" s="11"/>
      <c r="C916" s="11"/>
      <c r="D916" s="11"/>
      <c r="E916" s="11"/>
      <c r="F916" s="11"/>
      <c r="G916" s="11"/>
      <c r="H916" s="11"/>
      <c r="I916" s="11"/>
      <c r="J916" s="11"/>
      <c r="K916" s="11" t="s">
        <f>""</f>
      </c>
      <c r="L916" s="11" t="s">
        <f t="shared" si="143"/>
      </c>
      <c r="M916" s="8" t="s">
        <f t="shared" si="141"/>
      </c>
      <c r="N916" s="11"/>
      <c r="O916" s="10">
        <f ref="O916:P916" t="shared" si="1783">A916</f>
        <v>0</v>
      </c>
      <c r="P916" s="11">
        <f t="shared" si="1783"/>
        <v>0</v>
      </c>
      <c r="Q916" s="11" t="s">
        <f t="shared" si="144"/>
      </c>
      <c r="R916" s="11">
        <f t="shared" si="139"/>
        <v>0</v>
      </c>
      <c r="S916" s="11">
        <f ref="S916:U916" t="shared" si="1782">E916</f>
        <v>0</v>
      </c>
      <c r="T916" s="11">
        <f t="shared" si="1782"/>
        <v>0</v>
      </c>
      <c r="U916" s="11">
        <f t="shared" si="1782"/>
        <v>0</v>
      </c>
      <c r="V916" s="11">
        <f t="shared" si="146"/>
      </c>
      <c r="W916" s="11" t="s">
        <f t="shared" si="145"/>
      </c>
      <c r="X916" s="11" t="s">
        <f t="shared" si="138"/>
      </c>
    </row>
    <row r="917" ht="12.50" customHeight="true">
      <c r="A917" s="10"/>
      <c r="B917" s="11"/>
      <c r="C917" s="11"/>
      <c r="D917" s="11"/>
      <c r="E917" s="11"/>
      <c r="F917" s="11"/>
      <c r="G917" s="11"/>
      <c r="H917" s="11"/>
      <c r="I917" s="11"/>
      <c r="J917" s="11"/>
      <c r="K917" s="11" t="s">
        <f>""</f>
      </c>
      <c r="L917" s="11" t="s">
        <f t="shared" si="143"/>
      </c>
      <c r="M917" s="8" t="s">
        <f t="shared" si="141"/>
      </c>
      <c r="N917" s="11"/>
      <c r="O917" s="10">
        <f ref="O917:P917" t="shared" si="1625">A917</f>
        <v>0</v>
      </c>
      <c r="P917" s="11">
        <f t="shared" si="1625"/>
        <v>0</v>
      </c>
      <c r="Q917" s="11" t="s">
        <f t="shared" si="144"/>
      </c>
      <c r="R917" s="11">
        <f t="shared" si="139"/>
        <v>0</v>
      </c>
      <c r="S917" s="11">
        <f ref="S917:U917" t="shared" si="1624">E917</f>
        <v>0</v>
      </c>
      <c r="T917" s="11">
        <f t="shared" si="1624"/>
        <v>0</v>
      </c>
      <c r="U917" s="11">
        <f t="shared" si="1624"/>
        <v>0</v>
      </c>
      <c r="V917" s="11">
        <f t="shared" si="146"/>
      </c>
      <c r="W917" s="11" t="s">
        <f t="shared" si="145"/>
      </c>
      <c r="X917" s="11" t="s">
        <f t="shared" si="138"/>
      </c>
    </row>
    <row r="918" ht="12.50" customHeight="true">
      <c r="A918" s="10"/>
      <c r="B918" s="11"/>
      <c r="C918" s="11"/>
      <c r="D918" s="11"/>
      <c r="E918" s="11"/>
      <c r="F918" s="11"/>
      <c r="G918" s="11"/>
      <c r="H918" s="11"/>
      <c r="I918" s="11"/>
      <c r="J918" s="11"/>
      <c r="K918" s="11" t="s">
        <f>""</f>
      </c>
      <c r="L918" s="11" t="s">
        <f t="shared" si="143"/>
      </c>
      <c r="M918" s="8" t="s">
        <f t="shared" si="141"/>
      </c>
      <c r="N918" s="11"/>
      <c r="O918" s="10">
        <f ref="O918:P918" t="shared" si="1518">A918</f>
        <v>0</v>
      </c>
      <c r="P918" s="11">
        <f t="shared" si="1518"/>
        <v>0</v>
      </c>
      <c r="Q918" s="11" t="s">
        <f t="shared" si="144"/>
      </c>
      <c r="R918" s="11">
        <f t="shared" si="139"/>
        <v>0</v>
      </c>
      <c r="S918" s="11">
        <f ref="S918:U918" t="shared" si="1519">E918</f>
        <v>0</v>
      </c>
      <c r="T918" s="11">
        <f t="shared" si="1519"/>
        <v>0</v>
      </c>
      <c r="U918" s="11">
        <f t="shared" si="1519"/>
        <v>0</v>
      </c>
      <c r="V918" s="11">
        <f t="shared" si="146"/>
      </c>
      <c r="W918" s="11" t="s">
        <f t="shared" si="145"/>
      </c>
      <c r="X918" s="11" t="s">
        <f t="shared" si="138"/>
      </c>
    </row>
    <row r="919" ht="12.50" customHeight="true">
      <c r="A919" s="10"/>
      <c r="B919" s="11"/>
      <c r="C919" s="11"/>
      <c r="D919" s="11"/>
      <c r="E919" s="11"/>
      <c r="F919" s="11"/>
      <c r="G919" s="11"/>
      <c r="H919" s="11"/>
      <c r="I919" s="11"/>
      <c r="J919" s="11"/>
      <c r="K919" s="11" t="s">
        <f>""</f>
      </c>
      <c r="L919" s="11" t="s">
        <f t="shared" si="143"/>
      </c>
      <c r="M919" s="8" t="s">
        <f t="shared" si="141"/>
      </c>
      <c r="N919" s="11"/>
      <c r="O919" s="10">
        <f ref="O919:P919" t="shared" si="1985">A919</f>
        <v>0</v>
      </c>
      <c r="P919" s="11">
        <f t="shared" si="1985"/>
        <v>0</v>
      </c>
      <c r="Q919" s="11" t="s">
        <f t="shared" si="144"/>
      </c>
      <c r="R919" s="11">
        <f t="shared" si="139"/>
        <v>0</v>
      </c>
      <c r="S919" s="11">
        <f ref="S919:U919" t="shared" si="1984">E919</f>
        <v>0</v>
      </c>
      <c r="T919" s="11">
        <f t="shared" si="1984"/>
        <v>0</v>
      </c>
      <c r="U919" s="11">
        <f t="shared" si="1984"/>
        <v>0</v>
      </c>
      <c r="V919" s="11">
        <f t="shared" si="146"/>
      </c>
      <c r="W919" s="11" t="s">
        <f t="shared" si="145"/>
      </c>
      <c r="X919" s="11" t="s">
        <f t="shared" si="138"/>
      </c>
    </row>
    <row r="920" ht="12.50" customHeight="true">
      <c r="A920" s="10"/>
      <c r="B920" s="11"/>
      <c r="C920" s="11"/>
      <c r="D920" s="11"/>
      <c r="E920" s="11"/>
      <c r="F920" s="11"/>
      <c r="G920" s="11"/>
      <c r="H920" s="11"/>
      <c r="I920" s="11"/>
      <c r="J920" s="11"/>
      <c r="K920" s="11" t="s">
        <f>""</f>
      </c>
      <c r="L920" s="11" t="s">
        <f t="shared" si="143"/>
      </c>
      <c r="M920" s="8" t="s">
        <f t="shared" si="141"/>
      </c>
      <c r="N920" s="11"/>
      <c r="O920" s="10">
        <f ref="O920:P920" t="shared" si="1918">A920</f>
        <v>0</v>
      </c>
      <c r="P920" s="11">
        <f t="shared" si="1918"/>
        <v>0</v>
      </c>
      <c r="Q920" s="11" t="s">
        <f t="shared" si="144"/>
      </c>
      <c r="R920" s="11">
        <f t="shared" si="139"/>
        <v>0</v>
      </c>
      <c r="S920" s="11">
        <f ref="S920:U920" t="shared" si="1919">E920</f>
        <v>0</v>
      </c>
      <c r="T920" s="11">
        <f t="shared" si="1919"/>
        <v>0</v>
      </c>
      <c r="U920" s="11">
        <f t="shared" si="1919"/>
        <v>0</v>
      </c>
      <c r="V920" s="11">
        <f t="shared" si="146"/>
      </c>
      <c r="W920" s="11" t="s">
        <f t="shared" si="145"/>
      </c>
      <c r="X920" s="11" t="s">
        <f t="shared" si="138"/>
      </c>
    </row>
    <row r="921" ht="12.50" customHeight="true">
      <c r="A921" s="10"/>
      <c r="B921" s="11"/>
      <c r="C921" s="11"/>
      <c r="D921" s="11"/>
      <c r="E921" s="11"/>
      <c r="F921" s="11"/>
      <c r="G921" s="11"/>
      <c r="H921" s="11"/>
      <c r="I921" s="11"/>
      <c r="J921" s="11"/>
      <c r="K921" s="11" t="s">
        <f>""</f>
      </c>
      <c r="L921" s="11" t="s">
        <f t="shared" si="143"/>
      </c>
      <c r="M921" s="8" t="s">
        <f t="shared" si="141"/>
      </c>
      <c r="N921" s="11"/>
      <c r="O921" s="10">
        <f ref="O921:P921" t="shared" si="1847">A921</f>
        <v>0</v>
      </c>
      <c r="P921" s="11">
        <f t="shared" si="1847"/>
        <v>0</v>
      </c>
      <c r="Q921" s="11" t="s">
        <f t="shared" si="144"/>
      </c>
      <c r="R921" s="11">
        <f t="shared" si="139"/>
        <v>0</v>
      </c>
      <c r="S921" s="11">
        <f ref="S921:U921" t="shared" si="1846">E921</f>
        <v>0</v>
      </c>
      <c r="T921" s="11">
        <f t="shared" si="1846"/>
        <v>0</v>
      </c>
      <c r="U921" s="11">
        <f t="shared" si="1846"/>
        <v>0</v>
      </c>
      <c r="V921" s="11">
        <f t="shared" si="146"/>
      </c>
      <c r="W921" s="11" t="s">
        <f t="shared" si="145"/>
      </c>
      <c r="X921" s="11" t="s">
        <f t="shared" si="138"/>
      </c>
    </row>
    <row r="922" ht="12.50" customHeight="true">
      <c r="A922" s="10"/>
      <c r="B922" s="11"/>
      <c r="C922" s="11"/>
      <c r="D922" s="11"/>
      <c r="E922" s="11"/>
      <c r="F922" s="11"/>
      <c r="G922" s="11"/>
      <c r="H922" s="11"/>
      <c r="I922" s="11"/>
      <c r="J922" s="11"/>
      <c r="K922" s="11" t="s">
        <f>""</f>
      </c>
      <c r="L922" s="11" t="s">
        <f t="shared" si="143"/>
      </c>
      <c r="M922" s="8" t="s">
        <f t="shared" si="141"/>
      </c>
      <c r="N922" s="11"/>
      <c r="O922" s="10">
        <f ref="O922:P922" t="shared" si="505">A922</f>
        <v>0</v>
      </c>
      <c r="P922" s="11">
        <f t="shared" si="505"/>
        <v>0</v>
      </c>
      <c r="Q922" s="11" t="s">
        <f t="shared" si="144"/>
      </c>
      <c r="R922" s="11">
        <f t="shared" si="139"/>
        <v>0</v>
      </c>
      <c r="S922" s="11">
        <f ref="S922:U922" t="shared" si="504">E922</f>
        <v>0</v>
      </c>
      <c r="T922" s="11">
        <f t="shared" si="504"/>
        <v>0</v>
      </c>
      <c r="U922" s="11">
        <f t="shared" si="504"/>
        <v>0</v>
      </c>
      <c r="V922" s="11">
        <f t="shared" si="146"/>
      </c>
      <c r="W922" s="11" t="s">
        <f t="shared" si="145"/>
      </c>
      <c r="X922" s="11" t="s">
        <f t="shared" si="138"/>
      </c>
    </row>
    <row r="923" ht="12.50" customHeight="true">
      <c r="A923" s="10"/>
      <c r="B923" s="11"/>
      <c r="C923" s="11"/>
      <c r="D923" s="11"/>
      <c r="E923" s="11"/>
      <c r="F923" s="11"/>
      <c r="G923" s="11"/>
      <c r="H923" s="11"/>
      <c r="I923" s="11"/>
      <c r="J923" s="11"/>
      <c r="K923" s="11" t="s">
        <f>""</f>
      </c>
      <c r="L923" s="11" t="s">
        <f t="shared" si="143"/>
      </c>
      <c r="M923" s="8" t="s">
        <f t="shared" si="141"/>
      </c>
      <c r="N923" s="11"/>
      <c r="O923" s="10">
        <f ref="O923:P923" t="shared" si="1956">A923</f>
        <v>0</v>
      </c>
      <c r="P923" s="11">
        <f t="shared" si="1956"/>
        <v>0</v>
      </c>
      <c r="Q923" s="11" t="s">
        <f t="shared" si="144"/>
      </c>
      <c r="R923" s="11">
        <f t="shared" si="139"/>
        <v>0</v>
      </c>
      <c r="S923" s="11">
        <f ref="S923:U923" t="shared" si="1957">E923</f>
        <v>0</v>
      </c>
      <c r="T923" s="11">
        <f t="shared" si="1957"/>
        <v>0</v>
      </c>
      <c r="U923" s="11">
        <f t="shared" si="1957"/>
        <v>0</v>
      </c>
      <c r="V923" s="11">
        <f t="shared" si="146"/>
      </c>
      <c r="W923" s="11" t="s">
        <f t="shared" si="145"/>
      </c>
      <c r="X923" s="11" t="s">
        <f t="shared" si="138"/>
      </c>
    </row>
    <row r="924" ht="12.50" customHeight="true">
      <c r="A924" s="10"/>
      <c r="B924" s="11"/>
      <c r="C924" s="11"/>
      <c r="D924" s="11"/>
      <c r="E924" s="11"/>
      <c r="F924" s="11"/>
      <c r="G924" s="11"/>
      <c r="H924" s="11"/>
      <c r="I924" s="11"/>
      <c r="J924" s="11"/>
      <c r="K924" s="11" t="s">
        <f>""</f>
      </c>
      <c r="L924" s="11" t="s">
        <f t="shared" si="143"/>
      </c>
      <c r="M924" s="8" t="s">
        <f t="shared" si="141"/>
      </c>
      <c r="N924" s="11"/>
      <c r="O924" s="10">
        <f ref="O924:P924" t="shared" si="872">A924</f>
        <v>0</v>
      </c>
      <c r="P924" s="11">
        <f t="shared" si="872"/>
        <v>0</v>
      </c>
      <c r="Q924" s="11" t="s">
        <f t="shared" si="144"/>
      </c>
      <c r="R924" s="11">
        <f t="shared" si="139"/>
        <v>0</v>
      </c>
      <c r="S924" s="11">
        <f ref="S924:U924" t="shared" si="873">E924</f>
        <v>0</v>
      </c>
      <c r="T924" s="11">
        <f t="shared" si="873"/>
        <v>0</v>
      </c>
      <c r="U924" s="11">
        <f t="shared" si="873"/>
        <v>0</v>
      </c>
      <c r="V924" s="11">
        <f t="shared" si="146"/>
      </c>
      <c r="W924" s="11" t="s">
        <f t="shared" si="145"/>
      </c>
      <c r="X924" s="11" t="s">
        <f t="shared" si="138"/>
      </c>
    </row>
    <row r="925" ht="12.50" customHeight="true">
      <c r="A925" s="10"/>
      <c r="B925" s="11"/>
      <c r="C925" s="11"/>
      <c r="D925" s="11"/>
      <c r="E925" s="11"/>
      <c r="F925" s="11"/>
      <c r="G925" s="11"/>
      <c r="H925" s="11"/>
      <c r="I925" s="11"/>
      <c r="J925" s="11"/>
      <c r="K925" s="11" t="s">
        <f>""</f>
      </c>
      <c r="L925" s="11" t="s">
        <f t="shared" si="143"/>
      </c>
      <c r="M925" s="8" t="s">
        <f t="shared" si="141"/>
      </c>
      <c r="N925" s="11"/>
      <c r="O925" s="10">
        <f ref="O925:P925" t="shared" si="1698">A925</f>
        <v>0</v>
      </c>
      <c r="P925" s="11">
        <f t="shared" si="1698"/>
        <v>0</v>
      </c>
      <c r="Q925" s="11" t="s">
        <f t="shared" si="144"/>
      </c>
      <c r="R925" s="11">
        <f t="shared" si="139"/>
        <v>0</v>
      </c>
      <c r="S925" s="11">
        <f ref="S925:U925" t="shared" si="1699">E925</f>
        <v>0</v>
      </c>
      <c r="T925" s="11">
        <f t="shared" si="1699"/>
        <v>0</v>
      </c>
      <c r="U925" s="11">
        <f t="shared" si="1699"/>
        <v>0</v>
      </c>
      <c r="V925" s="11">
        <f t="shared" si="146"/>
      </c>
      <c r="W925" s="11" t="s">
        <f t="shared" si="145"/>
      </c>
      <c r="X925" s="11" t="s">
        <f t="shared" si="138"/>
      </c>
    </row>
    <row r="926" ht="12.50" customHeight="true">
      <c r="A926" s="10"/>
      <c r="B926" s="11"/>
      <c r="C926" s="11"/>
      <c r="D926" s="11"/>
      <c r="E926" s="11"/>
      <c r="F926" s="11"/>
      <c r="G926" s="11"/>
      <c r="H926" s="11"/>
      <c r="I926" s="11"/>
      <c r="J926" s="11"/>
      <c r="K926" s="11" t="s">
        <f>""</f>
      </c>
      <c r="L926" s="11" t="s">
        <f t="shared" si="143"/>
      </c>
      <c r="M926" s="8" t="s">
        <f t="shared" si="141"/>
      </c>
      <c r="N926" s="11"/>
      <c r="O926" s="10">
        <f ref="O926:P926" t="shared" si="1098">A926</f>
        <v>0</v>
      </c>
      <c r="P926" s="11">
        <f t="shared" si="1098"/>
        <v>0</v>
      </c>
      <c r="Q926" s="11" t="s">
        <f t="shared" si="144"/>
      </c>
      <c r="R926" s="11">
        <f t="shared" si="139"/>
        <v>0</v>
      </c>
      <c r="S926" s="11">
        <f ref="S926:U926" t="shared" si="1097">E926</f>
        <v>0</v>
      </c>
      <c r="T926" s="11">
        <f t="shared" si="1097"/>
        <v>0</v>
      </c>
      <c r="U926" s="11">
        <f t="shared" si="1097"/>
        <v>0</v>
      </c>
      <c r="V926" s="11">
        <f t="shared" si="146"/>
      </c>
      <c r="W926" s="11" t="s">
        <f t="shared" si="145"/>
      </c>
      <c r="X926" s="11" t="s">
        <f t="shared" si="138"/>
      </c>
    </row>
    <row r="927" ht="12.50" customHeight="true">
      <c r="A927" s="10"/>
      <c r="B927" s="11"/>
      <c r="C927" s="11"/>
      <c r="D927" s="11"/>
      <c r="E927" s="11"/>
      <c r="F927" s="11"/>
      <c r="G927" s="11"/>
      <c r="H927" s="11"/>
      <c r="I927" s="11"/>
      <c r="J927" s="11"/>
      <c r="K927" s="11" t="s">
        <f>""</f>
      </c>
      <c r="L927" s="11" t="s">
        <f t="shared" si="143"/>
      </c>
      <c r="M927" s="8" t="s">
        <f t="shared" si="141"/>
      </c>
      <c r="N927" s="11"/>
      <c r="O927" s="10">
        <f ref="O927:P927" t="shared" si="971">A927</f>
        <v>0</v>
      </c>
      <c r="P927" s="11">
        <f t="shared" si="971"/>
        <v>0</v>
      </c>
      <c r="Q927" s="11" t="s">
        <f t="shared" si="144"/>
      </c>
      <c r="R927" s="11">
        <f t="shared" si="139"/>
        <v>0</v>
      </c>
      <c r="S927" s="11">
        <f ref="S927:U927" t="shared" si="972">E927</f>
        <v>0</v>
      </c>
      <c r="T927" s="11">
        <f t="shared" si="972"/>
        <v>0</v>
      </c>
      <c r="U927" s="11">
        <f t="shared" si="972"/>
        <v>0</v>
      </c>
      <c r="V927" s="11">
        <f t="shared" si="146"/>
      </c>
      <c r="W927" s="11" t="s">
        <f t="shared" si="145"/>
      </c>
      <c r="X927" s="11" t="s">
        <f t="shared" si="138"/>
      </c>
    </row>
    <row r="928" ht="12.50" customHeight="true">
      <c r="A928" s="10"/>
      <c r="B928" s="11"/>
      <c r="C928" s="11"/>
      <c r="D928" s="11"/>
      <c r="E928" s="11"/>
      <c r="F928" s="11"/>
      <c r="G928" s="11"/>
      <c r="H928" s="11"/>
      <c r="I928" s="11"/>
      <c r="J928" s="11"/>
      <c r="K928" s="11" t="s">
        <f>""</f>
      </c>
      <c r="L928" s="11" t="s">
        <f t="shared" si="143"/>
      </c>
      <c r="M928" s="8" t="s">
        <f t="shared" si="141"/>
      </c>
      <c r="N928" s="11"/>
      <c r="O928" s="10">
        <f ref="O928:P928" t="shared" si="248">A928</f>
        <v>0</v>
      </c>
      <c r="P928" s="11">
        <f t="shared" si="248"/>
        <v>0</v>
      </c>
      <c r="Q928" s="11" t="s">
        <f t="shared" si="144"/>
      </c>
      <c r="R928" s="11">
        <f t="shared" si="139"/>
        <v>0</v>
      </c>
      <c r="S928" s="11">
        <f ref="S928:U928" t="shared" si="249">E928</f>
        <v>0</v>
      </c>
      <c r="T928" s="11">
        <f t="shared" si="249"/>
        <v>0</v>
      </c>
      <c r="U928" s="11">
        <f t="shared" si="249"/>
        <v>0</v>
      </c>
      <c r="V928" s="11">
        <f t="shared" si="146"/>
      </c>
      <c r="W928" s="11" t="s">
        <f t="shared" si="145"/>
      </c>
      <c r="X928" s="11" t="s">
        <f t="shared" si="138"/>
      </c>
    </row>
    <row r="929" ht="12.50" customHeight="true">
      <c r="A929" s="10"/>
      <c r="B929" s="11"/>
      <c r="C929" s="11"/>
      <c r="D929" s="11"/>
      <c r="E929" s="11"/>
      <c r="F929" s="11"/>
      <c r="G929" s="11"/>
      <c r="H929" s="11"/>
      <c r="I929" s="11"/>
      <c r="J929" s="11"/>
      <c r="K929" s="11" t="s">
        <f>""</f>
      </c>
      <c r="L929" s="11" t="s">
        <f t="shared" si="143"/>
      </c>
      <c r="M929" s="8" t="s">
        <f t="shared" si="141"/>
      </c>
      <c r="N929" s="11"/>
      <c r="O929" s="10">
        <f ref="O929:P929" t="shared" si="1202">A929</f>
        <v>0</v>
      </c>
      <c r="P929" s="11">
        <f t="shared" si="1202"/>
        <v>0</v>
      </c>
      <c r="Q929" s="11" t="s">
        <f t="shared" si="144"/>
      </c>
      <c r="R929" s="11">
        <f t="shared" si="139"/>
        <v>0</v>
      </c>
      <c r="S929" s="11">
        <f ref="S929:U929" t="shared" si="1201">E929</f>
        <v>0</v>
      </c>
      <c r="T929" s="11">
        <f t="shared" si="1201"/>
        <v>0</v>
      </c>
      <c r="U929" s="11">
        <f t="shared" si="1201"/>
        <v>0</v>
      </c>
      <c r="V929" s="11">
        <f t="shared" si="146"/>
      </c>
      <c r="W929" s="11" t="s">
        <f t="shared" si="145"/>
      </c>
      <c r="X929" s="11" t="s">
        <f t="shared" si="138"/>
      </c>
    </row>
    <row r="930" ht="12.50" customHeight="true">
      <c r="A930" s="10"/>
      <c r="B930" s="11"/>
      <c r="C930" s="11"/>
      <c r="D930" s="11"/>
      <c r="E930" s="11"/>
      <c r="F930" s="11"/>
      <c r="G930" s="11"/>
      <c r="H930" s="11"/>
      <c r="I930" s="11"/>
      <c r="J930" s="11"/>
      <c r="K930" s="11" t="s">
        <f>""</f>
      </c>
      <c r="L930" s="11" t="s">
        <f t="shared" si="143"/>
      </c>
      <c r="M930" s="8" t="s">
        <f t="shared" si="141"/>
      </c>
      <c r="N930" s="11"/>
      <c r="O930" s="10">
        <f ref="O930:P930" t="shared" si="1094">A930</f>
        <v>0</v>
      </c>
      <c r="P930" s="11">
        <f t="shared" si="1094"/>
        <v>0</v>
      </c>
      <c r="Q930" s="11" t="s">
        <f t="shared" si="144"/>
      </c>
      <c r="R930" s="11">
        <f t="shared" si="139"/>
        <v>0</v>
      </c>
      <c r="S930" s="11">
        <f ref="S930:U930" t="shared" si="1093">E930</f>
        <v>0</v>
      </c>
      <c r="T930" s="11">
        <f t="shared" si="1093"/>
        <v>0</v>
      </c>
      <c r="U930" s="11">
        <f t="shared" si="1093"/>
        <v>0</v>
      </c>
      <c r="V930" s="11">
        <f t="shared" si="146"/>
      </c>
      <c r="W930" s="11" t="s">
        <f t="shared" si="145"/>
      </c>
      <c r="X930" s="11" t="s">
        <f t="shared" si="138"/>
      </c>
    </row>
    <row r="931" ht="12.50" customHeight="true">
      <c r="A931" s="10"/>
      <c r="B931" s="11"/>
      <c r="C931" s="11"/>
      <c r="D931" s="11"/>
      <c r="E931" s="11"/>
      <c r="F931" s="11"/>
      <c r="G931" s="11"/>
      <c r="H931" s="11"/>
      <c r="I931" s="11"/>
      <c r="J931" s="11"/>
      <c r="K931" s="11" t="s">
        <f>""</f>
      </c>
      <c r="L931" s="11" t="s">
        <f t="shared" si="143"/>
      </c>
      <c r="M931" s="8" t="s">
        <f t="shared" si="141"/>
      </c>
      <c r="N931" s="11"/>
      <c r="O931" s="10">
        <f ref="O931:P931" t="shared" si="147">A931</f>
        <v>0</v>
      </c>
      <c r="P931" s="11">
        <f t="shared" si="147"/>
        <v>0</v>
      </c>
      <c r="Q931" s="11" t="s">
        <f t="shared" si="144"/>
      </c>
      <c r="R931" s="11">
        <f t="shared" si="139"/>
        <v>0</v>
      </c>
      <c r="S931" s="11">
        <f ref="S931:U931" t="shared" si="148">E931</f>
        <v>0</v>
      </c>
      <c r="T931" s="11">
        <f t="shared" si="148"/>
        <v>0</v>
      </c>
      <c r="U931" s="11">
        <f t="shared" si="148"/>
        <v>0</v>
      </c>
      <c r="V931" s="11">
        <f t="shared" si="146"/>
      </c>
      <c r="W931" s="11" t="s">
        <f t="shared" si="145"/>
      </c>
      <c r="X931" s="11" t="s">
        <f t="shared" si="138"/>
      </c>
    </row>
    <row r="932" ht="12.50" customHeight="true">
      <c r="A932" s="10"/>
      <c r="B932" s="11"/>
      <c r="C932" s="11"/>
      <c r="D932" s="11"/>
      <c r="E932" s="11"/>
      <c r="F932" s="11"/>
      <c r="G932" s="11"/>
      <c r="H932" s="11"/>
      <c r="I932" s="11"/>
      <c r="J932" s="11"/>
      <c r="K932" s="11" t="s">
        <f>""</f>
      </c>
      <c r="L932" s="11" t="s">
        <f t="shared" si="143"/>
      </c>
      <c r="M932" s="8" t="s">
        <f t="shared" si="141"/>
      </c>
      <c r="N932" s="11"/>
      <c r="O932" s="10">
        <f ref="O932:P932" t="shared" si="1418">A932</f>
        <v>0</v>
      </c>
      <c r="P932" s="11">
        <f t="shared" si="1418"/>
        <v>0</v>
      </c>
      <c r="Q932" s="11" t="s">
        <f t="shared" si="144"/>
      </c>
      <c r="R932" s="11">
        <f t="shared" si="139"/>
        <v>0</v>
      </c>
      <c r="S932" s="11">
        <f ref="S932:U932" t="shared" si="1419">E932</f>
        <v>0</v>
      </c>
      <c r="T932" s="11">
        <f t="shared" si="1419"/>
        <v>0</v>
      </c>
      <c r="U932" s="11">
        <f t="shared" si="1419"/>
        <v>0</v>
      </c>
      <c r="V932" s="11">
        <f t="shared" si="146"/>
      </c>
      <c r="W932" s="11" t="s">
        <f t="shared" si="145"/>
      </c>
      <c r="X932" s="11" t="s">
        <f t="shared" si="138"/>
      </c>
    </row>
    <row r="933" ht="12.50" customHeight="true">
      <c r="A933" s="10"/>
      <c r="B933" s="11"/>
      <c r="C933" s="11"/>
      <c r="D933" s="11"/>
      <c r="E933" s="11"/>
      <c r="F933" s="11"/>
      <c r="G933" s="11"/>
      <c r="H933" s="11"/>
      <c r="I933" s="11"/>
      <c r="J933" s="11"/>
      <c r="K933" s="11" t="s">
        <f>""</f>
      </c>
      <c r="L933" s="11" t="s">
        <f t="shared" si="143"/>
      </c>
      <c r="M933" s="8" t="s">
        <f t="shared" si="141"/>
      </c>
      <c r="N933" s="11"/>
      <c r="O933" s="10">
        <f ref="O933:P933" t="shared" si="189">A933</f>
        <v>0</v>
      </c>
      <c r="P933" s="11">
        <f t="shared" si="189"/>
        <v>0</v>
      </c>
      <c r="Q933" s="11" t="s">
        <f t="shared" si="144"/>
      </c>
      <c r="R933" s="11">
        <f t="shared" si="139"/>
        <v>0</v>
      </c>
      <c r="S933" s="11">
        <f ref="S933:U933" t="shared" si="190">E933</f>
        <v>0</v>
      </c>
      <c r="T933" s="11">
        <f t="shared" si="190"/>
        <v>0</v>
      </c>
      <c r="U933" s="11">
        <f t="shared" si="190"/>
        <v>0</v>
      </c>
      <c r="V933" s="11">
        <f t="shared" si="146"/>
      </c>
      <c r="W933" s="11" t="s">
        <f t="shared" si="145"/>
      </c>
      <c r="X933" s="11" t="s">
        <f t="shared" si="138"/>
      </c>
    </row>
    <row r="934" ht="12.50" customHeight="true">
      <c r="A934" s="10"/>
      <c r="B934" s="11"/>
      <c r="C934" s="11"/>
      <c r="D934" s="11"/>
      <c r="E934" s="11"/>
      <c r="F934" s="11"/>
      <c r="G934" s="11"/>
      <c r="H934" s="11"/>
      <c r="I934" s="11"/>
      <c r="J934" s="11"/>
      <c r="K934" s="11" t="s">
        <f>""</f>
      </c>
      <c r="L934" s="11" t="s">
        <f t="shared" si="143"/>
      </c>
      <c r="M934" s="8" t="s">
        <f t="shared" si="141"/>
      </c>
      <c r="N934" s="11"/>
      <c r="O934" s="10">
        <f ref="O934:P934" t="shared" si="1327">A934</f>
        <v>0</v>
      </c>
      <c r="P934" s="11">
        <f t="shared" si="1327"/>
        <v>0</v>
      </c>
      <c r="Q934" s="11" t="s">
        <f t="shared" si="144"/>
      </c>
      <c r="R934" s="11">
        <f t="shared" si="139"/>
        <v>0</v>
      </c>
      <c r="S934" s="11">
        <f ref="S934:U934" t="shared" si="1326">E934</f>
        <v>0</v>
      </c>
      <c r="T934" s="11">
        <f t="shared" si="1326"/>
        <v>0</v>
      </c>
      <c r="U934" s="11">
        <f t="shared" si="1326"/>
        <v>0</v>
      </c>
      <c r="V934" s="11">
        <f t="shared" si="146"/>
      </c>
      <c r="W934" s="11" t="s">
        <f t="shared" si="145"/>
      </c>
      <c r="X934" s="11" t="s">
        <f t="shared" si="138"/>
      </c>
    </row>
    <row r="935" ht="12.50" customHeight="true">
      <c r="A935" s="10"/>
      <c r="B935" s="11"/>
      <c r="C935" s="11"/>
      <c r="D935" s="11"/>
      <c r="E935" s="11"/>
      <c r="F935" s="11"/>
      <c r="G935" s="11"/>
      <c r="H935" s="11"/>
      <c r="I935" s="11"/>
      <c r="J935" s="11"/>
      <c r="K935" s="11" t="s">
        <f>""</f>
      </c>
      <c r="L935" s="11" t="s">
        <f t="shared" si="143"/>
      </c>
      <c r="M935" s="8" t="s">
        <f t="shared" si="141"/>
      </c>
      <c r="N935" s="11"/>
      <c r="O935" s="10">
        <f ref="O935:P935" t="shared" si="400">A935</f>
        <v>0</v>
      </c>
      <c r="P935" s="11">
        <f t="shared" si="400"/>
        <v>0</v>
      </c>
      <c r="Q935" s="11" t="s">
        <f t="shared" si="144"/>
      </c>
      <c r="R935" s="11">
        <f t="shared" si="139"/>
        <v>0</v>
      </c>
      <c r="S935" s="11">
        <f ref="S935:U935" t="shared" si="401">E935</f>
        <v>0</v>
      </c>
      <c r="T935" s="11">
        <f t="shared" si="401"/>
        <v>0</v>
      </c>
      <c r="U935" s="11">
        <f t="shared" si="401"/>
        <v>0</v>
      </c>
      <c r="V935" s="11">
        <f t="shared" si="146"/>
      </c>
      <c r="W935" s="11" t="s">
        <f t="shared" si="145"/>
      </c>
      <c r="X935" s="11" t="s">
        <f t="shared" si="138"/>
      </c>
    </row>
    <row r="936" ht="12.50" customHeight="true">
      <c r="A936" s="10"/>
      <c r="B936" s="11"/>
      <c r="C936" s="11"/>
      <c r="D936" s="11"/>
      <c r="E936" s="11"/>
      <c r="F936" s="11"/>
      <c r="G936" s="11"/>
      <c r="H936" s="11"/>
      <c r="I936" s="11"/>
      <c r="J936" s="11"/>
      <c r="K936" s="11" t="s">
        <f>""</f>
      </c>
      <c r="L936" s="11" t="s">
        <f t="shared" si="143"/>
      </c>
      <c r="M936" s="8" t="s">
        <f t="shared" si="141"/>
      </c>
      <c r="N936" s="11"/>
      <c r="O936" s="10">
        <f ref="O936:P936" t="shared" si="1780">A936</f>
        <v>0</v>
      </c>
      <c r="P936" s="11">
        <f t="shared" si="1780"/>
        <v>0</v>
      </c>
      <c r="Q936" s="11" t="s">
        <f t="shared" si="144"/>
      </c>
      <c r="R936" s="11">
        <f t="shared" si="139"/>
        <v>0</v>
      </c>
      <c r="S936" s="11">
        <f ref="S936:U936" t="shared" si="1781">E936</f>
        <v>0</v>
      </c>
      <c r="T936" s="11">
        <f t="shared" si="1781"/>
        <v>0</v>
      </c>
      <c r="U936" s="11">
        <f t="shared" si="1781"/>
        <v>0</v>
      </c>
      <c r="V936" s="11">
        <f t="shared" si="146"/>
      </c>
      <c r="W936" s="11" t="s">
        <f t="shared" si="145"/>
      </c>
      <c r="X936" s="11" t="s">
        <f t="shared" si="138"/>
      </c>
    </row>
    <row r="937" ht="12.50" customHeight="true">
      <c r="A937" s="10"/>
      <c r="B937" s="11"/>
      <c r="C937" s="11"/>
      <c r="D937" s="11"/>
      <c r="E937" s="11"/>
      <c r="F937" s="11"/>
      <c r="G937" s="11"/>
      <c r="H937" s="11"/>
      <c r="I937" s="11"/>
      <c r="J937" s="11"/>
      <c r="K937" s="11" t="s">
        <f>""</f>
      </c>
      <c r="L937" s="11" t="s">
        <f t="shared" si="143"/>
      </c>
      <c r="M937" s="8" t="s">
        <f t="shared" si="141"/>
      </c>
      <c r="N937" s="11"/>
      <c r="O937" s="10">
        <f ref="O937:P937" t="shared" si="323">A937</f>
        <v>0</v>
      </c>
      <c r="P937" s="11">
        <f t="shared" si="323"/>
        <v>0</v>
      </c>
      <c r="Q937" s="11" t="s">
        <f t="shared" si="144"/>
      </c>
      <c r="R937" s="11">
        <f t="shared" si="139"/>
        <v>0</v>
      </c>
      <c r="S937" s="11">
        <f ref="S937:U937" t="shared" si="322">E937</f>
        <v>0</v>
      </c>
      <c r="T937" s="11">
        <f t="shared" si="322"/>
        <v>0</v>
      </c>
      <c r="U937" s="11">
        <f t="shared" si="322"/>
        <v>0</v>
      </c>
      <c r="V937" s="11">
        <f t="shared" si="146"/>
      </c>
      <c r="W937" s="11" t="s">
        <f t="shared" si="145"/>
      </c>
      <c r="X937" s="11" t="s">
        <f t="shared" si="138"/>
      </c>
    </row>
    <row r="938" ht="12.50" customHeight="true">
      <c r="A938" s="10"/>
      <c r="B938" s="11"/>
      <c r="C938" s="11"/>
      <c r="D938" s="11"/>
      <c r="E938" s="11"/>
      <c r="F938" s="11"/>
      <c r="G938" s="11"/>
      <c r="H938" s="11"/>
      <c r="I938" s="11"/>
      <c r="J938" s="11"/>
      <c r="K938" s="11" t="s">
        <f>""</f>
      </c>
      <c r="L938" s="11" t="s">
        <f t="shared" si="143"/>
      </c>
      <c r="M938" s="8" t="s">
        <f t="shared" si="141"/>
      </c>
      <c r="N938" s="11"/>
      <c r="O938" s="10">
        <f ref="O938:P938" t="shared" si="1638">A938</f>
        <v>0</v>
      </c>
      <c r="P938" s="11">
        <f t="shared" si="1638"/>
        <v>0</v>
      </c>
      <c r="Q938" s="11" t="s">
        <f t="shared" si="144"/>
      </c>
      <c r="R938" s="11">
        <f t="shared" si="139"/>
        <v>0</v>
      </c>
      <c r="S938" s="11">
        <f ref="S938:U938" t="shared" si="1639">E938</f>
        <v>0</v>
      </c>
      <c r="T938" s="11">
        <f t="shared" si="1639"/>
        <v>0</v>
      </c>
      <c r="U938" s="11">
        <f t="shared" si="1639"/>
        <v>0</v>
      </c>
      <c r="V938" s="11">
        <f t="shared" si="146"/>
      </c>
      <c r="W938" s="11" t="s">
        <f t="shared" si="145"/>
      </c>
      <c r="X938" s="11" t="s">
        <f t="shared" si="138"/>
      </c>
    </row>
    <row r="939" ht="12.50" customHeight="true">
      <c r="A939" s="10"/>
      <c r="B939" s="11"/>
      <c r="C939" s="11"/>
      <c r="D939" s="11"/>
      <c r="E939" s="11"/>
      <c r="F939" s="11"/>
      <c r="G939" s="11"/>
      <c r="H939" s="11"/>
      <c r="I939" s="11"/>
      <c r="J939" s="11"/>
      <c r="K939" s="11" t="s">
        <f>""</f>
      </c>
      <c r="L939" s="11" t="s">
        <f t="shared" si="143"/>
      </c>
      <c r="M939" s="8" t="s">
        <f t="shared" si="141"/>
      </c>
      <c r="N939" s="11"/>
      <c r="O939" s="10">
        <f ref="O939:P939" t="shared" si="254">A939</f>
        <v>0</v>
      </c>
      <c r="P939" s="11">
        <f t="shared" si="254"/>
        <v>0</v>
      </c>
      <c r="Q939" s="11" t="s">
        <f t="shared" si="144"/>
      </c>
      <c r="R939" s="11">
        <f t="shared" si="139"/>
        <v>0</v>
      </c>
      <c r="S939" s="11">
        <f ref="S939:U939" t="shared" si="255">E939</f>
        <v>0</v>
      </c>
      <c r="T939" s="11">
        <f t="shared" si="255"/>
        <v>0</v>
      </c>
      <c r="U939" s="11">
        <f t="shared" si="255"/>
        <v>0</v>
      </c>
      <c r="V939" s="11">
        <f t="shared" si="146"/>
      </c>
      <c r="W939" s="11" t="s">
        <f t="shared" si="145"/>
      </c>
      <c r="X939" s="11" t="s">
        <f t="shared" si="138"/>
      </c>
    </row>
    <row r="940" ht="12.50" customHeight="true">
      <c r="A940" s="10"/>
      <c r="B940" s="11"/>
      <c r="C940" s="11"/>
      <c r="D940" s="11"/>
      <c r="E940" s="11"/>
      <c r="F940" s="11"/>
      <c r="G940" s="11"/>
      <c r="H940" s="11"/>
      <c r="I940" s="11"/>
      <c r="J940" s="11"/>
      <c r="K940" s="11" t="s">
        <f>""</f>
      </c>
      <c r="L940" s="11" t="s">
        <f t="shared" si="143"/>
      </c>
      <c r="M940" s="8" t="s">
        <f t="shared" si="141"/>
      </c>
      <c r="N940" s="11"/>
      <c r="O940" s="10">
        <f ref="O940:P940" t="shared" si="524">A940</f>
        <v>0</v>
      </c>
      <c r="P940" s="11">
        <f t="shared" si="524"/>
        <v>0</v>
      </c>
      <c r="Q940" s="11" t="s">
        <f t="shared" si="144"/>
      </c>
      <c r="R940" s="11">
        <f t="shared" si="139"/>
        <v>0</v>
      </c>
      <c r="S940" s="11">
        <f ref="S940:U940" t="shared" si="525">E940</f>
        <v>0</v>
      </c>
      <c r="T940" s="11">
        <f t="shared" si="525"/>
        <v>0</v>
      </c>
      <c r="U940" s="11">
        <f t="shared" si="525"/>
        <v>0</v>
      </c>
      <c r="V940" s="11">
        <f t="shared" si="146"/>
      </c>
      <c r="W940" s="11" t="s">
        <f t="shared" si="145"/>
      </c>
      <c r="X940" s="11" t="s">
        <f t="shared" si="138"/>
      </c>
    </row>
    <row r="941" ht="12.50" customHeight="true">
      <c r="A941" s="10"/>
      <c r="B941" s="11"/>
      <c r="C941" s="11"/>
      <c r="D941" s="11"/>
      <c r="E941" s="11"/>
      <c r="F941" s="11"/>
      <c r="G941" s="11"/>
      <c r="H941" s="11"/>
      <c r="I941" s="11"/>
      <c r="J941" s="11"/>
      <c r="K941" s="11" t="s">
        <f>""</f>
      </c>
      <c r="L941" s="11" t="s">
        <f t="shared" si="143"/>
      </c>
      <c r="M941" s="8" t="s">
        <f t="shared" si="141"/>
      </c>
      <c r="N941" s="11"/>
      <c r="O941" s="10">
        <f ref="O941:P941" t="shared" si="512">A941</f>
        <v>0</v>
      </c>
      <c r="P941" s="11">
        <f t="shared" si="512"/>
        <v>0</v>
      </c>
      <c r="Q941" s="11" t="s">
        <f t="shared" si="144"/>
      </c>
      <c r="R941" s="11">
        <f t="shared" si="139"/>
        <v>0</v>
      </c>
      <c r="S941" s="11">
        <f ref="S941:U941" t="shared" si="513">E941</f>
        <v>0</v>
      </c>
      <c r="T941" s="11">
        <f t="shared" si="513"/>
        <v>0</v>
      </c>
      <c r="U941" s="11">
        <f t="shared" si="513"/>
        <v>0</v>
      </c>
      <c r="V941" s="11">
        <f t="shared" si="146"/>
      </c>
      <c r="W941" s="11" t="s">
        <f t="shared" si="145"/>
      </c>
      <c r="X941" s="11" t="s">
        <f t="shared" si="138"/>
      </c>
    </row>
    <row r="942" ht="12.50" customHeight="true">
      <c r="A942" s="10"/>
      <c r="B942" s="11"/>
      <c r="C942" s="11"/>
      <c r="D942" s="11"/>
      <c r="E942" s="11"/>
      <c r="F942" s="11"/>
      <c r="G942" s="11"/>
      <c r="H942" s="11"/>
      <c r="I942" s="11"/>
      <c r="J942" s="11"/>
      <c r="K942" s="11" t="s">
        <f>""</f>
      </c>
      <c r="L942" s="11" t="s">
        <f t="shared" si="143"/>
      </c>
      <c r="M942" s="8" t="s">
        <f t="shared" si="141"/>
      </c>
      <c r="N942" s="11"/>
      <c r="O942" s="10">
        <f ref="O942:P942" t="shared" si="94">A942</f>
        <v>0</v>
      </c>
      <c r="P942" s="11">
        <f t="shared" si="94"/>
        <v>0</v>
      </c>
      <c r="Q942" s="11" t="s">
        <f t="shared" si="144"/>
      </c>
      <c r="R942" s="11">
        <f t="shared" si="139"/>
        <v>0</v>
      </c>
      <c r="S942" s="11">
        <f ref="S942:U942" t="shared" si="95">E942</f>
        <v>0</v>
      </c>
      <c r="T942" s="11">
        <f t="shared" si="95"/>
        <v>0</v>
      </c>
      <c r="U942" s="11">
        <f t="shared" si="95"/>
        <v>0</v>
      </c>
      <c r="V942" s="11">
        <f t="shared" si="146"/>
      </c>
      <c r="W942" s="11" t="s">
        <f t="shared" si="145"/>
      </c>
      <c r="X942" s="11" t="s">
        <f t="shared" si="138"/>
      </c>
    </row>
    <row r="943" ht="12.50" customHeight="true">
      <c r="A943" s="10"/>
      <c r="B943" s="11"/>
      <c r="C943" s="11"/>
      <c r="D943" s="11"/>
      <c r="E943" s="11"/>
      <c r="F943" s="11"/>
      <c r="G943" s="11"/>
      <c r="H943" s="11"/>
      <c r="I943" s="11"/>
      <c r="J943" s="11"/>
      <c r="K943" s="11" t="s">
        <f>""</f>
      </c>
      <c r="L943" s="11" t="s">
        <f t="shared" si="143"/>
      </c>
      <c r="M943" s="8" t="s">
        <f t="shared" si="141"/>
      </c>
      <c r="N943" s="11"/>
      <c r="O943" s="10">
        <f ref="O943:P943" t="shared" si="982">A943</f>
        <v>0</v>
      </c>
      <c r="P943" s="11">
        <f t="shared" si="982"/>
        <v>0</v>
      </c>
      <c r="Q943" s="11" t="s">
        <f t="shared" si="144"/>
      </c>
      <c r="R943" s="11">
        <f t="shared" si="139"/>
        <v>0</v>
      </c>
      <c r="S943" s="11">
        <f ref="S943:U943" t="shared" si="981">E943</f>
        <v>0</v>
      </c>
      <c r="T943" s="11">
        <f t="shared" si="981"/>
        <v>0</v>
      </c>
      <c r="U943" s="11">
        <f t="shared" si="981"/>
        <v>0</v>
      </c>
      <c r="V943" s="11">
        <f t="shared" si="146"/>
      </c>
      <c r="W943" s="11" t="s">
        <f t="shared" si="145"/>
      </c>
      <c r="X943" s="11" t="s">
        <f t="shared" si="138"/>
      </c>
    </row>
    <row r="944" ht="12.50" customHeight="true">
      <c r="A944" s="10"/>
      <c r="B944" s="11"/>
      <c r="C944" s="11"/>
      <c r="D944" s="11"/>
      <c r="E944" s="11"/>
      <c r="F944" s="11"/>
      <c r="G944" s="11"/>
      <c r="H944" s="11"/>
      <c r="I944" s="11"/>
      <c r="J944" s="11"/>
      <c r="K944" s="11" t="s">
        <f>""</f>
      </c>
      <c r="L944" s="11" t="s">
        <f t="shared" si="143"/>
      </c>
      <c r="M944" s="8" t="s">
        <f t="shared" si="141"/>
      </c>
      <c r="N944" s="11"/>
      <c r="O944" s="10">
        <f ref="O944:P944" t="shared" si="282">A944</f>
        <v>0</v>
      </c>
      <c r="P944" s="11">
        <f t="shared" si="282"/>
        <v>0</v>
      </c>
      <c r="Q944" s="11" t="s">
        <f t="shared" si="144"/>
      </c>
      <c r="R944" s="11">
        <f t="shared" si="139"/>
        <v>0</v>
      </c>
      <c r="S944" s="11">
        <f ref="S944:U944" t="shared" si="283">E944</f>
        <v>0</v>
      </c>
      <c r="T944" s="11">
        <f t="shared" si="283"/>
        <v>0</v>
      </c>
      <c r="U944" s="11">
        <f t="shared" si="283"/>
        <v>0</v>
      </c>
      <c r="V944" s="11">
        <f t="shared" si="146"/>
      </c>
      <c r="W944" s="11" t="s">
        <f t="shared" si="145"/>
      </c>
      <c r="X944" s="11" t="s">
        <f t="shared" si="138"/>
      </c>
    </row>
    <row r="945" ht="12.50" customHeight="true">
      <c r="A945" s="10"/>
      <c r="B945" s="11"/>
      <c r="C945" s="11"/>
      <c r="D945" s="11"/>
      <c r="E945" s="11"/>
      <c r="F945" s="11"/>
      <c r="G945" s="11"/>
      <c r="H945" s="11"/>
      <c r="I945" s="11"/>
      <c r="J945" s="11"/>
      <c r="K945" s="11" t="s">
        <f>""</f>
      </c>
      <c r="L945" s="11" t="s">
        <f t="shared" si="143"/>
      </c>
      <c r="M945" s="8" t="s">
        <f t="shared" si="141"/>
      </c>
      <c r="N945" s="11"/>
      <c r="O945" s="10">
        <f ref="O945:P945" t="shared" si="129">A945</f>
        <v>0</v>
      </c>
      <c r="P945" s="11">
        <f t="shared" si="129"/>
        <v>0</v>
      </c>
      <c r="Q945" s="11" t="s">
        <f t="shared" si="144"/>
      </c>
      <c r="R945" s="11">
        <f t="shared" si="139"/>
        <v>0</v>
      </c>
      <c r="S945" s="11">
        <f ref="S945:U945" t="shared" si="128">E945</f>
        <v>0</v>
      </c>
      <c r="T945" s="11">
        <f t="shared" si="128"/>
        <v>0</v>
      </c>
      <c r="U945" s="11">
        <f t="shared" si="128"/>
        <v>0</v>
      </c>
      <c r="V945" s="11">
        <f t="shared" si="146"/>
      </c>
      <c r="W945" s="11" t="s">
        <f t="shared" si="145"/>
      </c>
      <c r="X945" s="11" t="s">
        <f t="shared" si="138"/>
      </c>
    </row>
    <row r="946" ht="12.50" customHeight="true">
      <c r="A946" s="10"/>
      <c r="B946" s="11"/>
      <c r="C946" s="11"/>
      <c r="D946" s="11"/>
      <c r="E946" s="11"/>
      <c r="F946" s="11"/>
      <c r="G946" s="11"/>
      <c r="H946" s="11"/>
      <c r="I946" s="11"/>
      <c r="J946" s="11"/>
      <c r="K946" s="11" t="s">
        <f>""</f>
      </c>
      <c r="L946" s="11" t="s">
        <f t="shared" si="143"/>
      </c>
      <c r="M946" s="8" t="s">
        <f t="shared" si="141"/>
      </c>
      <c r="N946" s="11"/>
      <c r="O946" s="10">
        <f ref="O946:P946" t="shared" si="360">A946</f>
        <v>0</v>
      </c>
      <c r="P946" s="11">
        <f t="shared" si="360"/>
        <v>0</v>
      </c>
      <c r="Q946" s="11" t="s">
        <f t="shared" si="144"/>
      </c>
      <c r="R946" s="11">
        <f t="shared" si="139"/>
        <v>0</v>
      </c>
      <c r="S946" s="11">
        <f ref="S946:U946" t="shared" si="361">E946</f>
        <v>0</v>
      </c>
      <c r="T946" s="11">
        <f t="shared" si="361"/>
        <v>0</v>
      </c>
      <c r="U946" s="11">
        <f t="shared" si="361"/>
        <v>0</v>
      </c>
      <c r="V946" s="11">
        <f t="shared" si="146"/>
      </c>
      <c r="W946" s="11" t="s">
        <f t="shared" si="145"/>
      </c>
      <c r="X946" s="11" t="s">
        <f t="shared" si="138"/>
      </c>
    </row>
    <row r="947" ht="12.50" customHeight="true">
      <c r="A947" s="10"/>
      <c r="B947" s="11"/>
      <c r="C947" s="11"/>
      <c r="D947" s="11"/>
      <c r="E947" s="11"/>
      <c r="F947" s="11"/>
      <c r="G947" s="11"/>
      <c r="H947" s="11"/>
      <c r="I947" s="11"/>
      <c r="J947" s="11"/>
      <c r="K947" s="11" t="s">
        <f>""</f>
      </c>
      <c r="L947" s="11" t="s">
        <f t="shared" si="143"/>
      </c>
      <c r="M947" s="8" t="s">
        <f t="shared" si="141"/>
      </c>
      <c r="N947" s="11"/>
      <c r="O947" s="10">
        <f ref="O947:P947" t="shared" si="1899">A947</f>
        <v>0</v>
      </c>
      <c r="P947" s="11">
        <f t="shared" si="1899"/>
        <v>0</v>
      </c>
      <c r="Q947" s="11" t="s">
        <f t="shared" si="144"/>
      </c>
      <c r="R947" s="11">
        <f t="shared" si="139"/>
        <v>0</v>
      </c>
      <c r="S947" s="11">
        <f ref="S947:U947" t="shared" si="1898">E947</f>
        <v>0</v>
      </c>
      <c r="T947" s="11">
        <f t="shared" si="1898"/>
        <v>0</v>
      </c>
      <c r="U947" s="11">
        <f t="shared" si="1898"/>
        <v>0</v>
      </c>
      <c r="V947" s="11">
        <f t="shared" si="146"/>
      </c>
      <c r="W947" s="11" t="s">
        <f t="shared" si="145"/>
      </c>
      <c r="X947" s="11" t="s">
        <f t="shared" si="138"/>
      </c>
    </row>
    <row r="948" ht="12.50" customHeight="true">
      <c r="A948" s="10"/>
      <c r="B948" s="11"/>
      <c r="C948" s="11"/>
      <c r="D948" s="11"/>
      <c r="E948" s="11"/>
      <c r="F948" s="11"/>
      <c r="G948" s="11"/>
      <c r="H948" s="11"/>
      <c r="I948" s="11"/>
      <c r="J948" s="11"/>
      <c r="K948" s="11" t="s">
        <f>""</f>
      </c>
      <c r="L948" s="11" t="s">
        <f t="shared" si="143"/>
      </c>
      <c r="M948" s="8" t="s">
        <f t="shared" si="141"/>
      </c>
      <c r="N948" s="11"/>
      <c r="O948" s="10">
        <f ref="O948:P948" t="shared" si="932">A948</f>
        <v>0</v>
      </c>
      <c r="P948" s="11">
        <f t="shared" si="932"/>
        <v>0</v>
      </c>
      <c r="Q948" s="11" t="s">
        <f t="shared" si="144"/>
      </c>
      <c r="R948" s="11">
        <f t="shared" si="139"/>
        <v>0</v>
      </c>
      <c r="S948" s="11">
        <f ref="S948:U948" t="shared" si="933">E948</f>
        <v>0</v>
      </c>
      <c r="T948" s="11">
        <f t="shared" si="933"/>
        <v>0</v>
      </c>
      <c r="U948" s="11">
        <f t="shared" si="933"/>
        <v>0</v>
      </c>
      <c r="V948" s="11">
        <f t="shared" si="146"/>
      </c>
      <c r="W948" s="11" t="s">
        <f t="shared" si="145"/>
      </c>
      <c r="X948" s="11" t="s">
        <f t="shared" si="138"/>
      </c>
    </row>
    <row r="949" ht="12.50" customHeight="true">
      <c r="A949" s="10"/>
      <c r="B949" s="11"/>
      <c r="C949" s="11"/>
      <c r="D949" s="11"/>
      <c r="E949" s="11"/>
      <c r="F949" s="11"/>
      <c r="G949" s="11"/>
      <c r="H949" s="11"/>
      <c r="I949" s="11"/>
      <c r="J949" s="11"/>
      <c r="K949" s="11" t="s">
        <f>""</f>
      </c>
      <c r="L949" s="11" t="s">
        <f t="shared" si="143"/>
      </c>
      <c r="M949" s="8" t="s">
        <f t="shared" si="141"/>
      </c>
      <c r="N949" s="11"/>
      <c r="O949" s="10">
        <f ref="O949:P949" t="shared" si="448">A949</f>
        <v>0</v>
      </c>
      <c r="P949" s="11">
        <f t="shared" si="448"/>
        <v>0</v>
      </c>
      <c r="Q949" s="11" t="s">
        <f t="shared" si="144"/>
      </c>
      <c r="R949" s="11">
        <f t="shared" si="139"/>
        <v>0</v>
      </c>
      <c r="S949" s="11">
        <f ref="S949:U949" t="shared" si="449">E949</f>
        <v>0</v>
      </c>
      <c r="T949" s="11">
        <f t="shared" si="449"/>
        <v>0</v>
      </c>
      <c r="U949" s="11">
        <f t="shared" si="449"/>
        <v>0</v>
      </c>
      <c r="V949" s="11">
        <f t="shared" si="146"/>
      </c>
      <c r="W949" s="11" t="s">
        <f t="shared" si="145"/>
      </c>
      <c r="X949" s="11" t="s">
        <f t="shared" si="138"/>
      </c>
    </row>
    <row r="950" ht="12.50" customHeight="true">
      <c r="A950" s="10"/>
      <c r="B950" s="11"/>
      <c r="C950" s="11"/>
      <c r="D950" s="11"/>
      <c r="E950" s="11"/>
      <c r="F950" s="11"/>
      <c r="G950" s="11"/>
      <c r="H950" s="11"/>
      <c r="I950" s="11"/>
      <c r="J950" s="11"/>
      <c r="K950" s="11" t="s">
        <f>""</f>
      </c>
      <c r="L950" s="11" t="s">
        <f t="shared" si="143"/>
      </c>
      <c r="M950" s="8" t="s">
        <f t="shared" si="141"/>
      </c>
      <c r="N950" s="11"/>
      <c r="O950" s="10">
        <f ref="O950:P950" t="shared" si="714">A950</f>
        <v>0</v>
      </c>
      <c r="P950" s="11">
        <f t="shared" si="714"/>
        <v>0</v>
      </c>
      <c r="Q950" s="11" t="s">
        <f t="shared" si="144"/>
      </c>
      <c r="R950" s="11">
        <f t="shared" si="139"/>
        <v>0</v>
      </c>
      <c r="S950" s="11">
        <f ref="S950:U950" t="shared" si="715">E950</f>
        <v>0</v>
      </c>
      <c r="T950" s="11">
        <f t="shared" si="715"/>
        <v>0</v>
      </c>
      <c r="U950" s="11">
        <f t="shared" si="715"/>
        <v>0</v>
      </c>
      <c r="V950" s="11">
        <f t="shared" si="146"/>
      </c>
      <c r="W950" s="11" t="s">
        <f t="shared" si="145"/>
      </c>
      <c r="X950" s="11" t="s">
        <f t="shared" si="138"/>
      </c>
    </row>
    <row r="951" ht="12.50" customHeight="true">
      <c r="A951" s="10"/>
      <c r="B951" s="11"/>
      <c r="C951" s="11"/>
      <c r="D951" s="11"/>
      <c r="E951" s="11"/>
      <c r="F951" s="11"/>
      <c r="G951" s="11"/>
      <c r="H951" s="11"/>
      <c r="I951" s="11"/>
      <c r="J951" s="11"/>
      <c r="K951" s="11" t="s">
        <f>""</f>
      </c>
      <c r="L951" s="11" t="s">
        <f t="shared" si="143"/>
      </c>
      <c r="M951" s="8" t="s">
        <f t="shared" si="141"/>
      </c>
      <c r="N951" s="11"/>
      <c r="O951" s="10">
        <f ref="O951:P951" t="shared" si="993">A951</f>
        <v>0</v>
      </c>
      <c r="P951" s="11">
        <f t="shared" si="993"/>
        <v>0</v>
      </c>
      <c r="Q951" s="11" t="s">
        <f t="shared" si="144"/>
      </c>
      <c r="R951" s="11">
        <f t="shared" si="139"/>
        <v>0</v>
      </c>
      <c r="S951" s="11">
        <f ref="S951:U951" t="shared" si="994">E951</f>
        <v>0</v>
      </c>
      <c r="T951" s="11">
        <f t="shared" si="994"/>
        <v>0</v>
      </c>
      <c r="U951" s="11">
        <f t="shared" si="994"/>
        <v>0</v>
      </c>
      <c r="V951" s="11">
        <f t="shared" si="146"/>
      </c>
      <c r="W951" s="11" t="s">
        <f t="shared" si="145"/>
      </c>
      <c r="X951" s="11" t="s">
        <f t="shared" si="138"/>
      </c>
    </row>
    <row r="952" ht="12.50" customHeight="true">
      <c r="A952" s="10"/>
      <c r="B952" s="11"/>
      <c r="C952" s="11"/>
      <c r="D952" s="11"/>
      <c r="E952" s="11"/>
      <c r="F952" s="11"/>
      <c r="G952" s="11"/>
      <c r="H952" s="11"/>
      <c r="I952" s="11"/>
      <c r="J952" s="11"/>
      <c r="K952" s="11" t="s">
        <f>""</f>
      </c>
      <c r="L952" s="11" t="s">
        <f t="shared" si="143"/>
      </c>
      <c r="M952" s="8" t="s">
        <f t="shared" si="141"/>
      </c>
      <c r="N952" s="11"/>
      <c r="O952" s="10">
        <f ref="O952:P952" t="shared" si="1737">A952</f>
        <v>0</v>
      </c>
      <c r="P952" s="11">
        <f t="shared" si="1737"/>
        <v>0</v>
      </c>
      <c r="Q952" s="11" t="s">
        <f t="shared" si="144"/>
      </c>
      <c r="R952" s="11">
        <f t="shared" si="139"/>
        <v>0</v>
      </c>
      <c r="S952" s="11">
        <f ref="S952:U952" t="shared" si="1736">E952</f>
        <v>0</v>
      </c>
      <c r="T952" s="11">
        <f t="shared" si="1736"/>
        <v>0</v>
      </c>
      <c r="U952" s="11">
        <f t="shared" si="1736"/>
        <v>0</v>
      </c>
      <c r="V952" s="11">
        <f t="shared" si="146"/>
      </c>
      <c r="W952" s="11" t="s">
        <f t="shared" si="145"/>
      </c>
      <c r="X952" s="11" t="s">
        <f t="shared" si="138"/>
      </c>
    </row>
    <row r="953" ht="12.50" customHeight="true">
      <c r="A953" s="10"/>
      <c r="B953" s="11"/>
      <c r="C953" s="11"/>
      <c r="D953" s="11"/>
      <c r="E953" s="11"/>
      <c r="F953" s="11"/>
      <c r="G953" s="11"/>
      <c r="H953" s="11"/>
      <c r="I953" s="11"/>
      <c r="J953" s="11"/>
      <c r="K953" s="11" t="s">
        <f>""</f>
      </c>
      <c r="L953" s="11" t="s">
        <f t="shared" si="143"/>
      </c>
      <c r="M953" s="8" t="s">
        <f t="shared" si="141"/>
      </c>
      <c r="N953" s="11"/>
      <c r="O953" s="10">
        <f ref="O953:P953" t="shared" si="1323">A953</f>
        <v>0</v>
      </c>
      <c r="P953" s="11">
        <f t="shared" si="1323"/>
        <v>0</v>
      </c>
      <c r="Q953" s="11" t="s">
        <f t="shared" si="144"/>
      </c>
      <c r="R953" s="11">
        <f t="shared" si="139"/>
        <v>0</v>
      </c>
      <c r="S953" s="11">
        <f ref="S953:U953" t="shared" si="1322">E953</f>
        <v>0</v>
      </c>
      <c r="T953" s="11">
        <f t="shared" si="1322"/>
        <v>0</v>
      </c>
      <c r="U953" s="11">
        <f t="shared" si="1322"/>
        <v>0</v>
      </c>
      <c r="V953" s="11">
        <f t="shared" si="146"/>
      </c>
      <c r="W953" s="11" t="s">
        <f t="shared" si="145"/>
      </c>
      <c r="X953" s="11" t="s">
        <f t="shared" si="138"/>
      </c>
    </row>
    <row r="954" ht="12.50" customHeight="true">
      <c r="A954" s="10"/>
      <c r="B954" s="11"/>
      <c r="C954" s="11"/>
      <c r="D954" s="11"/>
      <c r="E954" s="11"/>
      <c r="F954" s="11"/>
      <c r="G954" s="11"/>
      <c r="H954" s="11"/>
      <c r="I954" s="11"/>
      <c r="J954" s="11"/>
      <c r="K954" s="11" t="s">
        <f>""</f>
      </c>
      <c r="L954" s="11" t="s">
        <f t="shared" si="143"/>
      </c>
      <c r="M954" s="8" t="s">
        <f t="shared" si="141"/>
      </c>
      <c r="N954" s="11"/>
      <c r="O954" s="10">
        <f ref="O954:P954" t="shared" si="1492">A954</f>
        <v>0</v>
      </c>
      <c r="P954" s="11">
        <f t="shared" si="1492"/>
        <v>0</v>
      </c>
      <c r="Q954" s="11" t="s">
        <f t="shared" si="144"/>
      </c>
      <c r="R954" s="11">
        <f t="shared" si="139"/>
        <v>0</v>
      </c>
      <c r="S954" s="11">
        <f ref="S954:U954" t="shared" si="1493">E954</f>
        <v>0</v>
      </c>
      <c r="T954" s="11">
        <f t="shared" si="1493"/>
        <v>0</v>
      </c>
      <c r="U954" s="11">
        <f t="shared" si="1493"/>
        <v>0</v>
      </c>
      <c r="V954" s="11">
        <f t="shared" si="146"/>
      </c>
      <c r="W954" s="11" t="s">
        <f t="shared" si="145"/>
      </c>
      <c r="X954" s="11" t="s">
        <f t="shared" si="138"/>
      </c>
    </row>
    <row r="955" ht="12.50" customHeight="true">
      <c r="A955" s="10"/>
      <c r="B955" s="11"/>
      <c r="C955" s="11"/>
      <c r="D955" s="11"/>
      <c r="E955" s="11"/>
      <c r="F955" s="11"/>
      <c r="G955" s="11"/>
      <c r="H955" s="11"/>
      <c r="I955" s="11"/>
      <c r="J955" s="11"/>
      <c r="K955" s="11" t="s">
        <f>""</f>
      </c>
      <c r="L955" s="11" t="s">
        <f t="shared" si="143"/>
      </c>
      <c r="M955" s="8" t="s">
        <f t="shared" si="141"/>
      </c>
      <c r="N955" s="11"/>
      <c r="O955" s="10">
        <f ref="O955:P955" t="shared" si="478">A955</f>
        <v>0</v>
      </c>
      <c r="P955" s="11">
        <f t="shared" si="478"/>
        <v>0</v>
      </c>
      <c r="Q955" s="11" t="s">
        <f t="shared" si="144"/>
      </c>
      <c r="R955" s="11">
        <f t="shared" si="139"/>
        <v>0</v>
      </c>
      <c r="S955" s="11">
        <f ref="S955:U955" t="shared" si="479">E955</f>
        <v>0</v>
      </c>
      <c r="T955" s="11">
        <f t="shared" si="479"/>
        <v>0</v>
      </c>
      <c r="U955" s="11">
        <f t="shared" si="479"/>
        <v>0</v>
      </c>
      <c r="V955" s="11">
        <f t="shared" si="146"/>
      </c>
      <c r="W955" s="11" t="s">
        <f t="shared" si="145"/>
      </c>
      <c r="X955" s="11" t="s">
        <f t="shared" si="138"/>
      </c>
    </row>
    <row r="956" ht="12.50" customHeight="true">
      <c r="A956" s="10"/>
      <c r="B956" s="11"/>
      <c r="C956" s="11"/>
      <c r="D956" s="11"/>
      <c r="E956" s="11"/>
      <c r="F956" s="11"/>
      <c r="G956" s="11"/>
      <c r="H956" s="11"/>
      <c r="I956" s="11"/>
      <c r="J956" s="11"/>
      <c r="K956" s="11" t="s">
        <f>""</f>
      </c>
      <c r="L956" s="11" t="s">
        <f t="shared" si="143"/>
      </c>
      <c r="M956" s="8" t="s">
        <f t="shared" si="141"/>
      </c>
      <c r="N956" s="11"/>
      <c r="O956" s="10">
        <f ref="O956:P956" t="shared" si="883">A956</f>
        <v>0</v>
      </c>
      <c r="P956" s="11">
        <f t="shared" si="883"/>
        <v>0</v>
      </c>
      <c r="Q956" s="11" t="s">
        <f t="shared" si="144"/>
      </c>
      <c r="R956" s="11">
        <f t="shared" si="139"/>
        <v>0</v>
      </c>
      <c r="S956" s="11">
        <f ref="S956:U956" t="shared" si="882">E956</f>
        <v>0</v>
      </c>
      <c r="T956" s="11">
        <f t="shared" si="882"/>
        <v>0</v>
      </c>
      <c r="U956" s="11">
        <f t="shared" si="882"/>
        <v>0</v>
      </c>
      <c r="V956" s="11">
        <f t="shared" si="146"/>
      </c>
      <c r="W956" s="11" t="s">
        <f t="shared" si="145"/>
      </c>
      <c r="X956" s="11" t="s">
        <f t="shared" si="138"/>
      </c>
    </row>
    <row r="957" ht="12.50" customHeight="true">
      <c r="A957" s="10"/>
      <c r="B957" s="11"/>
      <c r="C957" s="11"/>
      <c r="D957" s="11"/>
      <c r="E957" s="11"/>
      <c r="F957" s="11"/>
      <c r="G957" s="11"/>
      <c r="H957" s="11"/>
      <c r="I957" s="11"/>
      <c r="J957" s="11"/>
      <c r="K957" s="11" t="s">
        <f>""</f>
      </c>
      <c r="L957" s="11" t="s">
        <f t="shared" si="143"/>
      </c>
      <c r="M957" s="8" t="s">
        <f t="shared" si="141"/>
      </c>
      <c r="N957" s="11"/>
      <c r="O957" s="10">
        <f ref="O957:P957" t="shared" si="732">A957</f>
        <v>0</v>
      </c>
      <c r="P957" s="11">
        <f t="shared" si="732"/>
        <v>0</v>
      </c>
      <c r="Q957" s="11" t="s">
        <f t="shared" si="144"/>
      </c>
      <c r="R957" s="11">
        <f t="shared" si="139"/>
        <v>0</v>
      </c>
      <c r="S957" s="11">
        <f ref="S957:U957" t="shared" si="733">E957</f>
        <v>0</v>
      </c>
      <c r="T957" s="11">
        <f t="shared" si="733"/>
        <v>0</v>
      </c>
      <c r="U957" s="11">
        <f t="shared" si="733"/>
        <v>0</v>
      </c>
      <c r="V957" s="11">
        <f t="shared" si="146"/>
      </c>
      <c r="W957" s="11" t="s">
        <f t="shared" si="145"/>
      </c>
      <c r="X957" s="11" t="s">
        <f t="shared" si="138"/>
      </c>
    </row>
    <row r="958" ht="12.50" customHeight="true">
      <c r="A958" s="10"/>
      <c r="B958" s="11"/>
      <c r="C958" s="11"/>
      <c r="D958" s="11"/>
      <c r="E958" s="11"/>
      <c r="F958" s="11"/>
      <c r="G958" s="11"/>
      <c r="H958" s="11"/>
      <c r="I958" s="11"/>
      <c r="J958" s="11"/>
      <c r="K958" s="11" t="s">
        <f>""</f>
      </c>
      <c r="L958" s="11" t="s">
        <f t="shared" si="143"/>
      </c>
      <c r="M958" s="8" t="s">
        <f t="shared" si="141"/>
      </c>
      <c r="N958" s="11"/>
      <c r="O958" s="10">
        <f ref="O958:P958" t="shared" si="1550">A958</f>
        <v>0</v>
      </c>
      <c r="P958" s="11">
        <f t="shared" si="1550"/>
        <v>0</v>
      </c>
      <c r="Q958" s="11" t="s">
        <f t="shared" si="144"/>
      </c>
      <c r="R958" s="11">
        <f t="shared" si="139"/>
        <v>0</v>
      </c>
      <c r="S958" s="11">
        <f ref="S958:U958" t="shared" si="1551">E958</f>
        <v>0</v>
      </c>
      <c r="T958" s="11">
        <f t="shared" si="1551"/>
        <v>0</v>
      </c>
      <c r="U958" s="11">
        <f t="shared" si="1551"/>
        <v>0</v>
      </c>
      <c r="V958" s="11">
        <f t="shared" si="146"/>
      </c>
      <c r="W958" s="11" t="s">
        <f t="shared" si="145"/>
      </c>
      <c r="X958" s="11" t="s">
        <f t="shared" si="138"/>
      </c>
    </row>
    <row r="959" ht="12.50" customHeight="true">
      <c r="A959" s="10"/>
      <c r="B959" s="11"/>
      <c r="C959" s="11"/>
      <c r="D959" s="11"/>
      <c r="E959" s="11"/>
      <c r="F959" s="11"/>
      <c r="G959" s="11"/>
      <c r="H959" s="11"/>
      <c r="I959" s="11"/>
      <c r="J959" s="11"/>
      <c r="K959" s="11" t="s">
        <f>""</f>
      </c>
      <c r="L959" s="11" t="s">
        <f t="shared" si="143"/>
      </c>
      <c r="M959" s="8" t="s">
        <f t="shared" si="141"/>
      </c>
      <c r="N959" s="11"/>
      <c r="O959" s="10">
        <f ref="O959:P959" t="shared" si="669">A959</f>
        <v>0</v>
      </c>
      <c r="P959" s="11">
        <f t="shared" si="669"/>
        <v>0</v>
      </c>
      <c r="Q959" s="11" t="s">
        <f t="shared" si="144"/>
      </c>
      <c r="R959" s="11">
        <f t="shared" si="139"/>
        <v>0</v>
      </c>
      <c r="S959" s="11">
        <f ref="S959:U959" t="shared" si="668">E959</f>
        <v>0</v>
      </c>
      <c r="T959" s="11">
        <f t="shared" si="668"/>
        <v>0</v>
      </c>
      <c r="U959" s="11">
        <f t="shared" si="668"/>
        <v>0</v>
      </c>
      <c r="V959" s="11">
        <f t="shared" si="146"/>
      </c>
      <c r="W959" s="11" t="s">
        <f t="shared" si="145"/>
      </c>
      <c r="X959" s="11" t="s">
        <f t="shared" si="138"/>
      </c>
    </row>
    <row r="960" ht="12.50" customHeight="true">
      <c r="A960" s="10"/>
      <c r="B960" s="11"/>
      <c r="C960" s="11"/>
      <c r="D960" s="11"/>
      <c r="E960" s="11"/>
      <c r="F960" s="11"/>
      <c r="G960" s="11"/>
      <c r="H960" s="11"/>
      <c r="I960" s="11"/>
      <c r="J960" s="11"/>
      <c r="K960" s="11" t="s">
        <f>""</f>
      </c>
      <c r="L960" s="11" t="s">
        <f t="shared" si="143"/>
      </c>
      <c r="M960" s="8" t="s">
        <f t="shared" si="141"/>
      </c>
      <c r="N960" s="11"/>
      <c r="O960" s="10">
        <f ref="O960:P960" t="shared" si="1523">A960</f>
        <v>0</v>
      </c>
      <c r="P960" s="11">
        <f t="shared" si="1523"/>
        <v>0</v>
      </c>
      <c r="Q960" s="11" t="s">
        <f t="shared" si="144"/>
      </c>
      <c r="R960" s="11">
        <f t="shared" si="139"/>
        <v>0</v>
      </c>
      <c r="S960" s="11">
        <f ref="S960:U960" t="shared" si="1522">E960</f>
        <v>0</v>
      </c>
      <c r="T960" s="11">
        <f t="shared" si="1522"/>
        <v>0</v>
      </c>
      <c r="U960" s="11">
        <f t="shared" si="1522"/>
        <v>0</v>
      </c>
      <c r="V960" s="11">
        <f t="shared" si="146"/>
      </c>
      <c r="W960" s="11" t="s">
        <f t="shared" si="145"/>
      </c>
      <c r="X960" s="11" t="s">
        <f t="shared" si="138"/>
      </c>
    </row>
    <row r="961" ht="12.50" customHeight="true">
      <c r="A961" s="10"/>
      <c r="B961" s="11"/>
      <c r="C961" s="11"/>
      <c r="D961" s="11"/>
      <c r="E961" s="11"/>
      <c r="F961" s="11"/>
      <c r="G961" s="11"/>
      <c r="H961" s="11"/>
      <c r="I961" s="11"/>
      <c r="J961" s="11"/>
      <c r="K961" s="11" t="s">
        <f>""</f>
      </c>
      <c r="L961" s="11" t="s">
        <f t="shared" si="143"/>
      </c>
      <c r="M961" s="8" t="s">
        <f t="shared" si="141"/>
      </c>
      <c r="N961" s="11"/>
      <c r="O961" s="10">
        <f ref="O961:P961" t="shared" si="1059">A961</f>
        <v>0</v>
      </c>
      <c r="P961" s="11">
        <f t="shared" si="1059"/>
        <v>0</v>
      </c>
      <c r="Q961" s="11" t="s">
        <f t="shared" si="144"/>
      </c>
      <c r="R961" s="11">
        <f t="shared" si="139"/>
        <v>0</v>
      </c>
      <c r="S961" s="11">
        <f ref="S961:U961" t="shared" si="1060">E961</f>
        <v>0</v>
      </c>
      <c r="T961" s="11">
        <f t="shared" si="1060"/>
        <v>0</v>
      </c>
      <c r="U961" s="11">
        <f t="shared" si="1060"/>
        <v>0</v>
      </c>
      <c r="V961" s="11">
        <f t="shared" si="146"/>
      </c>
      <c r="W961" s="11" t="s">
        <f t="shared" si="145"/>
      </c>
      <c r="X961" s="11" t="s">
        <f t="shared" si="138"/>
      </c>
    </row>
    <row r="962" ht="12.50" customHeight="true">
      <c r="A962" s="10"/>
      <c r="B962" s="11"/>
      <c r="C962" s="11"/>
      <c r="D962" s="11"/>
      <c r="E962" s="11"/>
      <c r="F962" s="11"/>
      <c r="G962" s="11"/>
      <c r="H962" s="11"/>
      <c r="I962" s="11"/>
      <c r="J962" s="11"/>
      <c r="K962" s="11" t="s">
        <f>""</f>
      </c>
      <c r="L962" s="11" t="s">
        <f t="shared" si="143"/>
      </c>
      <c r="M962" s="8" t="s">
        <f t="shared" si="141"/>
      </c>
      <c r="N962" s="11"/>
      <c r="O962" s="10">
        <f ref="O962:P962" t="shared" si="1127">A962</f>
        <v>0</v>
      </c>
      <c r="P962" s="11">
        <f t="shared" si="1127"/>
        <v>0</v>
      </c>
      <c r="Q962" s="11" t="s">
        <f t="shared" si="144"/>
      </c>
      <c r="R962" s="11">
        <f t="shared" si="139"/>
        <v>0</v>
      </c>
      <c r="S962" s="11">
        <f ref="S962:U962" t="shared" si="1128">E962</f>
        <v>0</v>
      </c>
      <c r="T962" s="11">
        <f t="shared" si="1128"/>
        <v>0</v>
      </c>
      <c r="U962" s="11">
        <f t="shared" si="1128"/>
        <v>0</v>
      </c>
      <c r="V962" s="11">
        <f t="shared" si="146"/>
      </c>
      <c r="W962" s="11" t="s">
        <f t="shared" si="145"/>
      </c>
      <c r="X962" s="11" t="s">
        <f t="shared" si="138"/>
      </c>
    </row>
    <row r="963" ht="12.50" customHeight="true">
      <c r="A963" s="10"/>
      <c r="B963" s="11"/>
      <c r="C963" s="11"/>
      <c r="D963" s="11"/>
      <c r="E963" s="11"/>
      <c r="F963" s="11"/>
      <c r="G963" s="11"/>
      <c r="H963" s="11"/>
      <c r="I963" s="11"/>
      <c r="J963" s="11"/>
      <c r="K963" s="11" t="s">
        <f>""</f>
      </c>
      <c r="L963" s="11" t="s">
        <f t="shared" si="143"/>
      </c>
      <c r="M963" s="8" t="s">
        <f t="shared" si="141"/>
      </c>
      <c r="N963" s="11"/>
      <c r="O963" s="10">
        <f ref="O963:P963" t="shared" si="1215">A963</f>
        <v>0</v>
      </c>
      <c r="P963" s="11">
        <f t="shared" si="1215"/>
        <v>0</v>
      </c>
      <c r="Q963" s="11" t="s">
        <f t="shared" si="144"/>
      </c>
      <c r="R963" s="11">
        <f t="shared" si="139"/>
        <v>0</v>
      </c>
      <c r="S963" s="11">
        <f ref="S963:U963" t="shared" si="1216">E963</f>
        <v>0</v>
      </c>
      <c r="T963" s="11">
        <f t="shared" si="1216"/>
        <v>0</v>
      </c>
      <c r="U963" s="11">
        <f t="shared" si="1216"/>
        <v>0</v>
      </c>
      <c r="V963" s="11">
        <f t="shared" si="146"/>
      </c>
      <c r="W963" s="11" t="s">
        <f t="shared" si="145"/>
      </c>
      <c r="X963" s="11" t="s">
        <f t="shared" si="138"/>
      </c>
    </row>
    <row r="964" ht="12.50" customHeight="true">
      <c r="A964" s="10"/>
      <c r="B964" s="11"/>
      <c r="C964" s="11"/>
      <c r="D964" s="11"/>
      <c r="E964" s="11"/>
      <c r="F964" s="11"/>
      <c r="G964" s="11"/>
      <c r="H964" s="11"/>
      <c r="I964" s="11"/>
      <c r="J964" s="11"/>
      <c r="K964" s="11" t="s">
        <f>""</f>
      </c>
      <c r="L964" s="11" t="s">
        <f t="shared" si="143"/>
      </c>
      <c r="M964" s="8" t="s">
        <f t="shared" si="141"/>
      </c>
      <c r="N964" s="11"/>
      <c r="O964" s="10">
        <f ref="O964:P964" t="shared" si="1910">A964</f>
        <v>0</v>
      </c>
      <c r="P964" s="11">
        <f t="shared" si="1910"/>
        <v>0</v>
      </c>
      <c r="Q964" s="11" t="s">
        <f t="shared" si="144"/>
      </c>
      <c r="R964" s="11">
        <f t="shared" si="139"/>
        <v>0</v>
      </c>
      <c r="S964" s="11">
        <f ref="S964:U964" t="shared" si="1911">E964</f>
        <v>0</v>
      </c>
      <c r="T964" s="11">
        <f t="shared" si="1911"/>
        <v>0</v>
      </c>
      <c r="U964" s="11">
        <f t="shared" si="1911"/>
        <v>0</v>
      </c>
      <c r="V964" s="11">
        <f t="shared" si="146"/>
      </c>
      <c r="W964" s="11" t="s">
        <f t="shared" si="145"/>
      </c>
      <c r="X964" s="11" t="s">
        <f t="shared" si="138"/>
      </c>
    </row>
    <row r="965" ht="12.50" customHeight="true">
      <c r="A965" s="10"/>
      <c r="B965" s="11"/>
      <c r="C965" s="11"/>
      <c r="D965" s="11"/>
      <c r="E965" s="11"/>
      <c r="F965" s="11"/>
      <c r="G965" s="11"/>
      <c r="H965" s="11"/>
      <c r="I965" s="11"/>
      <c r="J965" s="11"/>
      <c r="K965" s="11" t="s">
        <f>""</f>
      </c>
      <c r="L965" s="11" t="s">
        <f t="shared" si="143"/>
      </c>
      <c r="M965" s="8" t="s">
        <f t="shared" si="141"/>
      </c>
      <c r="N965" s="11"/>
      <c r="O965" s="10">
        <f ref="O965:P965" t="shared" si="1163">A965</f>
        <v>0</v>
      </c>
      <c r="P965" s="11">
        <f t="shared" si="1163"/>
        <v>0</v>
      </c>
      <c r="Q965" s="11" t="s">
        <f t="shared" si="144"/>
      </c>
      <c r="R965" s="11">
        <f t="shared" si="139"/>
        <v>0</v>
      </c>
      <c r="S965" s="11">
        <f ref="S965:U965" t="shared" si="1164">E965</f>
        <v>0</v>
      </c>
      <c r="T965" s="11">
        <f t="shared" si="1164"/>
        <v>0</v>
      </c>
      <c r="U965" s="11">
        <f t="shared" si="1164"/>
        <v>0</v>
      </c>
      <c r="V965" s="11">
        <f t="shared" si="146"/>
      </c>
      <c r="W965" s="11" t="s">
        <f t="shared" si="145"/>
      </c>
      <c r="X965" s="11" t="s">
        <f t="shared" si="138"/>
      </c>
    </row>
    <row r="966" ht="12.50" customHeight="true">
      <c r="A966" s="10"/>
      <c r="B966" s="11"/>
      <c r="C966" s="11"/>
      <c r="D966" s="11"/>
      <c r="E966" s="11"/>
      <c r="F966" s="11"/>
      <c r="G966" s="11"/>
      <c r="H966" s="11"/>
      <c r="I966" s="11"/>
      <c r="J966" s="11"/>
      <c r="K966" s="11" t="s">
        <f>""</f>
      </c>
      <c r="L966" s="11" t="s">
        <f t="shared" si="143"/>
      </c>
      <c r="M966" s="8" t="s">
        <f t="shared" si="141"/>
      </c>
      <c r="N966" s="11"/>
      <c r="O966" s="10">
        <f ref="O966:P966" t="shared" si="1932">A966</f>
        <v>0</v>
      </c>
      <c r="P966" s="11">
        <f t="shared" si="1932"/>
        <v>0</v>
      </c>
      <c r="Q966" s="11" t="s">
        <f t="shared" si="144"/>
      </c>
      <c r="R966" s="11">
        <f t="shared" si="139"/>
        <v>0</v>
      </c>
      <c r="S966" s="11">
        <f ref="S966:U966" t="shared" si="1933">E966</f>
        <v>0</v>
      </c>
      <c r="T966" s="11">
        <f t="shared" si="1933"/>
        <v>0</v>
      </c>
      <c r="U966" s="11">
        <f t="shared" si="1933"/>
        <v>0</v>
      </c>
      <c r="V966" s="11">
        <f t="shared" si="146"/>
      </c>
      <c r="W966" s="11" t="s">
        <f t="shared" si="145"/>
      </c>
      <c r="X966" s="11" t="s">
        <f t="shared" si="138"/>
      </c>
    </row>
    <row r="967" ht="12.50" customHeight="true">
      <c r="A967" s="10"/>
      <c r="B967" s="11"/>
      <c r="C967" s="11"/>
      <c r="D967" s="11"/>
      <c r="E967" s="11"/>
      <c r="F967" s="11"/>
      <c r="G967" s="11"/>
      <c r="H967" s="11"/>
      <c r="I967" s="11"/>
      <c r="J967" s="11"/>
      <c r="K967" s="11" t="s">
        <f>""</f>
      </c>
      <c r="L967" s="11" t="s">
        <f t="shared" si="143"/>
      </c>
      <c r="M967" s="8" t="s">
        <f t="shared" si="141"/>
      </c>
      <c r="N967" s="11"/>
      <c r="O967" s="10">
        <f ref="O967:P967" t="shared" si="497">A967</f>
        <v>0</v>
      </c>
      <c r="P967" s="11">
        <f t="shared" si="497"/>
        <v>0</v>
      </c>
      <c r="Q967" s="11" t="s">
        <f t="shared" si="144"/>
      </c>
      <c r="R967" s="11">
        <f t="shared" si="139"/>
        <v>0</v>
      </c>
      <c r="S967" s="11">
        <f ref="S967:U967" t="shared" si="496">E967</f>
        <v>0</v>
      </c>
      <c r="T967" s="11">
        <f t="shared" si="496"/>
        <v>0</v>
      </c>
      <c r="U967" s="11">
        <f t="shared" si="496"/>
        <v>0</v>
      </c>
      <c r="V967" s="11">
        <f t="shared" si="146"/>
      </c>
      <c r="W967" s="11" t="s">
        <f t="shared" si="145"/>
      </c>
      <c r="X967" s="11" t="s">
        <f t="shared" si="138"/>
      </c>
    </row>
    <row r="968" ht="12.50" customHeight="true">
      <c r="A968" s="10"/>
      <c r="B968" s="11"/>
      <c r="C968" s="11"/>
      <c r="D968" s="11"/>
      <c r="E968" s="11"/>
      <c r="F968" s="11"/>
      <c r="G968" s="11"/>
      <c r="H968" s="11"/>
      <c r="I968" s="11"/>
      <c r="J968" s="11"/>
      <c r="K968" s="11" t="s">
        <f>""</f>
      </c>
      <c r="L968" s="11" t="s">
        <f t="shared" si="143"/>
      </c>
      <c r="M968" s="8" t="s">
        <f t="shared" si="141"/>
      </c>
      <c r="N968" s="11"/>
      <c r="O968" s="10">
        <f ref="O968:P968" t="shared" si="1683">A968</f>
        <v>0</v>
      </c>
      <c r="P968" s="11">
        <f t="shared" si="1683"/>
        <v>0</v>
      </c>
      <c r="Q968" s="11" t="s">
        <f t="shared" si="144"/>
      </c>
      <c r="R968" s="11">
        <f t="shared" si="139"/>
        <v>0</v>
      </c>
      <c r="S968" s="11">
        <f ref="S968:U968" t="shared" si="1682">E968</f>
        <v>0</v>
      </c>
      <c r="T968" s="11">
        <f t="shared" si="1682"/>
        <v>0</v>
      </c>
      <c r="U968" s="11">
        <f t="shared" si="1682"/>
        <v>0</v>
      </c>
      <c r="V968" s="11">
        <f t="shared" si="146"/>
      </c>
      <c r="W968" s="11" t="s">
        <f t="shared" si="145"/>
      </c>
      <c r="X968" s="11" t="s">
        <f t="shared" si="138"/>
      </c>
    </row>
    <row r="969" ht="12.50" customHeight="true">
      <c r="A969" s="10"/>
      <c r="B969" s="11"/>
      <c r="C969" s="11"/>
      <c r="D969" s="11"/>
      <c r="E969" s="11"/>
      <c r="F969" s="11"/>
      <c r="G969" s="11"/>
      <c r="H969" s="11"/>
      <c r="I969" s="11"/>
      <c r="J969" s="11"/>
      <c r="K969" s="11" t="s">
        <f>""</f>
      </c>
      <c r="L969" s="11" t="s">
        <f t="shared" si="143"/>
      </c>
      <c r="M969" s="8" t="s">
        <f t="shared" si="141"/>
      </c>
      <c r="N969" s="11"/>
      <c r="O969" s="10">
        <f ref="O969:P969" t="shared" si="354">A969</f>
        <v>0</v>
      </c>
      <c r="P969" s="11">
        <f t="shared" si="354"/>
        <v>0</v>
      </c>
      <c r="Q969" s="11" t="s">
        <f t="shared" si="144"/>
      </c>
      <c r="R969" s="11">
        <f t="shared" si="139"/>
        <v>0</v>
      </c>
      <c r="S969" s="11">
        <f ref="S969:U969" t="shared" si="355">E969</f>
        <v>0</v>
      </c>
      <c r="T969" s="11">
        <f t="shared" si="355"/>
        <v>0</v>
      </c>
      <c r="U969" s="11">
        <f t="shared" si="355"/>
        <v>0</v>
      </c>
      <c r="V969" s="11">
        <f t="shared" si="146"/>
      </c>
      <c r="W969" s="11" t="s">
        <f t="shared" si="145"/>
      </c>
      <c r="X969" s="11" t="s">
        <f t="shared" si="138"/>
      </c>
    </row>
    <row r="970" ht="12.50" customHeight="true">
      <c r="A970" s="10"/>
      <c r="B970" s="11"/>
      <c r="C970" s="11"/>
      <c r="D970" s="11"/>
      <c r="E970" s="11"/>
      <c r="F970" s="11"/>
      <c r="G970" s="11"/>
      <c r="H970" s="11"/>
      <c r="I970" s="11"/>
      <c r="J970" s="11"/>
      <c r="K970" s="11" t="s">
        <f>""</f>
      </c>
      <c r="L970" s="11" t="s">
        <f t="shared" si="143"/>
      </c>
      <c r="M970" s="8" t="s">
        <f t="shared" si="141"/>
      </c>
      <c r="N970" s="11"/>
      <c r="O970" s="10">
        <f ref="O970:P970" t="shared" si="922">A970</f>
        <v>0</v>
      </c>
      <c r="P970" s="11">
        <f t="shared" si="922"/>
        <v>0</v>
      </c>
      <c r="Q970" s="11" t="s">
        <f t="shared" si="144"/>
      </c>
      <c r="R970" s="11">
        <f t="shared" si="139"/>
        <v>0</v>
      </c>
      <c r="S970" s="11">
        <f ref="S970:U970" t="shared" si="923">E970</f>
        <v>0</v>
      </c>
      <c r="T970" s="11">
        <f t="shared" si="923"/>
        <v>0</v>
      </c>
      <c r="U970" s="11">
        <f t="shared" si="923"/>
        <v>0</v>
      </c>
      <c r="V970" s="11">
        <f t="shared" si="146"/>
      </c>
      <c r="W970" s="11" t="s">
        <f t="shared" si="145"/>
      </c>
      <c r="X970" s="11" t="s">
        <f t="shared" si="138"/>
      </c>
    </row>
    <row r="971" ht="12.50" customHeight="true">
      <c r="A971" s="10"/>
      <c r="B971" s="11"/>
      <c r="C971" s="11"/>
      <c r="D971" s="11"/>
      <c r="E971" s="11"/>
      <c r="F971" s="11"/>
      <c r="G971" s="11"/>
      <c r="H971" s="11"/>
      <c r="I971" s="11"/>
      <c r="J971" s="11"/>
      <c r="K971" s="11" t="s">
        <f>""</f>
      </c>
      <c r="L971" s="11" t="s">
        <f t="shared" si="143"/>
      </c>
      <c r="M971" s="8" t="s">
        <f t="shared" si="141"/>
      </c>
      <c r="N971" s="11"/>
      <c r="O971" s="10">
        <f ref="O971:P971" t="shared" si="304">A971</f>
        <v>0</v>
      </c>
      <c r="P971" s="11">
        <f t="shared" si="304"/>
        <v>0</v>
      </c>
      <c r="Q971" s="11" t="s">
        <f t="shared" si="144"/>
      </c>
      <c r="R971" s="11">
        <f t="shared" si="139"/>
        <v>0</v>
      </c>
      <c r="S971" s="11">
        <f ref="S971:U971" t="shared" si="305">E971</f>
        <v>0</v>
      </c>
      <c r="T971" s="11">
        <f t="shared" si="305"/>
        <v>0</v>
      </c>
      <c r="U971" s="11">
        <f t="shared" si="305"/>
        <v>0</v>
      </c>
      <c r="V971" s="11">
        <f t="shared" si="146"/>
      </c>
      <c r="W971" s="11" t="s">
        <f t="shared" si="145"/>
      </c>
      <c r="X971" s="11" t="s">
        <f t="shared" si="138"/>
      </c>
    </row>
    <row r="972" ht="12.50" customHeight="true">
      <c r="A972" s="10"/>
      <c r="B972" s="11"/>
      <c r="C972" s="11"/>
      <c r="D972" s="11"/>
      <c r="E972" s="11"/>
      <c r="F972" s="11"/>
      <c r="G972" s="11"/>
      <c r="H972" s="11"/>
      <c r="I972" s="11"/>
      <c r="J972" s="11"/>
      <c r="K972" s="11" t="s">
        <f>""</f>
      </c>
      <c r="L972" s="11" t="s">
        <f t="shared" si="143"/>
      </c>
      <c r="M972" s="8" t="s">
        <f t="shared" si="141"/>
      </c>
      <c r="N972" s="11"/>
      <c r="O972" s="10">
        <f ref="O972:P972" t="shared" si="857">A972</f>
        <v>0</v>
      </c>
      <c r="P972" s="11">
        <f t="shared" si="857"/>
        <v>0</v>
      </c>
      <c r="Q972" s="11" t="s">
        <f t="shared" si="144"/>
      </c>
      <c r="R972" s="11">
        <f t="shared" si="139"/>
        <v>0</v>
      </c>
      <c r="S972" s="11">
        <f ref="S972:U972" t="shared" si="856">E972</f>
        <v>0</v>
      </c>
      <c r="T972" s="11">
        <f t="shared" si="856"/>
        <v>0</v>
      </c>
      <c r="U972" s="11">
        <f t="shared" si="856"/>
        <v>0</v>
      </c>
      <c r="V972" s="11">
        <f t="shared" si="146"/>
      </c>
      <c r="W972" s="11" t="s">
        <f t="shared" si="145"/>
      </c>
      <c r="X972" s="11" t="s">
        <f t="shared" si="138"/>
      </c>
    </row>
    <row r="973" ht="12.50" customHeight="true">
      <c r="A973" s="10"/>
      <c r="B973" s="11"/>
      <c r="C973" s="11"/>
      <c r="D973" s="11"/>
      <c r="E973" s="11"/>
      <c r="F973" s="11"/>
      <c r="G973" s="11"/>
      <c r="H973" s="11"/>
      <c r="I973" s="11"/>
      <c r="J973" s="11"/>
      <c r="K973" s="11" t="s">
        <f>""</f>
      </c>
      <c r="L973" s="11" t="s">
        <f t="shared" si="143"/>
      </c>
      <c r="M973" s="8" t="s">
        <f t="shared" si="141"/>
      </c>
      <c r="N973" s="11"/>
      <c r="O973" s="10">
        <f ref="O973:P973" t="shared" si="1207">A973</f>
        <v>0</v>
      </c>
      <c r="P973" s="11">
        <f t="shared" si="1207"/>
        <v>0</v>
      </c>
      <c r="Q973" s="11" t="s">
        <f t="shared" si="144"/>
      </c>
      <c r="R973" s="11">
        <f t="shared" si="139"/>
        <v>0</v>
      </c>
      <c r="S973" s="11">
        <f ref="S973:U973" t="shared" si="1208">E973</f>
        <v>0</v>
      </c>
      <c r="T973" s="11">
        <f t="shared" si="1208"/>
        <v>0</v>
      </c>
      <c r="U973" s="11">
        <f t="shared" si="1208"/>
        <v>0</v>
      </c>
      <c r="V973" s="11">
        <f t="shared" si="146"/>
      </c>
      <c r="W973" s="11" t="s">
        <f t="shared" si="145"/>
      </c>
      <c r="X973" s="11" t="s">
        <f t="shared" si="138"/>
      </c>
    </row>
    <row r="974" ht="12.50" customHeight="true">
      <c r="A974" s="10"/>
      <c r="B974" s="11"/>
      <c r="C974" s="11"/>
      <c r="D974" s="11"/>
      <c r="E974" s="11"/>
      <c r="F974" s="11"/>
      <c r="G974" s="11"/>
      <c r="H974" s="11"/>
      <c r="I974" s="11"/>
      <c r="J974" s="11"/>
      <c r="K974" s="11" t="s">
        <f>""</f>
      </c>
      <c r="L974" s="11" t="s">
        <f t="shared" si="143"/>
      </c>
      <c r="M974" s="8" t="s">
        <f t="shared" si="141"/>
      </c>
      <c r="N974" s="11"/>
      <c r="O974" s="10">
        <f ref="O974:P974" t="shared" si="2003">A974</f>
        <v>0</v>
      </c>
      <c r="P974" s="11">
        <f t="shared" si="2003"/>
        <v>0</v>
      </c>
      <c r="Q974" s="11" t="s">
        <f t="shared" si="144"/>
      </c>
      <c r="R974" s="11">
        <f t="shared" si="139"/>
        <v>0</v>
      </c>
      <c r="S974" s="11">
        <f ref="S974:U974" t="shared" si="2002">E974</f>
        <v>0</v>
      </c>
      <c r="T974" s="11">
        <f t="shared" si="2002"/>
        <v>0</v>
      </c>
      <c r="U974" s="11">
        <f t="shared" si="2002"/>
        <v>0</v>
      </c>
      <c r="V974" s="11">
        <f t="shared" si="146"/>
      </c>
      <c r="W974" s="11" t="s">
        <f t="shared" si="145"/>
      </c>
      <c r="X974" s="11" t="s">
        <f t="shared" si="138"/>
      </c>
    </row>
    <row r="975" ht="12.50" customHeight="true">
      <c r="A975" s="10"/>
      <c r="B975" s="11"/>
      <c r="C975" s="11"/>
      <c r="D975" s="11"/>
      <c r="E975" s="11"/>
      <c r="F975" s="11"/>
      <c r="G975" s="11"/>
      <c r="H975" s="11"/>
      <c r="I975" s="11"/>
      <c r="J975" s="11"/>
      <c r="K975" s="11" t="s">
        <f>""</f>
      </c>
      <c r="L975" s="11" t="s">
        <f t="shared" si="143"/>
      </c>
      <c r="M975" s="8" t="s">
        <f t="shared" si="141"/>
      </c>
      <c r="N975" s="11"/>
      <c r="O975" s="10">
        <f ref="O975:P975" t="shared" si="634">A975</f>
        <v>0</v>
      </c>
      <c r="P975" s="11">
        <f t="shared" si="634"/>
        <v>0</v>
      </c>
      <c r="Q975" s="11" t="s">
        <f t="shared" si="144"/>
      </c>
      <c r="R975" s="11">
        <f t="shared" si="139"/>
        <v>0</v>
      </c>
      <c r="S975" s="11">
        <f ref="S975:U975" t="shared" si="635">E975</f>
        <v>0</v>
      </c>
      <c r="T975" s="11">
        <f t="shared" si="635"/>
        <v>0</v>
      </c>
      <c r="U975" s="11">
        <f t="shared" si="635"/>
        <v>0</v>
      </c>
      <c r="V975" s="11">
        <f t="shared" si="146"/>
      </c>
      <c r="W975" s="11" t="s">
        <f t="shared" si="145"/>
      </c>
      <c r="X975" s="11" t="s">
        <f t="shared" si="138"/>
      </c>
    </row>
    <row r="976" ht="12.50" customHeight="true">
      <c r="A976" s="10"/>
      <c r="B976" s="11"/>
      <c r="C976" s="11"/>
      <c r="D976" s="11"/>
      <c r="E976" s="11"/>
      <c r="F976" s="11"/>
      <c r="G976" s="11"/>
      <c r="H976" s="11"/>
      <c r="I976" s="11"/>
      <c r="J976" s="11"/>
      <c r="K976" s="11" t="s">
        <f>""</f>
      </c>
      <c r="L976" s="11" t="s">
        <f t="shared" si="143"/>
      </c>
      <c r="M976" s="8" t="s">
        <f t="shared" si="141"/>
      </c>
      <c r="N976" s="11"/>
      <c r="O976" s="10">
        <f ref="O976:P976" t="shared" si="1264">A976</f>
        <v>0</v>
      </c>
      <c r="P976" s="11">
        <f t="shared" si="1264"/>
        <v>0</v>
      </c>
      <c r="Q976" s="11" t="s">
        <f t="shared" si="144"/>
      </c>
      <c r="R976" s="11">
        <f t="shared" si="139"/>
        <v>0</v>
      </c>
      <c r="S976" s="11">
        <f ref="S976:U976" t="shared" si="1265">E976</f>
        <v>0</v>
      </c>
      <c r="T976" s="11">
        <f t="shared" si="1265"/>
        <v>0</v>
      </c>
      <c r="U976" s="11">
        <f t="shared" si="1265"/>
        <v>0</v>
      </c>
      <c r="V976" s="11">
        <f t="shared" si="146"/>
      </c>
      <c r="W976" s="11" t="s">
        <f t="shared" si="145"/>
      </c>
      <c r="X976" s="11" t="s">
        <f t="shared" si="138"/>
      </c>
    </row>
    <row r="977" ht="12.50" customHeight="true">
      <c r="A977" s="10"/>
      <c r="B977" s="11"/>
      <c r="C977" s="11"/>
      <c r="D977" s="11"/>
      <c r="E977" s="11"/>
      <c r="F977" s="11"/>
      <c r="G977" s="11"/>
      <c r="H977" s="11"/>
      <c r="I977" s="11"/>
      <c r="J977" s="11"/>
      <c r="K977" s="11" t="s">
        <f>""</f>
      </c>
      <c r="L977" s="11" t="s">
        <f t="shared" si="143"/>
      </c>
      <c r="M977" s="8" t="s">
        <f t="shared" si="141"/>
      </c>
      <c r="N977" s="11"/>
      <c r="O977" s="10">
        <f ref="O977:P977" t="shared" si="1977">A977</f>
        <v>0</v>
      </c>
      <c r="P977" s="11">
        <f t="shared" si="1977"/>
        <v>0</v>
      </c>
      <c r="Q977" s="11" t="s">
        <f t="shared" si="144"/>
      </c>
      <c r="R977" s="11">
        <f t="shared" si="139"/>
        <v>0</v>
      </c>
      <c r="S977" s="11">
        <f ref="S977:U977" t="shared" si="1976">E977</f>
        <v>0</v>
      </c>
      <c r="T977" s="11">
        <f t="shared" si="1976"/>
        <v>0</v>
      </c>
      <c r="U977" s="11">
        <f t="shared" si="1976"/>
        <v>0</v>
      </c>
      <c r="V977" s="11">
        <f t="shared" si="146"/>
      </c>
      <c r="W977" s="11" t="s">
        <f t="shared" si="145"/>
      </c>
      <c r="X977" s="11" t="s">
        <f t="shared" si="138"/>
      </c>
    </row>
    <row r="978" ht="12.50" customHeight="true">
      <c r="A978" s="10"/>
      <c r="B978" s="11"/>
      <c r="C978" s="11"/>
      <c r="D978" s="11"/>
      <c r="E978" s="11"/>
      <c r="F978" s="11"/>
      <c r="G978" s="11"/>
      <c r="H978" s="11"/>
      <c r="I978" s="11"/>
      <c r="J978" s="11"/>
      <c r="K978" s="11" t="s">
        <f>""</f>
      </c>
      <c r="L978" s="11" t="s">
        <f t="shared" si="143"/>
      </c>
      <c r="M978" s="8" t="s">
        <f t="shared" si="141"/>
      </c>
      <c r="N978" s="11"/>
      <c r="O978" s="10">
        <f ref="O978:P978" t="shared" si="265">A978</f>
        <v>0</v>
      </c>
      <c r="P978" s="11">
        <f t="shared" si="265"/>
        <v>0</v>
      </c>
      <c r="Q978" s="11" t="s">
        <f t="shared" si="144"/>
      </c>
      <c r="R978" s="11">
        <f t="shared" si="139"/>
        <v>0</v>
      </c>
      <c r="S978" s="11">
        <f ref="S978:U978" t="shared" si="264">E978</f>
        <v>0</v>
      </c>
      <c r="T978" s="11">
        <f t="shared" si="264"/>
        <v>0</v>
      </c>
      <c r="U978" s="11">
        <f t="shared" si="264"/>
        <v>0</v>
      </c>
      <c r="V978" s="11">
        <f t="shared" si="146"/>
      </c>
      <c r="W978" s="11" t="s">
        <f t="shared" si="145"/>
      </c>
      <c r="X978" s="11" t="s">
        <f t="shared" si="138"/>
      </c>
    </row>
    <row r="979" ht="12.50" customHeight="true">
      <c r="A979" s="10"/>
      <c r="B979" s="11"/>
      <c r="C979" s="11"/>
      <c r="D979" s="11"/>
      <c r="E979" s="11"/>
      <c r="F979" s="11"/>
      <c r="G979" s="11"/>
      <c r="H979" s="11"/>
      <c r="I979" s="11"/>
      <c r="J979" s="11"/>
      <c r="K979" s="11" t="s">
        <f>""</f>
      </c>
      <c r="L979" s="11" t="s">
        <f t="shared" si="143"/>
      </c>
      <c r="M979" s="8" t="s">
        <f t="shared" si="141"/>
      </c>
      <c r="N979" s="11"/>
      <c r="O979" s="10">
        <f ref="O979:P979" t="shared" si="1367">A979</f>
        <v>0</v>
      </c>
      <c r="P979" s="11">
        <f t="shared" si="1367"/>
        <v>0</v>
      </c>
      <c r="Q979" s="11" t="s">
        <f t="shared" si="144"/>
      </c>
      <c r="R979" s="11">
        <f t="shared" si="139"/>
        <v>0</v>
      </c>
      <c r="S979" s="11">
        <f ref="S979:U979" t="shared" si="1366">E979</f>
        <v>0</v>
      </c>
      <c r="T979" s="11">
        <f t="shared" si="1366"/>
        <v>0</v>
      </c>
      <c r="U979" s="11">
        <f t="shared" si="1366"/>
        <v>0</v>
      </c>
      <c r="V979" s="11">
        <f t="shared" si="146"/>
      </c>
      <c r="W979" s="11" t="s">
        <f t="shared" si="145"/>
      </c>
      <c r="X979" s="11" t="s">
        <f t="shared" si="138"/>
      </c>
    </row>
    <row r="980" ht="12.50" customHeight="true">
      <c r="A980" s="10"/>
      <c r="B980" s="11"/>
      <c r="C980" s="11"/>
      <c r="D980" s="11"/>
      <c r="E980" s="11"/>
      <c r="F980" s="11"/>
      <c r="G980" s="11"/>
      <c r="H980" s="11"/>
      <c r="I980" s="11"/>
      <c r="J980" s="11"/>
      <c r="K980" s="11" t="s">
        <f>""</f>
      </c>
      <c r="L980" s="11" t="s">
        <f t="shared" si="143"/>
      </c>
      <c r="M980" s="8" t="s">
        <f t="shared" si="141"/>
      </c>
      <c r="N980" s="11"/>
      <c r="O980" s="10">
        <f ref="O980:P980" t="shared" si="1284">A980</f>
        <v>0</v>
      </c>
      <c r="P980" s="11">
        <f t="shared" si="1284"/>
        <v>0</v>
      </c>
      <c r="Q980" s="11" t="s">
        <f t="shared" si="144"/>
      </c>
      <c r="R980" s="11">
        <f t="shared" si="139"/>
        <v>0</v>
      </c>
      <c r="S980" s="11">
        <f ref="S980:U980" t="shared" si="1285">E980</f>
        <v>0</v>
      </c>
      <c r="T980" s="11">
        <f t="shared" si="1285"/>
        <v>0</v>
      </c>
      <c r="U980" s="11">
        <f t="shared" si="1285"/>
        <v>0</v>
      </c>
      <c r="V980" s="11">
        <f t="shared" si="146"/>
      </c>
      <c r="W980" s="11" t="s">
        <f t="shared" si="145"/>
      </c>
      <c r="X980" s="11" t="s">
        <f t="shared" si="138"/>
      </c>
    </row>
    <row r="981" ht="12.50" customHeight="true">
      <c r="A981" s="10"/>
      <c r="B981" s="11"/>
      <c r="C981" s="11"/>
      <c r="D981" s="11"/>
      <c r="E981" s="11"/>
      <c r="F981" s="11"/>
      <c r="G981" s="11"/>
      <c r="H981" s="11"/>
      <c r="I981" s="11"/>
      <c r="J981" s="11"/>
      <c r="K981" s="11" t="s">
        <f>""</f>
      </c>
      <c r="L981" s="11" t="s">
        <f t="shared" si="143"/>
      </c>
      <c r="M981" s="8" t="s">
        <f t="shared" si="141"/>
      </c>
      <c r="N981" s="11"/>
      <c r="O981" s="10">
        <f ref="O981:P981" t="shared" si="864">A981</f>
        <v>0</v>
      </c>
      <c r="P981" s="11">
        <f t="shared" si="864"/>
        <v>0</v>
      </c>
      <c r="Q981" s="11" t="s">
        <f t="shared" si="144"/>
      </c>
      <c r="R981" s="11">
        <f t="shared" si="139"/>
        <v>0</v>
      </c>
      <c r="S981" s="11">
        <f ref="S981:U981" t="shared" si="865">E981</f>
        <v>0</v>
      </c>
      <c r="T981" s="11">
        <f t="shared" si="865"/>
        <v>0</v>
      </c>
      <c r="U981" s="11">
        <f t="shared" si="865"/>
        <v>0</v>
      </c>
      <c r="V981" s="11">
        <f t="shared" si="146"/>
      </c>
      <c r="W981" s="11" t="s">
        <f t="shared" si="145"/>
      </c>
      <c r="X981" s="11" t="s">
        <f t="shared" si="138"/>
      </c>
    </row>
    <row r="982" ht="12.50" customHeight="true">
      <c r="A982" s="10"/>
      <c r="B982" s="11"/>
      <c r="C982" s="11"/>
      <c r="D982" s="11"/>
      <c r="E982" s="11"/>
      <c r="F982" s="11"/>
      <c r="G982" s="11"/>
      <c r="H982" s="11"/>
      <c r="I982" s="11"/>
      <c r="J982" s="11"/>
      <c r="K982" s="11" t="s">
        <f>""</f>
      </c>
      <c r="L982" s="11" t="s">
        <f t="shared" si="143"/>
      </c>
      <c r="M982" s="8" t="s">
        <f t="shared" si="141"/>
      </c>
      <c r="N982" s="11"/>
      <c r="O982" s="10">
        <f ref="O982:P982" t="shared" si="2016">A982</f>
        <v>0</v>
      </c>
      <c r="P982" s="11">
        <f t="shared" si="2016"/>
        <v>0</v>
      </c>
      <c r="Q982" s="11" t="s">
        <f t="shared" si="144"/>
      </c>
      <c r="R982" s="11">
        <f t="shared" si="139"/>
        <v>0</v>
      </c>
      <c r="S982" s="11">
        <f ref="S982:U982" t="shared" si="2017">E982</f>
        <v>0</v>
      </c>
      <c r="T982" s="11">
        <f t="shared" si="2017"/>
        <v>0</v>
      </c>
      <c r="U982" s="11">
        <f t="shared" si="2017"/>
        <v>0</v>
      </c>
      <c r="V982" s="11">
        <f t="shared" si="146"/>
      </c>
      <c r="W982" s="11" t="s">
        <f t="shared" si="145"/>
      </c>
      <c r="X982" s="11" t="s">
        <f t="shared" si="138"/>
      </c>
    </row>
    <row r="983" ht="12.50" customHeight="true">
      <c r="A983" s="10"/>
      <c r="B983" s="11"/>
      <c r="C983" s="11"/>
      <c r="D983" s="11"/>
      <c r="E983" s="11"/>
      <c r="F983" s="11"/>
      <c r="G983" s="11"/>
      <c r="H983" s="11"/>
      <c r="I983" s="11"/>
      <c r="J983" s="11"/>
      <c r="K983" s="11" t="s">
        <f>""</f>
      </c>
      <c r="L983" s="11" t="s">
        <f t="shared" si="143"/>
      </c>
      <c r="M983" s="8" t="s">
        <f t="shared" si="141"/>
      </c>
      <c r="N983" s="11"/>
      <c r="O983" s="10">
        <f ref="O983:P983" t="shared" si="1941">A983</f>
        <v>0</v>
      </c>
      <c r="P983" s="11">
        <f t="shared" si="1941"/>
        <v>0</v>
      </c>
      <c r="Q983" s="11" t="s">
        <f t="shared" si="144"/>
      </c>
      <c r="R983" s="11">
        <f t="shared" si="139"/>
        <v>0</v>
      </c>
      <c r="S983" s="11">
        <f ref="S983:U983" t="shared" si="1940">E983</f>
        <v>0</v>
      </c>
      <c r="T983" s="11">
        <f t="shared" si="1940"/>
        <v>0</v>
      </c>
      <c r="U983" s="11">
        <f t="shared" si="1940"/>
        <v>0</v>
      </c>
      <c r="V983" s="11">
        <f t="shared" si="146"/>
      </c>
      <c r="W983" s="11" t="s">
        <f t="shared" si="145"/>
      </c>
      <c r="X983" s="11" t="s">
        <f t="shared" si="138"/>
      </c>
    </row>
    <row r="984" ht="12.50" customHeight="true">
      <c r="A984" s="10"/>
      <c r="B984" s="11"/>
      <c r="C984" s="11"/>
      <c r="D984" s="11"/>
      <c r="E984" s="11"/>
      <c r="F984" s="11"/>
      <c r="G984" s="11"/>
      <c r="H984" s="11"/>
      <c r="I984" s="11"/>
      <c r="J984" s="11"/>
      <c r="K984" s="11" t="s">
        <f>""</f>
      </c>
      <c r="L984" s="11" t="s">
        <f t="shared" si="143"/>
      </c>
      <c r="M984" s="8" t="s">
        <f t="shared" si="141"/>
      </c>
      <c r="N984" s="11"/>
      <c r="O984" s="10">
        <f ref="O984:P984" t="shared" si="563">A984</f>
        <v>0</v>
      </c>
      <c r="P984" s="11">
        <f t="shared" si="563"/>
        <v>0</v>
      </c>
      <c r="Q984" s="11" t="s">
        <f t="shared" si="144"/>
      </c>
      <c r="R984" s="11">
        <f t="shared" si="139"/>
        <v>0</v>
      </c>
      <c r="S984" s="11">
        <f ref="S984:U984" t="shared" si="562">E984</f>
        <v>0</v>
      </c>
      <c r="T984" s="11">
        <f t="shared" si="562"/>
        <v>0</v>
      </c>
      <c r="U984" s="11">
        <f t="shared" si="562"/>
        <v>0</v>
      </c>
      <c r="V984" s="11">
        <f t="shared" si="146"/>
      </c>
      <c r="W984" s="11" t="s">
        <f t="shared" si="145"/>
      </c>
      <c r="X984" s="11" t="s">
        <f t="shared" si="138"/>
      </c>
    </row>
    <row r="985" ht="12.50" customHeight="true">
      <c r="A985" s="10"/>
      <c r="B985" s="11"/>
      <c r="C985" s="11"/>
      <c r="D985" s="11"/>
      <c r="E985" s="11"/>
      <c r="F985" s="11"/>
      <c r="G985" s="11"/>
      <c r="H985" s="11"/>
      <c r="I985" s="11"/>
      <c r="J985" s="11"/>
      <c r="K985" s="11" t="s">
        <f>""</f>
      </c>
      <c r="L985" s="11" t="s">
        <f t="shared" si="143"/>
      </c>
      <c r="M985" s="8" t="s">
        <f t="shared" si="141"/>
      </c>
      <c r="N985" s="11"/>
      <c r="O985" s="10">
        <f ref="O985:P985" t="shared" si="20">A985</f>
        <v>0</v>
      </c>
      <c r="P985" s="11">
        <f t="shared" si="20"/>
        <v>0</v>
      </c>
      <c r="Q985" s="11" t="s">
        <f t="shared" si="144"/>
      </c>
      <c r="R985" s="11">
        <f t="shared" si="139"/>
        <v>0</v>
      </c>
      <c r="S985" s="11">
        <f ref="S985:U985" t="shared" si="21">E985</f>
        <v>0</v>
      </c>
      <c r="T985" s="11">
        <f t="shared" si="21"/>
        <v>0</v>
      </c>
      <c r="U985" s="11">
        <f t="shared" si="21"/>
        <v>0</v>
      </c>
      <c r="V985" s="11">
        <f t="shared" si="146"/>
      </c>
      <c r="W985" s="11" t="s">
        <f t="shared" si="145"/>
      </c>
      <c r="X985" s="11" t="s">
        <f t="shared" si="138"/>
      </c>
    </row>
    <row r="986" ht="12.50" customHeight="true">
      <c r="A986" s="10"/>
      <c r="B986" s="11"/>
      <c r="C986" s="11"/>
      <c r="D986" s="11"/>
      <c r="E986" s="11"/>
      <c r="F986" s="11"/>
      <c r="G986" s="11"/>
      <c r="H986" s="11"/>
      <c r="I986" s="11"/>
      <c r="J986" s="11"/>
      <c r="K986" s="11" t="s">
        <f>""</f>
      </c>
      <c r="L986" s="11" t="s">
        <f t="shared" si="143"/>
      </c>
      <c r="M986" s="8" t="s">
        <f t="shared" si="141"/>
      </c>
      <c r="N986" s="11"/>
      <c r="O986" s="10">
        <f ref="O986:P986" t="shared" si="1829">A986</f>
        <v>0</v>
      </c>
      <c r="P986" s="11">
        <f t="shared" si="1829"/>
        <v>0</v>
      </c>
      <c r="Q986" s="11" t="s">
        <f t="shared" si="144"/>
      </c>
      <c r="R986" s="11">
        <f t="shared" si="139"/>
        <v>0</v>
      </c>
      <c r="S986" s="11">
        <f ref="S986:U986" t="shared" si="1828">E986</f>
        <v>0</v>
      </c>
      <c r="T986" s="11">
        <f t="shared" si="1828"/>
        <v>0</v>
      </c>
      <c r="U986" s="11">
        <f t="shared" si="1828"/>
        <v>0</v>
      </c>
      <c r="V986" s="11">
        <f t="shared" si="146"/>
      </c>
      <c r="W986" s="11" t="s">
        <f t="shared" si="145"/>
      </c>
      <c r="X986" s="11" t="s">
        <f t="shared" si="138"/>
      </c>
    </row>
    <row r="987" ht="12.50" customHeight="true">
      <c r="A987" s="10"/>
      <c r="B987" s="11"/>
      <c r="C987" s="11"/>
      <c r="D987" s="11"/>
      <c r="E987" s="11"/>
      <c r="F987" s="11"/>
      <c r="G987" s="11"/>
      <c r="H987" s="11"/>
      <c r="I987" s="11"/>
      <c r="J987" s="11"/>
      <c r="K987" s="11" t="s">
        <f>""</f>
      </c>
      <c r="L987" s="11" t="s">
        <f t="shared" si="143"/>
      </c>
      <c r="M987" s="8" t="s">
        <f t="shared" si="141"/>
      </c>
      <c r="N987" s="11"/>
      <c r="O987" s="10">
        <f ref="O987:P987" t="shared" si="1297">A987</f>
        <v>0</v>
      </c>
      <c r="P987" s="11">
        <f t="shared" si="1297"/>
        <v>0</v>
      </c>
      <c r="Q987" s="11" t="s">
        <f t="shared" si="144"/>
      </c>
      <c r="R987" s="11">
        <f t="shared" si="139"/>
        <v>0</v>
      </c>
      <c r="S987" s="11">
        <f ref="S987:U987" t="shared" si="1296">E987</f>
        <v>0</v>
      </c>
      <c r="T987" s="11">
        <f t="shared" si="1296"/>
        <v>0</v>
      </c>
      <c r="U987" s="11">
        <f t="shared" si="1296"/>
        <v>0</v>
      </c>
      <c r="V987" s="11">
        <f t="shared" si="146"/>
      </c>
      <c r="W987" s="11" t="s">
        <f t="shared" si="145"/>
      </c>
      <c r="X987" s="11" t="s">
        <f t="shared" si="138"/>
      </c>
    </row>
    <row r="988" ht="12.50" customHeight="true">
      <c r="A988" s="10"/>
      <c r="B988" s="11"/>
      <c r="C988" s="11"/>
      <c r="D988" s="11"/>
      <c r="E988" s="11"/>
      <c r="F988" s="11"/>
      <c r="G988" s="11"/>
      <c r="H988" s="11"/>
      <c r="I988" s="11"/>
      <c r="J988" s="11"/>
      <c r="K988" s="11" t="s">
        <f>""</f>
      </c>
      <c r="L988" s="11" t="s">
        <f t="shared" si="143"/>
      </c>
      <c r="M988" s="8" t="s">
        <f t="shared" si="141"/>
      </c>
      <c r="N988" s="11"/>
      <c r="O988" s="10">
        <f ref="O988:P988" t="shared" si="1063">A988</f>
        <v>0</v>
      </c>
      <c r="P988" s="11">
        <f t="shared" si="1063"/>
        <v>0</v>
      </c>
      <c r="Q988" s="11" t="s">
        <f t="shared" si="144"/>
      </c>
      <c r="R988" s="11">
        <f t="shared" si="139"/>
        <v>0</v>
      </c>
      <c r="S988" s="11">
        <f ref="S988:U988" t="shared" si="1064">E988</f>
        <v>0</v>
      </c>
      <c r="T988" s="11">
        <f t="shared" si="1064"/>
        <v>0</v>
      </c>
      <c r="U988" s="11">
        <f t="shared" si="1064"/>
        <v>0</v>
      </c>
      <c r="V988" s="11">
        <f t="shared" si="146"/>
      </c>
      <c r="W988" s="11" t="s">
        <f t="shared" si="145"/>
      </c>
      <c r="X988" s="11" t="s">
        <f t="shared" si="138"/>
      </c>
    </row>
    <row r="989" ht="12.50" customHeight="true">
      <c r="A989" s="10"/>
      <c r="B989" s="11"/>
      <c r="C989" s="11"/>
      <c r="D989" s="11"/>
      <c r="E989" s="11"/>
      <c r="F989" s="11"/>
      <c r="G989" s="11"/>
      <c r="H989" s="11"/>
      <c r="I989" s="11"/>
      <c r="J989" s="11"/>
      <c r="K989" s="11" t="s">
        <f>""</f>
      </c>
      <c r="L989" s="11" t="s">
        <f t="shared" si="143"/>
      </c>
      <c r="M989" s="8" t="s">
        <f t="shared" si="141"/>
      </c>
      <c r="N989" s="11"/>
      <c r="O989" s="10">
        <f ref="O989:P989" t="shared" si="1478">A989</f>
        <v>0</v>
      </c>
      <c r="P989" s="11">
        <f t="shared" si="1478"/>
        <v>0</v>
      </c>
      <c r="Q989" s="11" t="s">
        <f t="shared" si="144"/>
      </c>
      <c r="R989" s="11">
        <f t="shared" si="139"/>
        <v>0</v>
      </c>
      <c r="S989" s="11">
        <f ref="S989:U989" t="shared" si="1479">E989</f>
        <v>0</v>
      </c>
      <c r="T989" s="11">
        <f t="shared" si="1479"/>
        <v>0</v>
      </c>
      <c r="U989" s="11">
        <f t="shared" si="1479"/>
        <v>0</v>
      </c>
      <c r="V989" s="11">
        <f t="shared" si="146"/>
      </c>
      <c r="W989" s="11" t="s">
        <f t="shared" si="145"/>
      </c>
      <c r="X989" s="11" t="s">
        <f t="shared" si="138"/>
      </c>
    </row>
    <row r="990" ht="12.50" customHeight="true">
      <c r="A990" s="10"/>
      <c r="B990" s="11"/>
      <c r="C990" s="11"/>
      <c r="D990" s="11"/>
      <c r="E990" s="11"/>
      <c r="F990" s="11"/>
      <c r="G990" s="11"/>
      <c r="H990" s="11"/>
      <c r="I990" s="11"/>
      <c r="J990" s="11"/>
      <c r="K990" s="11" t="s">
        <f>""</f>
      </c>
      <c r="L990" s="11" t="s">
        <f t="shared" si="143"/>
      </c>
      <c r="M990" s="8" t="s">
        <f t="shared" si="141"/>
      </c>
      <c r="N990" s="11"/>
      <c r="O990" s="10">
        <f ref="O990:P990" t="shared" si="956">A990</f>
        <v>0</v>
      </c>
      <c r="P990" s="11">
        <f t="shared" si="956"/>
        <v>0</v>
      </c>
      <c r="Q990" s="11" t="s">
        <f t="shared" si="144"/>
      </c>
      <c r="R990" s="11">
        <f t="shared" si="139"/>
        <v>0</v>
      </c>
      <c r="S990" s="11">
        <f ref="S990:U990" t="shared" si="955">E990</f>
        <v>0</v>
      </c>
      <c r="T990" s="11">
        <f t="shared" si="955"/>
        <v>0</v>
      </c>
      <c r="U990" s="11">
        <f t="shared" si="955"/>
        <v>0</v>
      </c>
      <c r="V990" s="11">
        <f t="shared" si="146"/>
      </c>
      <c r="W990" s="11" t="s">
        <f t="shared" si="145"/>
      </c>
      <c r="X990" s="11" t="s">
        <f t="shared" si="138"/>
      </c>
    </row>
    <row r="991" ht="12.50" customHeight="true">
      <c r="A991" s="10"/>
      <c r="B991" s="11"/>
      <c r="C991" s="11"/>
      <c r="D991" s="11"/>
      <c r="E991" s="11"/>
      <c r="F991" s="11"/>
      <c r="G991" s="11"/>
      <c r="H991" s="11"/>
      <c r="I991" s="11"/>
      <c r="J991" s="11"/>
      <c r="K991" s="11" t="s">
        <f>""</f>
      </c>
      <c r="L991" s="11" t="s">
        <f t="shared" si="143"/>
      </c>
      <c r="M991" s="8" t="s">
        <f t="shared" si="141"/>
      </c>
      <c r="N991" s="11"/>
      <c r="O991" s="10">
        <f ref="O991:P991" t="shared" si="1434">A991</f>
        <v>0</v>
      </c>
      <c r="P991" s="11">
        <f t="shared" si="1434"/>
        <v>0</v>
      </c>
      <c r="Q991" s="11" t="s">
        <f t="shared" si="144"/>
      </c>
      <c r="R991" s="11">
        <f t="shared" si="139"/>
        <v>0</v>
      </c>
      <c r="S991" s="11">
        <f ref="S991:U991" t="shared" si="1435">E991</f>
        <v>0</v>
      </c>
      <c r="T991" s="11">
        <f t="shared" si="1435"/>
        <v>0</v>
      </c>
      <c r="U991" s="11">
        <f t="shared" si="1435"/>
        <v>0</v>
      </c>
      <c r="V991" s="11">
        <f t="shared" si="146"/>
      </c>
      <c r="W991" s="11" t="s">
        <f t="shared" si="145"/>
      </c>
      <c r="X991" s="11" t="s">
        <f t="shared" si="138"/>
      </c>
    </row>
    <row r="992" ht="12.50" customHeight="true">
      <c r="A992" s="10"/>
      <c r="B992" s="11"/>
      <c r="C992" s="11"/>
      <c r="D992" s="11"/>
      <c r="E992" s="11"/>
      <c r="F992" s="11"/>
      <c r="G992" s="11"/>
      <c r="H992" s="11"/>
      <c r="I992" s="11"/>
      <c r="J992" s="11"/>
      <c r="K992" s="11" t="s">
        <f>""</f>
      </c>
      <c r="L992" s="11" t="s">
        <f t="shared" si="143"/>
      </c>
      <c r="M992" s="8" t="s">
        <f t="shared" si="141"/>
      </c>
      <c r="N992" s="11"/>
      <c r="O992" s="10">
        <f ref="O992:P992" t="shared" si="121">A992</f>
        <v>0</v>
      </c>
      <c r="P992" s="11">
        <f t="shared" si="121"/>
        <v>0</v>
      </c>
      <c r="Q992" s="11" t="s">
        <f t="shared" si="144"/>
      </c>
      <c r="R992" s="11">
        <f t="shared" si="139"/>
        <v>0</v>
      </c>
      <c r="S992" s="11">
        <f ref="S992:U992" t="shared" si="120">E992</f>
        <v>0</v>
      </c>
      <c r="T992" s="11">
        <f t="shared" si="120"/>
        <v>0</v>
      </c>
      <c r="U992" s="11">
        <f t="shared" si="120"/>
        <v>0</v>
      </c>
      <c r="V992" s="11">
        <f t="shared" si="146"/>
      </c>
      <c r="W992" s="11" t="s">
        <f t="shared" si="145"/>
      </c>
      <c r="X992" s="11" t="s">
        <f t="shared" si="138"/>
      </c>
    </row>
    <row r="993" ht="12.50" customHeight="true">
      <c r="A993" s="10"/>
      <c r="B993" s="11"/>
      <c r="C993" s="11"/>
      <c r="D993" s="11"/>
      <c r="E993" s="11"/>
      <c r="F993" s="11"/>
      <c r="G993" s="11"/>
      <c r="H993" s="11"/>
      <c r="I993" s="11"/>
      <c r="J993" s="11"/>
      <c r="K993" s="11" t="s">
        <f>""</f>
      </c>
      <c r="L993" s="11" t="s">
        <f t="shared" si="143"/>
      </c>
      <c r="M993" s="8" t="s">
        <f t="shared" si="141"/>
      </c>
      <c r="N993" s="11"/>
      <c r="O993" s="10">
        <f ref="O993:P993" t="shared" si="800">A993</f>
        <v>0</v>
      </c>
      <c r="P993" s="11">
        <f t="shared" si="800"/>
        <v>0</v>
      </c>
      <c r="Q993" s="11" t="s">
        <f t="shared" si="144"/>
      </c>
      <c r="R993" s="11">
        <f t="shared" si="139"/>
        <v>0</v>
      </c>
      <c r="S993" s="11">
        <f ref="S993:U993" t="shared" si="801">E993</f>
        <v>0</v>
      </c>
      <c r="T993" s="11">
        <f t="shared" si="801"/>
        <v>0</v>
      </c>
      <c r="U993" s="11">
        <f t="shared" si="801"/>
        <v>0</v>
      </c>
      <c r="V993" s="11">
        <f t="shared" si="146"/>
      </c>
      <c r="W993" s="11" t="s">
        <f t="shared" si="145"/>
      </c>
      <c r="X993" s="11" t="s">
        <f t="shared" si="138"/>
      </c>
    </row>
    <row r="994" ht="12.50" customHeight="true">
      <c r="A994" s="10"/>
      <c r="B994" s="11"/>
      <c r="C994" s="11"/>
      <c r="D994" s="11"/>
      <c r="E994" s="11"/>
      <c r="F994" s="11"/>
      <c r="G994" s="11"/>
      <c r="H994" s="11"/>
      <c r="I994" s="11"/>
      <c r="J994" s="11"/>
      <c r="K994" s="11" t="s">
        <f>""</f>
      </c>
      <c r="L994" s="11" t="s">
        <f t="shared" si="143"/>
      </c>
      <c r="M994" s="8" t="s">
        <f t="shared" si="141"/>
      </c>
      <c r="N994" s="11"/>
      <c r="O994" s="10">
        <f ref="O994:P994" t="shared" si="622">A994</f>
        <v>0</v>
      </c>
      <c r="P994" s="11">
        <f t="shared" si="622"/>
        <v>0</v>
      </c>
      <c r="Q994" s="11" t="s">
        <f t="shared" si="144"/>
      </c>
      <c r="R994" s="11">
        <f t="shared" si="139"/>
        <v>0</v>
      </c>
      <c r="S994" s="11">
        <f ref="S994:U994" t="shared" si="623">E994</f>
        <v>0</v>
      </c>
      <c r="T994" s="11">
        <f t="shared" si="623"/>
        <v>0</v>
      </c>
      <c r="U994" s="11">
        <f t="shared" si="623"/>
        <v>0</v>
      </c>
      <c r="V994" s="11">
        <f t="shared" si="146"/>
      </c>
      <c r="W994" s="11" t="s">
        <f t="shared" si="145"/>
      </c>
      <c r="X994" s="11" t="s">
        <f t="shared" si="138"/>
      </c>
    </row>
    <row r="995" ht="12.50" customHeight="true">
      <c r="A995" s="10"/>
      <c r="B995" s="11"/>
      <c r="C995" s="11"/>
      <c r="D995" s="11"/>
      <c r="E995" s="11"/>
      <c r="F995" s="11"/>
      <c r="G995" s="11"/>
      <c r="H995" s="11"/>
      <c r="I995" s="11"/>
      <c r="J995" s="11"/>
      <c r="K995" s="11" t="s">
        <f>""</f>
      </c>
      <c r="L995" s="11" t="s">
        <f t="shared" si="143"/>
      </c>
      <c r="M995" s="8" t="s">
        <f t="shared" si="141"/>
      </c>
      <c r="N995" s="11"/>
      <c r="O995" s="10">
        <f ref="O995:P995" t="shared" si="81">A995</f>
        <v>0</v>
      </c>
      <c r="P995" s="11">
        <f t="shared" si="81"/>
        <v>0</v>
      </c>
      <c r="Q995" s="11" t="s">
        <f t="shared" si="144"/>
      </c>
      <c r="R995" s="11">
        <f t="shared" si="139"/>
        <v>0</v>
      </c>
      <c r="S995" s="11">
        <f ref="S995:U995" t="shared" si="80">E995</f>
        <v>0</v>
      </c>
      <c r="T995" s="11">
        <f t="shared" si="80"/>
        <v>0</v>
      </c>
      <c r="U995" s="11">
        <f t="shared" si="80"/>
        <v>0</v>
      </c>
      <c r="V995" s="11">
        <f t="shared" si="146"/>
      </c>
      <c r="W995" s="11" t="s">
        <f t="shared" si="145"/>
      </c>
      <c r="X995" s="11" t="s">
        <f t="shared" si="138"/>
      </c>
    </row>
    <row r="996" ht="12.50" customHeight="true">
      <c r="A996" s="10"/>
      <c r="B996" s="11"/>
      <c r="C996" s="11"/>
      <c r="D996" s="11"/>
      <c r="E996" s="11"/>
      <c r="F996" s="11"/>
      <c r="G996" s="11"/>
      <c r="H996" s="11"/>
      <c r="I996" s="11"/>
      <c r="J996" s="11"/>
      <c r="K996" s="11" t="s">
        <f>""</f>
      </c>
      <c r="L996" s="11" t="s">
        <f t="shared" si="143"/>
      </c>
      <c r="M996" s="8" t="s">
        <f t="shared" si="141"/>
      </c>
      <c r="N996" s="11"/>
      <c r="O996" s="10">
        <f ref="O996:P996" t="shared" si="1105">A996</f>
        <v>0</v>
      </c>
      <c r="P996" s="11">
        <f t="shared" si="1105"/>
        <v>0</v>
      </c>
      <c r="Q996" s="11" t="s">
        <f t="shared" si="144"/>
      </c>
      <c r="R996" s="11">
        <f t="shared" si="139"/>
        <v>0</v>
      </c>
      <c r="S996" s="11">
        <f ref="S996:U996" t="shared" si="1106">E996</f>
        <v>0</v>
      </c>
      <c r="T996" s="11">
        <f t="shared" si="1106"/>
        <v>0</v>
      </c>
      <c r="U996" s="11">
        <f t="shared" si="1106"/>
        <v>0</v>
      </c>
      <c r="V996" s="11">
        <f t="shared" si="146"/>
      </c>
      <c r="W996" s="11" t="s">
        <f t="shared" si="145"/>
      </c>
      <c r="X996" s="11" t="s">
        <f t="shared" si="138"/>
      </c>
    </row>
    <row r="997" ht="12.50" customHeight="true">
      <c r="A997" s="10"/>
      <c r="B997" s="11"/>
      <c r="C997" s="11"/>
      <c r="D997" s="11"/>
      <c r="E997" s="11"/>
      <c r="F997" s="11"/>
      <c r="G997" s="11"/>
      <c r="H997" s="11"/>
      <c r="I997" s="11"/>
      <c r="J997" s="11"/>
      <c r="K997" s="11" t="s">
        <f>""</f>
      </c>
      <c r="L997" s="11" t="s">
        <f t="shared" si="143"/>
      </c>
      <c r="M997" s="8" t="s">
        <f t="shared" si="141"/>
      </c>
      <c r="N997" s="11"/>
      <c r="O997" s="10">
        <f ref="O997:P997" t="shared" si="435">A997</f>
        <v>0</v>
      </c>
      <c r="P997" s="11">
        <f t="shared" si="435"/>
        <v>0</v>
      </c>
      <c r="Q997" s="11" t="s">
        <f t="shared" si="144"/>
      </c>
      <c r="R997" s="11">
        <f t="shared" si="139"/>
        <v>0</v>
      </c>
      <c r="S997" s="11">
        <f ref="S997:U997" t="shared" si="434">E997</f>
        <v>0</v>
      </c>
      <c r="T997" s="11">
        <f t="shared" si="434"/>
        <v>0</v>
      </c>
      <c r="U997" s="11">
        <f t="shared" si="434"/>
        <v>0</v>
      </c>
      <c r="V997" s="11">
        <f t="shared" si="146"/>
      </c>
      <c r="W997" s="11" t="s">
        <f t="shared" si="145"/>
      </c>
      <c r="X997" s="11" t="s">
        <f t="shared" si="138"/>
      </c>
    </row>
    <row r="998" ht="12.50" customHeight="true">
      <c r="A998" s="10"/>
      <c r="B998" s="11"/>
      <c r="C998" s="11"/>
      <c r="D998" s="11"/>
      <c r="E998" s="11"/>
      <c r="F998" s="11"/>
      <c r="G998" s="11"/>
      <c r="H998" s="11"/>
      <c r="I998" s="11"/>
      <c r="J998" s="11"/>
      <c r="K998" s="11" t="s">
        <f>""</f>
      </c>
      <c r="L998" s="11" t="s">
        <f t="shared" si="143"/>
      </c>
      <c r="M998" s="8" t="s">
        <f t="shared" si="141"/>
      </c>
      <c r="N998" s="11"/>
      <c r="O998" s="10">
        <f ref="O998:P998" t="shared" si="70">A998</f>
        <v>0</v>
      </c>
      <c r="P998" s="11">
        <f t="shared" si="70"/>
        <v>0</v>
      </c>
      <c r="Q998" s="11" t="s">
        <f t="shared" si="144"/>
      </c>
      <c r="R998" s="11">
        <f t="shared" si="139"/>
        <v>0</v>
      </c>
      <c r="S998" s="11">
        <f ref="S998:U998" t="shared" si="71">E998</f>
        <v>0</v>
      </c>
      <c r="T998" s="11">
        <f t="shared" si="71"/>
        <v>0</v>
      </c>
      <c r="U998" s="11">
        <f t="shared" si="71"/>
        <v>0</v>
      </c>
      <c r="V998" s="11">
        <f t="shared" si="146"/>
      </c>
      <c r="W998" s="11" t="s">
        <f t="shared" si="145"/>
      </c>
      <c r="X998" s="11" t="s">
        <f t="shared" si="138"/>
      </c>
    </row>
    <row r="999" ht="12.50" customHeight="true">
      <c r="A999" s="10"/>
      <c r="B999" s="11"/>
      <c r="C999" s="11"/>
      <c r="D999" s="11"/>
      <c r="E999" s="11"/>
      <c r="F999" s="11"/>
      <c r="G999" s="11"/>
      <c r="H999" s="11"/>
      <c r="I999" s="11"/>
      <c r="J999" s="11"/>
      <c r="K999" s="11" t="s">
        <f>""</f>
      </c>
      <c r="L999" s="11" t="s">
        <f t="shared" si="143"/>
      </c>
      <c r="M999" s="8" t="s">
        <f t="shared" si="141"/>
      </c>
      <c r="N999" s="11"/>
      <c r="O999" s="10">
        <f ref="O999:P999" t="shared" si="2022">A999</f>
        <v>0</v>
      </c>
      <c r="P999" s="11">
        <f t="shared" si="2022"/>
        <v>0</v>
      </c>
      <c r="Q999" s="11" t="s">
        <f t="shared" si="144"/>
      </c>
      <c r="R999" s="11">
        <f t="shared" si="139"/>
        <v>0</v>
      </c>
      <c r="S999" s="11">
        <f ref="S999:U999" t="shared" si="2023">E999</f>
        <v>0</v>
      </c>
      <c r="T999" s="11">
        <f t="shared" si="2023"/>
        <v>0</v>
      </c>
      <c r="U999" s="11">
        <f t="shared" si="2023"/>
        <v>0</v>
      </c>
      <c r="V999" s="11">
        <f t="shared" si="146"/>
      </c>
      <c r="W999" s="11" t="s">
        <f t="shared" si="145"/>
      </c>
      <c r="X999" s="11" t="s">
        <f t="shared" si="138"/>
      </c>
    </row>
    <row r="1000" ht="12.50" customHeight="true">
      <c r="A1000" s="10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 t="s">
        <f>""</f>
      </c>
      <c r="L1000" s="11" t="s">
        <f t="shared" si="143"/>
      </c>
      <c r="M1000" s="8" t="s">
        <f t="shared" si="141"/>
      </c>
      <c r="N1000" s="11"/>
      <c r="O1000" s="10">
        <f ref="O1000:P1000" t="shared" si="1543">A1000</f>
        <v>0</v>
      </c>
      <c r="P1000" s="11">
        <f t="shared" si="1543"/>
        <v>0</v>
      </c>
      <c r="Q1000" s="11" t="s">
        <f t="shared" si="144"/>
      </c>
      <c r="R1000" s="11">
        <f t="shared" si="139"/>
        <v>0</v>
      </c>
      <c r="S1000" s="11">
        <f ref="S1000:U1000" t="shared" si="1542">E1000</f>
        <v>0</v>
      </c>
      <c r="T1000" s="11">
        <f t="shared" si="1542"/>
        <v>0</v>
      </c>
      <c r="U1000" s="11">
        <f t="shared" si="1542"/>
        <v>0</v>
      </c>
      <c r="V1000" s="11">
        <f t="shared" si="146"/>
      </c>
      <c r="W1000" s="11" t="s">
        <f t="shared" si="145"/>
      </c>
      <c r="X1000" s="11" t="s">
        <f t="shared" si="138"/>
      </c>
    </row>
    <row r="1001" ht="12.50" customHeight="true">
      <c r="A1001" s="10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 t="s">
        <f>""</f>
      </c>
      <c r="L1001" s="11" t="s">
        <f t="shared" si="143"/>
      </c>
      <c r="M1001" s="8" t="s">
        <f t="shared" si="141"/>
      </c>
      <c r="N1001" s="11"/>
      <c r="O1001" s="10">
        <f ref="O1001:P1001" t="shared" si="1086">A1001</f>
        <v>0</v>
      </c>
      <c r="P1001" s="11">
        <f t="shared" si="1086"/>
        <v>0</v>
      </c>
      <c r="Q1001" s="11" t="s">
        <f t="shared" si="144"/>
      </c>
      <c r="R1001" s="11">
        <f t="shared" si="139"/>
        <v>0</v>
      </c>
      <c r="S1001" s="11">
        <f ref="S1001:U1001" t="shared" si="1085">E1001</f>
        <v>0</v>
      </c>
      <c r="T1001" s="11">
        <f t="shared" si="1085"/>
        <v>0</v>
      </c>
      <c r="U1001" s="11">
        <f t="shared" si="1085"/>
        <v>0</v>
      </c>
      <c r="V1001" s="11">
        <f t="shared" si="146"/>
      </c>
      <c r="W1001" s="11" t="s">
        <f t="shared" si="145"/>
      </c>
      <c r="X1001" s="11" t="s">
        <f t="shared" si="138"/>
      </c>
    </row>
  </sheetData>
  <autoFilter ref="A2:AD1001"/>
  <mergeCells count="3">
    <mergeCell ref="C1:H1"/>
    <mergeCell ref="P1:S1"/>
    <mergeCell ref="T1:U1"/>
  </mergeCells>
  <phoneticPr fontId="0" type="noConversion"/>
  <dataValidations count="4">
    <dataValidation type="list" allowBlank="true" sqref="F3:F1001">
      <formula1>"BEDCOVER,PILLOW,CUSHION,BOOSTER,MASK"</formula1>
    </dataValidation>
    <dataValidation type="list" allowBlank="true" sqref="H3:H7 H8:H58 H59:H1001">
      <formula1>"SINGLE,DOUBLE,GUM,COTTON,NAKSHI,NEW NAKSHI,MASK"</formula1>
    </dataValidation>
    <dataValidation type="list" allowBlank="true" sqref="I3:I1001">
      <formula1>"STITCHING,CUTTING,WASHING,OTHER,MASK"</formula1>
    </dataValidation>
    <dataValidation type="list" allowBlank="true" sqref="N3:N1001">
      <formula1>"WITHOUT PRESS"</formula1>
    </dataValidation>
  </dataValidation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ySplit="2" topLeftCell="A3" activePane="bottomRight" state="frozen"/>
      <selection activeCell="A1" sqref="A1"/>
    </sheetView>
  </sheetViews>
  <sheetFormatPr defaultRowHeight="15.75" customHeight="1" defaultColWidth="13.04"/>
  <cols>
    <col min="2" max="2" width="16.04" customWidth="1" hidden="0"/>
    <col min="6" max="6" width="13.64" customWidth="1" hidden="0"/>
    <col min="9" max="9" width="14.84" customWidth="1" hidden="0"/>
  </cols>
  <sheetData>
    <row r="1" ht="15.75" customHeight="true">
      <c r="A1" cm="1" s="8" t="s">
        <f t="array" ref="A1:J1501">Sheet1!O1:X1501</f>
        <v>28</v>
      </c>
      <c r="B1" t="s" s="5"/>
      <c r="C1" t="s" s="8"/>
      <c r="D1" t="s" s="8"/>
      <c r="E1" t="s" s="8"/>
      <c r="F1" t="s" s="5"/>
      <c r="G1" t="s" s="8"/>
      <c r="H1" t="s" s="5"/>
      <c r="I1" t="s" s="6"/>
      <c r="J1" t="s" s="5"/>
    </row>
    <row r="2" ht="15.75" customHeight="true">
      <c r="A2" t="s" s="12"/>
      <c r="B2" t="s" s="5"/>
      <c r="C2" t="s" s="5"/>
      <c r="D2" t="s" s="5"/>
      <c r="E2" t="s" s="5"/>
      <c r="F2" t="s" s="5"/>
      <c r="G2" t="s" s="5"/>
      <c r="H2" t="s" s="5"/>
      <c r="I2" t="s" s="5"/>
      <c r="J2" t="s" s="5"/>
    </row>
    <row r="3" ht="15.75" customHeight="true">
      <c r="A3" t="s" s="13"/>
      <c r="B3" t="s" s="14"/>
      <c r="C3" t="s" s="14"/>
      <c r="D3" t="s" s="14"/>
      <c r="E3" t="s" s="14"/>
      <c r="F3" t="s" s="14"/>
      <c r="G3" t="s" s="14"/>
      <c r="H3" t="s" s="14"/>
      <c r="I3" t="s" s="14"/>
      <c r="J3" t="s" s="14"/>
    </row>
    <row r="4" ht="15.75" customHeight="true">
      <c r="A4" t="s" s="13"/>
      <c r="B4" t="s" s="14"/>
      <c r="C4" t="s" s="14"/>
      <c r="D4" t="s" s="14"/>
      <c r="E4" t="s" s="14"/>
      <c r="F4" t="s" s="14"/>
      <c r="G4" t="s" s="14"/>
      <c r="H4" t="s" s="14"/>
      <c r="I4" t="s" s="14"/>
      <c r="J4" t="s" s="14"/>
    </row>
    <row r="5" ht="15.75" customHeight="true">
      <c r="A5" t="s" s="13"/>
      <c r="B5" t="s" s="14"/>
      <c r="C5" t="s" s="14"/>
      <c r="D5" t="s" s="14"/>
      <c r="E5" t="s" s="14"/>
      <c r="F5" t="s" s="14"/>
      <c r="G5" t="s" s="14"/>
      <c r="H5" t="s" s="14"/>
      <c r="I5" t="s" s="14"/>
      <c r="J5" t="s" s="14"/>
    </row>
    <row r="6" ht="15.75" customHeight="true">
      <c r="A6" t="s" s="13"/>
      <c r="B6" t="s" s="14"/>
      <c r="C6" t="s" s="14"/>
      <c r="D6" t="s" s="14"/>
      <c r="E6" t="s" s="14"/>
      <c r="F6" t="s" s="14"/>
      <c r="G6" t="s" s="14"/>
      <c r="H6" t="s" s="14"/>
      <c r="I6" t="s" s="14"/>
      <c r="J6" t="s" s="14"/>
    </row>
    <row r="7" ht="15.75" customHeight="true">
      <c r="A7" t="s" s="13"/>
      <c r="B7" t="s" s="14"/>
      <c r="C7" t="s" s="14"/>
      <c r="D7" t="s" s="14"/>
      <c r="E7" t="s" s="14"/>
      <c r="F7" t="s" s="14"/>
      <c r="G7" t="s" s="14"/>
      <c r="H7" t="s" s="14"/>
      <c r="I7" t="s" s="14"/>
      <c r="J7" t="s" s="14"/>
    </row>
    <row r="8" ht="15.75" customHeight="true">
      <c r="A8" t="s" s="13"/>
      <c r="B8" t="s" s="14"/>
      <c r="C8" t="s" s="14"/>
      <c r="D8" t="s" s="14"/>
      <c r="E8" t="s" s="14"/>
      <c r="F8" t="s" s="14"/>
      <c r="G8" t="s" s="14"/>
      <c r="H8" t="s" s="14"/>
      <c r="I8" t="s" s="14"/>
      <c r="J8" t="s" s="14"/>
    </row>
    <row r="9" ht="15.75" customHeight="true">
      <c r="A9" t="s" s="13"/>
      <c r="B9" t="s" s="14"/>
      <c r="C9" t="s" s="14"/>
      <c r="D9" t="s" s="14"/>
      <c r="E9" t="s" s="14"/>
      <c r="F9" t="s" s="14"/>
      <c r="G9" t="s" s="14"/>
      <c r="H9" t="s" s="14"/>
      <c r="I9" t="s" s="14"/>
      <c r="J9" t="s" s="14"/>
    </row>
    <row r="10" ht="15.75" customHeight="true">
      <c r="A10" t="s" s="13"/>
      <c r="B10" t="s" s="14"/>
      <c r="C10" t="s" s="14"/>
      <c r="D10" t="s" s="14"/>
      <c r="E10" t="s" s="14"/>
      <c r="F10" t="s" s="14"/>
      <c r="G10" t="s" s="14"/>
      <c r="H10" t="s" s="14"/>
      <c r="I10" t="s" s="14"/>
      <c r="J10" t="s" s="14"/>
    </row>
    <row r="11" ht="15.75" customHeight="true">
      <c r="A11" t="s" s="13"/>
      <c r="B11" t="s" s="14"/>
      <c r="C11" t="s" s="14"/>
      <c r="D11" t="s" s="14"/>
      <c r="E11" t="s" s="14"/>
      <c r="F11" t="s" s="14"/>
      <c r="G11" t="s" s="14"/>
      <c r="H11" t="s" s="14"/>
      <c r="I11" t="s" s="14"/>
      <c r="J11" t="s" s="14"/>
    </row>
    <row r="12" ht="15.75" customHeight="true">
      <c r="A12" t="s" s="13"/>
      <c r="B12" t="s" s="14"/>
      <c r="C12" t="s" s="14"/>
      <c r="D12" t="s" s="14"/>
      <c r="E12" t="s" s="14"/>
      <c r="F12" t="s" s="14"/>
      <c r="G12" t="s" s="14"/>
      <c r="H12" t="s" s="14"/>
      <c r="I12" t="s" s="14"/>
      <c r="J12" t="s" s="14"/>
    </row>
    <row r="13" ht="15.75" customHeight="true">
      <c r="A13" t="s" s="13"/>
      <c r="B13" t="s" s="14"/>
      <c r="C13" t="s" s="14"/>
      <c r="D13" t="s" s="14"/>
      <c r="E13" t="s" s="14"/>
      <c r="F13" t="s" s="14"/>
      <c r="G13" t="s" s="14"/>
      <c r="H13" t="s" s="14"/>
      <c r="I13" t="s" s="14"/>
      <c r="J13" t="s" s="14"/>
    </row>
    <row r="14" ht="15.75" customHeight="true">
      <c r="A14" t="s" s="13"/>
      <c r="B14" t="s" s="14"/>
      <c r="C14" t="s" s="14"/>
      <c r="D14" t="s" s="14"/>
      <c r="E14" t="s" s="14"/>
      <c r="F14" t="s" s="14"/>
      <c r="G14" t="s" s="14"/>
      <c r="H14" t="s" s="14"/>
      <c r="I14" t="s" s="14"/>
      <c r="J14" t="s" s="14"/>
    </row>
    <row r="15" ht="15.75" customHeight="true">
      <c r="A15" t="s" s="13"/>
      <c r="B15" t="s" s="14"/>
      <c r="C15" t="s" s="14"/>
      <c r="D15" t="s" s="14"/>
      <c r="E15" t="s" s="14"/>
      <c r="F15" t="s" s="14"/>
      <c r="G15" t="s" s="14"/>
      <c r="H15" t="s" s="14"/>
      <c r="I15" t="s" s="14"/>
      <c r="J15" t="s" s="14"/>
    </row>
    <row r="16" ht="15.75" customHeight="true">
      <c r="A16" t="s" s="13"/>
      <c r="B16" t="s" s="14"/>
      <c r="C16" t="s" s="14"/>
      <c r="D16" t="s" s="14"/>
      <c r="E16" t="s" s="14"/>
      <c r="F16" t="s" s="14"/>
      <c r="G16" t="s" s="14"/>
      <c r="H16" t="s" s="14"/>
      <c r="I16" t="s" s="14"/>
      <c r="J16" t="s" s="14"/>
    </row>
    <row r="17" ht="15.75" customHeight="true">
      <c r="A17" t="s" s="13"/>
      <c r="B17" t="s" s="14"/>
      <c r="C17" t="s" s="14"/>
      <c r="D17" t="s" s="14"/>
      <c r="E17" t="s" s="14"/>
      <c r="F17" t="s" s="14"/>
      <c r="G17" t="s" s="14"/>
      <c r="H17" t="s" s="14"/>
      <c r="I17" t="s" s="14"/>
      <c r="J17" t="s" s="14"/>
    </row>
    <row r="18" ht="15.75" customHeight="true">
      <c r="A18" t="s" s="13"/>
      <c r="B18" t="s" s="14"/>
      <c r="C18" t="s" s="14"/>
      <c r="D18" t="s" s="14"/>
      <c r="E18" t="s" s="14"/>
      <c r="F18" t="s" s="14"/>
      <c r="G18" t="s" s="14"/>
      <c r="H18" t="s" s="14"/>
      <c r="I18" t="s" s="14"/>
      <c r="J18" t="s" s="14"/>
    </row>
    <row r="19" ht="15.75" customHeight="true">
      <c r="A19" t="s" s="13"/>
      <c r="B19" t="s" s="14"/>
      <c r="C19" t="s" s="14"/>
      <c r="D19" t="s" s="14"/>
      <c r="E19" t="s" s="14"/>
      <c r="F19" t="s" s="14"/>
      <c r="G19" t="s" s="14"/>
      <c r="H19" t="s" s="14"/>
      <c r="I19" t="s" s="14"/>
      <c r="J19" t="s" s="14"/>
    </row>
    <row r="20" ht="15.75" customHeight="true">
      <c r="A20" t="s" s="13"/>
      <c r="B20" t="s" s="14"/>
      <c r="C20" t="s" s="14"/>
      <c r="D20" t="s" s="14"/>
      <c r="E20" t="s" s="14"/>
      <c r="F20" t="s" s="14"/>
      <c r="G20" t="s" s="14"/>
      <c r="H20" t="s" s="14"/>
      <c r="I20" t="s" s="14"/>
      <c r="J20" t="s" s="14"/>
    </row>
    <row r="21" ht="15.75" customHeight="true">
      <c r="A21" t="s" s="13"/>
      <c r="B21" t="s" s="14"/>
      <c r="C21" t="s" s="14"/>
      <c r="D21" t="s" s="14"/>
      <c r="E21" t="s" s="14"/>
      <c r="F21" t="s" s="14"/>
      <c r="G21" t="s" s="14"/>
      <c r="H21" t="s" s="14"/>
      <c r="I21" t="s" s="14"/>
      <c r="J21" t="s" s="14"/>
    </row>
    <row r="22" ht="15.75" customHeight="true">
      <c r="A22" t="s" s="13"/>
      <c r="B22" t="s" s="14"/>
      <c r="C22" t="s" s="14"/>
      <c r="D22" t="s" s="14"/>
      <c r="E22" t="s" s="14"/>
      <c r="F22" t="s" s="14"/>
      <c r="G22" t="s" s="14"/>
      <c r="H22" t="s" s="14"/>
      <c r="I22" t="s" s="14"/>
      <c r="J22" t="s" s="14"/>
    </row>
    <row r="23" ht="15.75" customHeight="true">
      <c r="A23" t="s" s="13"/>
      <c r="B23" t="s" s="14"/>
      <c r="C23" t="s" s="14"/>
      <c r="D23" t="s" s="14"/>
      <c r="E23" t="s" s="14"/>
      <c r="F23" t="s" s="14"/>
      <c r="G23" t="s" s="14"/>
      <c r="H23" t="s" s="14"/>
      <c r="I23" t="s" s="14"/>
      <c r="J23" t="s" s="14"/>
    </row>
    <row r="24" ht="15.75" customHeight="true">
      <c r="A24" t="s" s="13"/>
      <c r="B24" t="s" s="14"/>
      <c r="C24" t="s" s="14"/>
      <c r="D24" t="s" s="14"/>
      <c r="E24" t="s" s="14"/>
      <c r="F24" t="s" s="14"/>
      <c r="G24" t="s" s="14"/>
      <c r="H24" t="s" s="14"/>
      <c r="I24" t="s" s="14"/>
      <c r="J24" t="s" s="14"/>
    </row>
    <row r="25" ht="15.75" customHeight="true">
      <c r="A25" t="s" s="13"/>
      <c r="B25" t="s" s="14"/>
      <c r="C25" t="s" s="14"/>
      <c r="D25" t="s" s="14"/>
      <c r="E25" t="s" s="14"/>
      <c r="F25" t="s" s="14"/>
      <c r="G25" t="s" s="14"/>
      <c r="H25" t="s" s="14"/>
      <c r="I25" t="s" s="14"/>
      <c r="J25" t="s" s="14"/>
    </row>
    <row r="26" ht="15.75" customHeight="true">
      <c r="A26" t="s" s="13"/>
      <c r="B26" t="s" s="14"/>
      <c r="C26" t="s" s="14"/>
      <c r="D26" t="s" s="14"/>
      <c r="E26" t="s" s="14"/>
      <c r="F26" t="s" s="14"/>
      <c r="G26" t="s" s="14"/>
      <c r="H26" t="s" s="14"/>
      <c r="I26" t="s" s="14"/>
      <c r="J26" t="s" s="14"/>
    </row>
    <row r="27" ht="15.75" customHeight="true">
      <c r="A27" t="s" s="13"/>
      <c r="B27" t="s" s="14"/>
      <c r="C27" t="s" s="14"/>
      <c r="D27" t="s" s="14"/>
      <c r="E27" t="s" s="14"/>
      <c r="F27" t="s" s="14"/>
      <c r="G27" t="s" s="14"/>
      <c r="H27" t="s" s="14"/>
      <c r="I27" t="s" s="14"/>
      <c r="J27" t="s" s="14"/>
    </row>
    <row r="28" ht="15.75" customHeight="true">
      <c r="A28" t="s" s="13"/>
      <c r="B28" t="s" s="14"/>
      <c r="C28" t="s" s="14"/>
      <c r="D28" t="s" s="14"/>
      <c r="E28" t="s" s="14"/>
      <c r="F28" t="s" s="14"/>
      <c r="G28" t="s" s="14"/>
      <c r="H28" t="s" s="14"/>
      <c r="I28" t="s" s="14"/>
      <c r="J28" t="s" s="14"/>
    </row>
    <row r="29" ht="15.75" customHeight="true">
      <c r="A29" t="s" s="13"/>
      <c r="B29" t="s" s="14"/>
      <c r="C29" t="s" s="14"/>
      <c r="D29" t="s" s="14"/>
      <c r="E29" t="s" s="14"/>
      <c r="F29" t="s" s="14"/>
      <c r="G29" t="s" s="14"/>
      <c r="H29" t="s" s="14"/>
      <c r="I29" t="s" s="14"/>
      <c r="J29" t="s" s="14"/>
    </row>
    <row r="30" ht="15.75" customHeight="true">
      <c r="A30" t="s" s="13"/>
      <c r="B30" t="s" s="14"/>
      <c r="C30" t="s" s="14"/>
      <c r="D30" t="s" s="14"/>
      <c r="E30" t="s" s="14"/>
      <c r="F30" t="s" s="14"/>
      <c r="G30" t="s" s="14"/>
      <c r="H30" t="s" s="14"/>
      <c r="I30" t="s" s="14"/>
      <c r="J30" t="s" s="14"/>
    </row>
    <row r="31" ht="15.75" customHeight="true">
      <c r="A31" t="s" s="13"/>
      <c r="B31" t="s" s="14"/>
      <c r="C31" t="s" s="14"/>
      <c r="D31" t="s" s="14"/>
      <c r="E31" t="s" s="14"/>
      <c r="F31" t="s" s="14"/>
      <c r="G31" t="s" s="14"/>
      <c r="H31" t="s" s="14"/>
      <c r="I31" t="s" s="14"/>
      <c r="J31" t="s" s="14"/>
    </row>
    <row r="32" ht="15.75" customHeight="true">
      <c r="A32" t="s" s="13"/>
      <c r="B32" t="s" s="14"/>
      <c r="C32" t="s" s="14"/>
      <c r="D32" t="s" s="14"/>
      <c r="E32" t="s" s="14"/>
      <c r="F32" t="s" s="14"/>
      <c r="G32" t="s" s="14"/>
      <c r="H32" t="s" s="14"/>
      <c r="I32" t="s" s="14"/>
      <c r="J32" t="s" s="14"/>
    </row>
    <row r="33" ht="15.75" customHeight="true">
      <c r="A33" t="s" s="13"/>
      <c r="B33" t="s" s="14"/>
      <c r="C33" t="s" s="14"/>
      <c r="D33" t="s" s="14"/>
      <c r="E33" t="s" s="14"/>
      <c r="F33" t="s" s="14"/>
      <c r="G33" t="s" s="14"/>
      <c r="H33" t="s" s="14"/>
      <c r="I33" t="s" s="14"/>
      <c r="J33" t="s" s="14"/>
    </row>
    <row r="34" ht="15.75" customHeight="true">
      <c r="A34" t="s" s="13"/>
      <c r="B34" t="s" s="14"/>
      <c r="C34" t="s" s="14"/>
      <c r="D34" t="s" s="14"/>
      <c r="E34" t="s" s="14"/>
      <c r="F34" t="s" s="14"/>
      <c r="G34" t="s" s="14"/>
      <c r="H34" t="s" s="14"/>
      <c r="I34" t="s" s="14"/>
      <c r="J34" t="s" s="14"/>
    </row>
    <row r="35" ht="15.75" customHeight="true">
      <c r="A35" t="s" s="13"/>
      <c r="B35" t="s" s="14"/>
      <c r="C35" t="s" s="14"/>
      <c r="D35" t="s" s="14"/>
      <c r="E35" t="s" s="14"/>
      <c r="F35" t="s" s="14"/>
      <c r="G35" t="s" s="14"/>
      <c r="H35" t="s" s="14"/>
      <c r="I35" t="s" s="14"/>
      <c r="J35" t="s" s="14"/>
    </row>
    <row r="36" ht="15.75" customHeight="true">
      <c r="A36" t="s" s="13"/>
      <c r="B36" t="s" s="14"/>
      <c r="C36" t="s" s="14"/>
      <c r="D36" t="s" s="14"/>
      <c r="E36" t="s" s="14"/>
      <c r="F36" t="s" s="14"/>
      <c r="G36" t="s" s="14"/>
      <c r="H36" t="s" s="14"/>
      <c r="I36" t="s" s="14"/>
      <c r="J36" t="s" s="14"/>
    </row>
    <row r="37" ht="15.75" customHeight="true">
      <c r="A37" t="s" s="13"/>
      <c r="B37" t="s" s="14"/>
      <c r="C37" t="s" s="14"/>
      <c r="D37" t="s" s="14"/>
      <c r="E37" t="s" s="14"/>
      <c r="F37" t="s" s="14"/>
      <c r="G37" t="s" s="14"/>
      <c r="H37" t="s" s="14"/>
      <c r="I37" t="s" s="14"/>
      <c r="J37" t="s" s="14"/>
    </row>
    <row r="38" ht="15.75" customHeight="true">
      <c r="A38" t="s" s="13"/>
      <c r="B38" t="s" s="14"/>
      <c r="C38" t="s" s="14"/>
      <c r="D38" t="s" s="14"/>
      <c r="E38" t="s" s="14"/>
      <c r="F38" t="s" s="14"/>
      <c r="G38" t="s" s="14"/>
      <c r="H38" t="s" s="14"/>
      <c r="I38" t="s" s="14"/>
      <c r="J38" t="s" s="14"/>
    </row>
    <row r="39" ht="15.75" customHeight="true">
      <c r="A39" t="s" s="13"/>
      <c r="B39" t="s" s="14"/>
      <c r="C39" t="s" s="14"/>
      <c r="D39" t="s" s="14"/>
      <c r="E39" t="s" s="14"/>
      <c r="F39" t="s" s="14"/>
      <c r="G39" t="s" s="14"/>
      <c r="H39" t="s" s="14"/>
      <c r="I39" t="s" s="14"/>
      <c r="J39" t="s" s="14"/>
    </row>
    <row r="40" ht="15.75" customHeight="true">
      <c r="A40" t="s" s="13"/>
      <c r="B40" t="s" s="14"/>
      <c r="C40" t="s" s="14"/>
      <c r="D40" t="s" s="14"/>
      <c r="E40" t="s" s="14"/>
      <c r="F40" t="s" s="14"/>
      <c r="G40" t="s" s="14"/>
      <c r="H40" t="s" s="14"/>
      <c r="I40" t="s" s="14"/>
      <c r="J40" t="s" s="14"/>
    </row>
    <row r="41" ht="15.75" customHeight="true">
      <c r="A41" t="s" s="13"/>
      <c r="B41" t="s" s="14"/>
      <c r="C41" t="s" s="14"/>
      <c r="D41" t="s" s="14"/>
      <c r="E41" t="s" s="14"/>
      <c r="F41" t="s" s="14"/>
      <c r="G41" t="s" s="14"/>
      <c r="H41" t="s" s="14"/>
      <c r="I41" t="s" s="14"/>
      <c r="J41" t="s" s="14"/>
    </row>
    <row r="42" ht="15.75" customHeight="true">
      <c r="A42" t="s" s="13"/>
      <c r="B42" t="s" s="14"/>
      <c r="C42" t="s" s="14"/>
      <c r="D42" t="s" s="14"/>
      <c r="E42" t="s" s="14"/>
      <c r="F42" t="s" s="14"/>
      <c r="G42" t="s" s="14"/>
      <c r="H42" t="s" s="14"/>
      <c r="I42" t="s" s="14"/>
      <c r="J42" t="s" s="14"/>
    </row>
    <row r="43" ht="15.75" customHeight="true">
      <c r="A43" t="s" s="13"/>
      <c r="B43" t="s" s="14"/>
      <c r="C43" t="s" s="14"/>
      <c r="D43" t="s" s="14"/>
      <c r="E43" t="s" s="14"/>
      <c r="F43" t="s" s="14"/>
      <c r="G43" t="s" s="14"/>
      <c r="H43" t="s" s="14"/>
      <c r="I43" t="s" s="14"/>
      <c r="J43" t="s" s="14"/>
    </row>
    <row r="44" ht="15.75" customHeight="true">
      <c r="A44" t="s" s="13"/>
      <c r="B44" t="s" s="14"/>
      <c r="C44" t="s" s="14"/>
      <c r="D44" t="s" s="14"/>
      <c r="E44" t="s" s="14"/>
      <c r="F44" t="s" s="14"/>
      <c r="G44" t="s" s="14"/>
      <c r="H44" t="s" s="14"/>
      <c r="I44" t="s" s="14"/>
      <c r="J44" t="s" s="14"/>
    </row>
    <row r="45" ht="15.75" customHeight="true">
      <c r="A45" t="s" s="13"/>
      <c r="B45" t="s" s="14"/>
      <c r="C45" t="s" s="14"/>
      <c r="D45" t="s" s="14"/>
      <c r="E45" t="s" s="14"/>
      <c r="F45" t="s" s="14"/>
      <c r="G45" t="s" s="14"/>
      <c r="H45" t="s" s="14"/>
      <c r="I45" t="s" s="14"/>
      <c r="J45" t="s" s="14"/>
    </row>
    <row r="46" ht="15.75" customHeight="true">
      <c r="A46" t="s" s="13"/>
      <c r="B46" t="s" s="14"/>
      <c r="C46" t="s" s="14"/>
      <c r="D46" t="s" s="14"/>
      <c r="E46" t="s" s="14"/>
      <c r="F46" t="s" s="14"/>
      <c r="G46" t="s" s="14"/>
      <c r="H46" t="s" s="14"/>
      <c r="I46" t="s" s="14"/>
      <c r="J46" t="s" s="14"/>
    </row>
    <row r="47" ht="15.75" customHeight="true">
      <c r="A47" t="s" s="13"/>
      <c r="B47" t="s" s="14"/>
      <c r="C47" t="s" s="14"/>
      <c r="D47" t="s" s="14"/>
      <c r="E47" t="s" s="14"/>
      <c r="F47" t="s" s="14"/>
      <c r="G47" t="s" s="14"/>
      <c r="H47" t="s" s="14"/>
      <c r="I47" t="s" s="14"/>
      <c r="J47" t="s" s="14"/>
    </row>
    <row r="48" ht="15.75" customHeight="true">
      <c r="A48" t="s" s="13"/>
      <c r="B48" t="s" s="14"/>
      <c r="C48" t="s" s="14"/>
      <c r="D48" t="s" s="14"/>
      <c r="E48" t="s" s="14"/>
      <c r="F48" t="s" s="14"/>
      <c r="G48" t="s" s="14"/>
      <c r="H48" t="s" s="14"/>
      <c r="I48" t="s" s="14"/>
      <c r="J48" t="s" s="14"/>
    </row>
    <row r="49" ht="15.75" customHeight="true">
      <c r="A49" t="s" s="13"/>
      <c r="B49" t="s" s="14"/>
      <c r="C49" t="s" s="14"/>
      <c r="D49" t="s" s="14"/>
      <c r="E49" t="s" s="14"/>
      <c r="F49" t="s" s="14"/>
      <c r="G49" t="s" s="14"/>
      <c r="H49" t="s" s="14"/>
      <c r="I49" t="s" s="14"/>
      <c r="J49" t="s" s="14"/>
    </row>
    <row r="50" ht="15.75" customHeight="true">
      <c r="A50" t="s" s="13"/>
      <c r="B50" t="s" s="14"/>
      <c r="C50" t="s" s="14"/>
      <c r="D50" t="s" s="14"/>
      <c r="E50" t="s" s="14"/>
      <c r="F50" t="s" s="14"/>
      <c r="G50" t="s" s="14"/>
      <c r="H50" t="s" s="14"/>
      <c r="I50" t="s" s="14"/>
      <c r="J50" t="s" s="14"/>
    </row>
    <row r="51" ht="15.75" customHeight="true">
      <c r="A51" t="s" s="13"/>
      <c r="B51" t="s" s="14"/>
      <c r="C51" t="s" s="14"/>
      <c r="D51" t="s" s="14"/>
      <c r="E51" t="s" s="14"/>
      <c r="F51" t="s" s="14"/>
      <c r="G51" t="s" s="14"/>
      <c r="H51" t="s" s="14"/>
      <c r="I51" t="s" s="14"/>
      <c r="J51" t="s" s="14"/>
    </row>
    <row r="52" ht="15.75" customHeight="true">
      <c r="A52" t="s" s="13"/>
      <c r="B52" t="s" s="14"/>
      <c r="C52" t="s" s="14"/>
      <c r="D52" t="s" s="14"/>
      <c r="E52" t="s" s="14"/>
      <c r="F52" t="s" s="14"/>
      <c r="G52" t="s" s="14"/>
      <c r="H52" t="s" s="14"/>
      <c r="I52" t="s" s="14"/>
      <c r="J52" t="s" s="14"/>
    </row>
    <row r="53" ht="15.75" customHeight="true">
      <c r="A53" t="s" s="13"/>
      <c r="B53" t="s" s="14"/>
      <c r="C53" t="s" s="14"/>
      <c r="D53" t="s" s="14"/>
      <c r="E53" t="s" s="14"/>
      <c r="F53" t="s" s="14"/>
      <c r="G53" t="s" s="14"/>
      <c r="H53" t="s" s="14"/>
      <c r="I53" t="s" s="14"/>
      <c r="J53" t="s" s="14"/>
    </row>
    <row r="54" ht="15.75" customHeight="true">
      <c r="A54" t="s" s="13"/>
      <c r="B54" t="s" s="14"/>
      <c r="C54" t="s" s="14"/>
      <c r="D54" t="s" s="14"/>
      <c r="E54" t="s" s="14"/>
      <c r="F54" t="s" s="14"/>
      <c r="G54" t="s" s="14"/>
      <c r="H54" t="s" s="14"/>
      <c r="I54" t="s" s="14"/>
      <c r="J54" t="s" s="14"/>
    </row>
    <row r="55" ht="15.75" customHeight="true">
      <c r="A55" t="s" s="13"/>
      <c r="B55" t="s" s="14"/>
      <c r="C55" t="s" s="14"/>
      <c r="D55" t="s" s="14"/>
      <c r="E55" t="s" s="14"/>
      <c r="F55" t="s" s="14"/>
      <c r="G55" t="s" s="14"/>
      <c r="H55" t="s" s="14"/>
      <c r="I55" t="s" s="14"/>
      <c r="J55" t="s" s="14"/>
    </row>
    <row r="56" ht="15.75" customHeight="true">
      <c r="A56" t="s" s="13"/>
      <c r="B56" t="s" s="14"/>
      <c r="C56" t="s" s="14"/>
      <c r="D56" t="s" s="14"/>
      <c r="E56" t="s" s="14"/>
      <c r="F56" t="s" s="14"/>
      <c r="G56" t="s" s="14"/>
      <c r="H56" t="s" s="14"/>
      <c r="I56" t="s" s="14"/>
      <c r="J56" t="s" s="14"/>
    </row>
    <row r="57" ht="15.75" customHeight="true">
      <c r="A57" t="s" s="13"/>
      <c r="B57" t="s" s="14"/>
      <c r="C57" t="s" s="14"/>
      <c r="D57" t="s" s="14"/>
      <c r="E57" t="s" s="14"/>
      <c r="F57" t="s" s="14"/>
      <c r="G57" t="s" s="14"/>
      <c r="H57" t="s" s="14"/>
      <c r="I57" t="s" s="14"/>
      <c r="J57" t="s" s="14"/>
    </row>
    <row r="58" ht="15.75" customHeight="true">
      <c r="A58" t="s" s="13"/>
      <c r="B58" t="s" s="14"/>
      <c r="C58" t="s" s="14"/>
      <c r="D58" t="s" s="14"/>
      <c r="E58" t="s" s="14"/>
      <c r="F58" t="s" s="14"/>
      <c r="G58" t="s" s="14"/>
      <c r="H58" t="s" s="14"/>
      <c r="I58" t="s" s="14"/>
      <c r="J58" t="s" s="14"/>
    </row>
    <row r="59" ht="15.75" customHeight="true">
      <c r="A59" t="s" s="13"/>
      <c r="B59" t="s" s="14"/>
      <c r="C59" t="s" s="14"/>
      <c r="D59" t="s" s="14"/>
      <c r="E59" t="s" s="14"/>
      <c r="F59" t="s" s="14"/>
      <c r="G59" t="s" s="14"/>
      <c r="H59" t="s" s="14"/>
      <c r="I59" t="s" s="14"/>
      <c r="J59" t="s" s="14"/>
    </row>
    <row r="60" ht="15.75" customHeight="true">
      <c r="A60" t="s" s="13"/>
      <c r="B60" t="s" s="14"/>
      <c r="C60" t="s" s="14"/>
      <c r="D60" t="s" s="14"/>
      <c r="E60" t="s" s="14"/>
      <c r="F60" t="s" s="14"/>
      <c r="G60" t="s" s="14"/>
      <c r="H60" t="s" s="14"/>
      <c r="I60" t="s" s="14"/>
      <c r="J60" t="s" s="14"/>
    </row>
    <row r="61" ht="15.75" customHeight="true">
      <c r="A61" t="s" s="13"/>
      <c r="B61" t="s" s="14"/>
      <c r="C61" t="s" s="14"/>
      <c r="D61" t="s" s="14"/>
      <c r="E61" t="s" s="14"/>
      <c r="F61" t="s" s="14"/>
      <c r="G61" t="s" s="14"/>
      <c r="H61" t="s" s="14"/>
      <c r="I61" t="s" s="14"/>
      <c r="J61" t="s" s="14"/>
    </row>
    <row r="62" ht="15.75" customHeight="true">
      <c r="A62" t="s" s="13"/>
      <c r="B62" t="s" s="14"/>
      <c r="C62" t="s" s="14"/>
      <c r="D62" t="s" s="14"/>
      <c r="E62" t="s" s="14"/>
      <c r="F62" t="s" s="14"/>
      <c r="G62" t="s" s="14"/>
      <c r="H62" t="s" s="14"/>
      <c r="I62" t="s" s="14"/>
      <c r="J62" t="s" s="14"/>
    </row>
    <row r="63" ht="15.75" customHeight="true">
      <c r="A63" t="s" s="13"/>
      <c r="B63" t="s" s="14"/>
      <c r="C63" t="s" s="14"/>
      <c r="D63" t="s" s="14"/>
      <c r="E63" t="s" s="14"/>
      <c r="F63" t="s" s="14"/>
      <c r="G63" t="s" s="14"/>
      <c r="H63" t="s" s="14"/>
      <c r="I63" t="s" s="14"/>
      <c r="J63" t="s" s="14"/>
    </row>
    <row r="64" ht="15.75" customHeight="true">
      <c r="A64" t="s" s="13"/>
      <c r="B64" t="s" s="14"/>
      <c r="C64" t="s" s="14"/>
      <c r="D64" t="s" s="14"/>
      <c r="E64" t="s" s="14"/>
      <c r="F64" t="s" s="14"/>
      <c r="G64" t="s" s="14"/>
      <c r="H64" t="s" s="14"/>
      <c r="I64" t="s" s="14"/>
      <c r="J64" t="s" s="14"/>
    </row>
    <row r="65" ht="15.75" customHeight="true">
      <c r="A65" t="s" s="13"/>
      <c r="B65" t="s" s="14"/>
      <c r="C65" t="s" s="14"/>
      <c r="D65" t="s" s="14"/>
      <c r="E65" t="s" s="14"/>
      <c r="F65" t="s" s="14"/>
      <c r="G65" t="s" s="14"/>
      <c r="H65" t="s" s="14"/>
      <c r="I65" t="s" s="14"/>
      <c r="J65" t="s" s="14"/>
    </row>
    <row r="66" ht="15.75" customHeight="true">
      <c r="A66" t="s" s="13"/>
      <c r="B66" t="s" s="14"/>
      <c r="C66" t="s" s="14"/>
      <c r="D66" t="s" s="14"/>
      <c r="E66" t="s" s="14"/>
      <c r="F66" t="s" s="14"/>
      <c r="G66" t="s" s="14"/>
      <c r="H66" t="s" s="14"/>
      <c r="I66" t="s" s="14"/>
      <c r="J66" t="s" s="14"/>
    </row>
    <row r="67" ht="15.75" customHeight="true">
      <c r="A67" t="s" s="13"/>
      <c r="B67" t="s" s="14"/>
      <c r="C67" t="s" s="14"/>
      <c r="D67" t="s" s="14"/>
      <c r="E67" t="s" s="14"/>
      <c r="F67" t="s" s="14"/>
      <c r="G67" t="s" s="14"/>
      <c r="H67" t="s" s="14"/>
      <c r="I67" t="s" s="14"/>
      <c r="J67" t="s" s="14"/>
    </row>
    <row r="68" ht="15.75" customHeight="true">
      <c r="A68" t="s" s="13"/>
      <c r="B68" t="s" s="14"/>
      <c r="C68" t="s" s="14"/>
      <c r="D68" t="s" s="14"/>
      <c r="E68" t="s" s="14"/>
      <c r="F68" t="s" s="14"/>
      <c r="G68" t="s" s="14"/>
      <c r="H68" t="s" s="14"/>
      <c r="I68" t="s" s="14"/>
      <c r="J68" t="s" s="14"/>
    </row>
    <row r="69" ht="15.75" customHeight="true">
      <c r="A69" t="s" s="13"/>
      <c r="B69" t="s" s="14"/>
      <c r="C69" t="s" s="14"/>
      <c r="D69" t="s" s="14"/>
      <c r="E69" t="s" s="14"/>
      <c r="F69" t="s" s="14"/>
      <c r="G69" t="s" s="14"/>
      <c r="H69" t="s" s="14"/>
      <c r="I69" t="s" s="14"/>
      <c r="J69" t="s" s="14"/>
    </row>
    <row r="70" ht="15.75" customHeight="true">
      <c r="A70" t="s" s="13"/>
      <c r="B70" t="s" s="14"/>
      <c r="C70" t="s" s="14"/>
      <c r="D70" t="s" s="14"/>
      <c r="E70" t="s" s="14"/>
      <c r="F70" t="s" s="14"/>
      <c r="G70" t="s" s="14"/>
      <c r="H70" t="s" s="14"/>
      <c r="I70" t="s" s="14"/>
      <c r="J70" t="s" s="14"/>
    </row>
    <row r="71" ht="15.75" customHeight="true">
      <c r="A71" t="s" s="13"/>
      <c r="B71" t="s" s="14"/>
      <c r="C71" t="s" s="14"/>
      <c r="D71" t="s" s="14"/>
      <c r="E71" t="s" s="14"/>
      <c r="F71" t="s" s="14"/>
      <c r="G71" t="s" s="14"/>
      <c r="H71" t="s" s="14"/>
      <c r="I71" t="s" s="14"/>
      <c r="J71" t="s" s="14"/>
    </row>
    <row r="72" ht="15.75" customHeight="true">
      <c r="A72" t="s" s="13"/>
      <c r="B72" t="s" s="14"/>
      <c r="C72" t="s" s="14"/>
      <c r="D72" t="s" s="14"/>
      <c r="E72" t="s" s="14"/>
      <c r="F72" t="s" s="14"/>
      <c r="G72" t="s" s="14"/>
      <c r="H72" t="s" s="14"/>
      <c r="I72" t="s" s="14"/>
      <c r="J72" t="s" s="14"/>
    </row>
    <row r="73" ht="15.75" customHeight="true">
      <c r="A73" t="s" s="13"/>
      <c r="B73" t="s" s="14"/>
      <c r="C73" t="s" s="14"/>
      <c r="D73" t="s" s="14"/>
      <c r="E73" t="s" s="14"/>
      <c r="F73" t="s" s="14"/>
      <c r="G73" t="s" s="14"/>
      <c r="H73" t="s" s="14"/>
      <c r="I73" t="s" s="14"/>
      <c r="J73" t="s" s="14"/>
    </row>
    <row r="74" ht="15.75" customHeight="true">
      <c r="A74" t="s" s="13"/>
      <c r="B74" t="s" s="14"/>
      <c r="C74" t="s" s="14"/>
      <c r="D74" t="s" s="14"/>
      <c r="E74" t="s" s="14"/>
      <c r="F74" t="s" s="14"/>
      <c r="G74" t="s" s="14"/>
      <c r="H74" t="s" s="14"/>
      <c r="I74" t="s" s="14"/>
      <c r="J74" t="s" s="14"/>
    </row>
    <row r="75" ht="15.75" customHeight="true">
      <c r="A75" t="s" s="13"/>
      <c r="B75" t="s" s="14"/>
      <c r="C75" t="s" s="14"/>
      <c r="D75" t="s" s="14"/>
      <c r="E75" t="s" s="14"/>
      <c r="F75" t="s" s="14"/>
      <c r="G75" t="s" s="14"/>
      <c r="H75" t="s" s="14"/>
      <c r="I75" t="s" s="14"/>
      <c r="J75" t="s" s="14"/>
    </row>
    <row r="76" ht="15.75" customHeight="true">
      <c r="A76" t="s" s="13"/>
      <c r="B76" t="s" s="14"/>
      <c r="C76" t="s" s="14"/>
      <c r="D76" t="s" s="14"/>
      <c r="E76" t="s" s="14"/>
      <c r="F76" t="s" s="14"/>
      <c r="G76" t="s" s="14"/>
      <c r="H76" t="s" s="14"/>
      <c r="I76" t="s" s="14"/>
      <c r="J76" t="s" s="14"/>
    </row>
    <row r="77" ht="15.75" customHeight="true">
      <c r="A77" t="s" s="13"/>
      <c r="B77" t="s" s="14"/>
      <c r="C77" t="s" s="14"/>
      <c r="D77" t="s" s="14"/>
      <c r="E77" t="s" s="14"/>
      <c r="F77" t="s" s="14"/>
      <c r="G77" t="s" s="14"/>
      <c r="H77" t="s" s="14"/>
      <c r="I77" t="s" s="14"/>
      <c r="J77" t="s" s="14"/>
    </row>
    <row r="78" ht="15.75" customHeight="true">
      <c r="A78" t="s" s="13"/>
      <c r="B78" t="s" s="14"/>
      <c r="C78" t="s" s="14"/>
      <c r="D78" t="s" s="14"/>
      <c r="E78" t="s" s="14"/>
      <c r="F78" t="s" s="14"/>
      <c r="G78" t="s" s="14"/>
      <c r="H78" t="s" s="14"/>
      <c r="I78" t="s" s="14"/>
      <c r="J78" t="s" s="14"/>
    </row>
    <row r="79" ht="15.75" customHeight="true">
      <c r="A79" t="s" s="13"/>
      <c r="B79" t="s" s="14"/>
      <c r="C79" t="s" s="14"/>
      <c r="D79" t="s" s="14"/>
      <c r="E79" t="s" s="14"/>
      <c r="F79" t="s" s="14"/>
      <c r="G79" t="s" s="14"/>
      <c r="H79" t="s" s="14"/>
      <c r="I79" t="s" s="14"/>
      <c r="J79" t="s" s="14"/>
    </row>
    <row r="80" ht="15.75" customHeight="true">
      <c r="A80" t="s" s="13"/>
      <c r="B80" t="s" s="14"/>
      <c r="C80" t="s" s="14"/>
      <c r="D80" t="s" s="14"/>
      <c r="E80" t="s" s="14"/>
      <c r="F80" t="s" s="14"/>
      <c r="G80" t="s" s="14"/>
      <c r="H80" t="s" s="14"/>
      <c r="I80" t="s" s="14"/>
      <c r="J80" t="s" s="14"/>
    </row>
    <row r="81" ht="15.75" customHeight="true">
      <c r="A81" t="s" s="13"/>
      <c r="B81" t="s" s="14"/>
      <c r="C81" t="s" s="14"/>
      <c r="D81" t="s" s="14"/>
      <c r="E81" t="s" s="14"/>
      <c r="F81" t="s" s="14"/>
      <c r="G81" t="s" s="14"/>
      <c r="H81" t="s" s="14"/>
      <c r="I81" t="s" s="14"/>
      <c r="J81" t="s" s="14"/>
    </row>
    <row r="82" ht="15.75" customHeight="true">
      <c r="A82" t="s" s="13"/>
      <c r="B82" t="s" s="14"/>
      <c r="C82" t="s" s="14"/>
      <c r="D82" t="s" s="14"/>
      <c r="E82" t="s" s="14"/>
      <c r="F82" t="s" s="14"/>
      <c r="G82" t="s" s="14"/>
      <c r="H82" t="s" s="14"/>
      <c r="I82" t="s" s="14"/>
      <c r="J82" t="s" s="14"/>
    </row>
    <row r="83" ht="15.75" customHeight="true">
      <c r="A83" t="s" s="13"/>
      <c r="B83" t="s" s="14"/>
      <c r="C83" t="s" s="14"/>
      <c r="D83" t="s" s="14"/>
      <c r="E83" t="s" s="14"/>
      <c r="F83" t="s" s="14"/>
      <c r="G83" t="s" s="14"/>
      <c r="H83" t="s" s="14"/>
      <c r="I83" t="s" s="14"/>
      <c r="J83" t="s" s="14"/>
    </row>
    <row r="84" ht="15.75" customHeight="true">
      <c r="A84" t="s" s="13"/>
      <c r="B84" t="s" s="14"/>
      <c r="C84" t="s" s="14"/>
      <c r="D84" t="s" s="14"/>
      <c r="E84" t="s" s="14"/>
      <c r="F84" t="s" s="14"/>
      <c r="G84" t="s" s="14"/>
      <c r="H84" t="s" s="14"/>
      <c r="I84" t="s" s="14"/>
      <c r="J84" t="s" s="14"/>
    </row>
    <row r="85" ht="15.75" customHeight="true">
      <c r="A85" t="s" s="13"/>
      <c r="B85" t="s" s="14"/>
      <c r="C85" t="s" s="14"/>
      <c r="D85" t="s" s="14"/>
      <c r="E85" t="s" s="14"/>
      <c r="F85" t="s" s="14"/>
      <c r="G85" t="s" s="14"/>
      <c r="H85" t="s" s="14"/>
      <c r="I85" t="s" s="14"/>
      <c r="J85" t="s" s="14"/>
    </row>
    <row r="86" ht="15.75" customHeight="true">
      <c r="A86" t="s" s="13"/>
      <c r="B86" t="s" s="14"/>
      <c r="C86" t="s" s="14"/>
      <c r="D86" t="s" s="14"/>
      <c r="E86" t="s" s="14"/>
      <c r="F86" t="s" s="14"/>
      <c r="G86" t="s" s="14"/>
      <c r="H86" t="s" s="14"/>
      <c r="I86" t="s" s="14"/>
      <c r="J86" t="s" s="14"/>
    </row>
    <row r="87" ht="15.75" customHeight="true">
      <c r="A87" t="s" s="13"/>
      <c r="B87" t="s" s="14"/>
      <c r="C87" t="s" s="14"/>
      <c r="D87" t="s" s="14"/>
      <c r="E87" t="s" s="14"/>
      <c r="F87" t="s" s="14"/>
      <c r="G87" t="s" s="14"/>
      <c r="H87" t="s" s="14"/>
      <c r="I87" t="s" s="14"/>
      <c r="J87" t="s" s="14"/>
    </row>
    <row r="88" ht="15.75" customHeight="true">
      <c r="A88" t="s" s="13"/>
      <c r="B88" t="s" s="14"/>
      <c r="C88" t="s" s="14"/>
      <c r="D88" t="s" s="14"/>
      <c r="E88" t="s" s="14"/>
      <c r="F88" t="s" s="14"/>
      <c r="G88" t="s" s="14"/>
      <c r="H88" t="s" s="14"/>
      <c r="I88" t="s" s="14"/>
      <c r="J88" t="s" s="14"/>
    </row>
    <row r="89" ht="15.75" customHeight="true">
      <c r="A89" t="s" s="13"/>
      <c r="B89" t="s" s="14"/>
      <c r="C89" t="s" s="14"/>
      <c r="D89" t="s" s="14"/>
      <c r="E89" t="s" s="14"/>
      <c r="F89" t="s" s="14"/>
      <c r="G89" t="s" s="14"/>
      <c r="H89" t="s" s="14"/>
      <c r="I89" t="s" s="14"/>
      <c r="J89" t="s" s="14"/>
    </row>
    <row r="90" ht="15.75" customHeight="true">
      <c r="A90" t="s" s="13"/>
      <c r="B90" t="s" s="14"/>
      <c r="C90" t="s" s="14"/>
      <c r="D90" t="s" s="14"/>
      <c r="E90" t="s" s="14"/>
      <c r="F90" t="s" s="14"/>
      <c r="G90" t="s" s="14"/>
      <c r="H90" t="s" s="14"/>
      <c r="I90" t="s" s="14"/>
      <c r="J90" t="s" s="14"/>
    </row>
    <row r="91" ht="15.75" customHeight="true">
      <c r="A91" t="s" s="13"/>
      <c r="B91" t="s" s="14"/>
      <c r="C91" t="s" s="14"/>
      <c r="D91" t="s" s="14"/>
      <c r="E91" t="s" s="14"/>
      <c r="F91" t="s" s="14"/>
      <c r="G91" t="s" s="14"/>
      <c r="H91" t="s" s="14"/>
      <c r="I91" t="s" s="14"/>
      <c r="J91" t="s" s="14"/>
    </row>
    <row r="92" ht="15.75" customHeight="true">
      <c r="A92" t="s" s="13"/>
      <c r="B92" t="s" s="14"/>
      <c r="C92" t="s" s="14"/>
      <c r="D92" t="s" s="14"/>
      <c r="E92" t="s" s="14"/>
      <c r="F92" t="s" s="14"/>
      <c r="G92" t="s" s="14"/>
      <c r="H92" t="s" s="14"/>
      <c r="I92" t="s" s="14"/>
      <c r="J92" t="s" s="14"/>
    </row>
    <row r="93" ht="15.75" customHeight="true">
      <c r="A93" t="s" s="13"/>
      <c r="B93" t="s" s="14"/>
      <c r="C93" t="s" s="14"/>
      <c r="D93" t="s" s="14"/>
      <c r="E93" t="s" s="14"/>
      <c r="F93" t="s" s="14"/>
      <c r="G93" t="s" s="14"/>
      <c r="H93" t="s" s="14"/>
      <c r="I93" t="s" s="14"/>
      <c r="J93" t="s" s="14"/>
    </row>
    <row r="94" ht="15.75" customHeight="true">
      <c r="A94" t="s" s="13"/>
      <c r="B94" t="s" s="14"/>
      <c r="C94" t="s" s="14"/>
      <c r="D94" t="s" s="14"/>
      <c r="E94" t="s" s="14"/>
      <c r="F94" t="s" s="14"/>
      <c r="G94" t="s" s="14"/>
      <c r="H94" t="s" s="14"/>
      <c r="I94" t="s" s="14"/>
      <c r="J94" t="s" s="14"/>
    </row>
    <row r="95" ht="15.75" customHeight="true">
      <c r="A95" t="s" s="13"/>
      <c r="B95" t="s" s="14"/>
      <c r="C95" t="s" s="14"/>
      <c r="D95" t="s" s="14"/>
      <c r="E95" t="s" s="14"/>
      <c r="F95" t="s" s="14"/>
      <c r="G95" t="s" s="14"/>
      <c r="H95" t="s" s="14"/>
      <c r="I95" t="s" s="14"/>
      <c r="J95" t="s" s="14"/>
    </row>
    <row r="96" ht="15.75" customHeight="true">
      <c r="A96" t="s" s="13"/>
      <c r="B96" t="s" s="14"/>
      <c r="C96" t="s" s="14"/>
      <c r="D96" t="s" s="14"/>
      <c r="E96" t="s" s="14"/>
      <c r="F96" t="s" s="14"/>
      <c r="G96" t="s" s="14"/>
      <c r="H96" t="s" s="14"/>
      <c r="I96" t="s" s="14"/>
      <c r="J96" t="s" s="14"/>
    </row>
    <row r="97" ht="15.75" customHeight="true">
      <c r="A97" t="s" s="13"/>
      <c r="B97" t="s" s="14"/>
      <c r="C97" t="s" s="14"/>
      <c r="D97" t="s" s="14"/>
      <c r="E97" t="s" s="14"/>
      <c r="F97" t="s" s="14"/>
      <c r="G97" t="s" s="14"/>
      <c r="H97" t="s" s="14"/>
      <c r="I97" t="s" s="14"/>
      <c r="J97" t="s" s="14"/>
    </row>
    <row r="98" ht="15.75" customHeight="true">
      <c r="A98" t="s" s="13"/>
      <c r="B98" t="s" s="14"/>
      <c r="C98" t="s" s="14"/>
      <c r="D98" t="s" s="14"/>
      <c r="E98" t="s" s="14"/>
      <c r="F98" t="s" s="14"/>
      <c r="G98" t="s" s="14"/>
      <c r="H98" t="s" s="14"/>
      <c r="I98" t="s" s="14"/>
      <c r="J98" t="s" s="14"/>
    </row>
    <row r="99" ht="15.75" customHeight="true">
      <c r="A99" t="s" s="13"/>
      <c r="B99" t="s" s="14"/>
      <c r="C99" t="s" s="14"/>
      <c r="D99" t="s" s="14"/>
      <c r="E99" t="s" s="14"/>
      <c r="F99" t="s" s="14"/>
      <c r="G99" t="s" s="14"/>
      <c r="H99" t="s" s="14"/>
      <c r="I99" t="s" s="14"/>
      <c r="J99" t="s" s="14"/>
    </row>
    <row r="100" ht="15.75" customHeight="true">
      <c r="A100" t="s" s="13"/>
      <c r="B100" t="s" s="14"/>
      <c r="C100" t="s" s="14"/>
      <c r="D100" t="s" s="14"/>
      <c r="E100" t="s" s="14"/>
      <c r="F100" t="s" s="14"/>
      <c r="G100" t="s" s="14"/>
      <c r="H100" t="s" s="14"/>
      <c r="I100" t="s" s="14"/>
      <c r="J100" t="s" s="14"/>
    </row>
    <row r="101" ht="15.75" customHeight="true">
      <c r="A101" t="s" s="13"/>
      <c r="B101" t="s" s="14"/>
      <c r="C101" t="s" s="14"/>
      <c r="D101" t="s" s="14"/>
      <c r="E101" t="s" s="14"/>
      <c r="F101" t="s" s="14"/>
      <c r="G101" t="s" s="14"/>
      <c r="H101" t="s" s="14"/>
      <c r="I101" t="s" s="14"/>
      <c r="J101" t="s" s="14"/>
    </row>
    <row r="102" ht="15.75" customHeight="true">
      <c r="A102" t="s" s="13"/>
      <c r="B102" t="s" s="14"/>
      <c r="C102" t="s" s="14"/>
      <c r="D102" t="s" s="14"/>
      <c r="E102" t="s" s="14"/>
      <c r="F102" t="s" s="14"/>
      <c r="G102" t="s" s="14"/>
      <c r="H102" t="s" s="14"/>
      <c r="I102" t="s" s="14"/>
      <c r="J102" t="s" s="14"/>
    </row>
    <row r="103" ht="15.75" customHeight="true">
      <c r="A103" t="s" s="15"/>
      <c r="B103" t="s" s="8"/>
      <c r="C103" t="s" s="8"/>
      <c r="D103" t="s" s="8"/>
      <c r="E103" t="s" s="8"/>
      <c r="F103" t="s" s="8"/>
      <c r="G103" t="s" s="8"/>
      <c r="H103" t="s" s="8"/>
      <c r="I103" t="s" s="8"/>
      <c r="J103" t="s" s="8"/>
    </row>
    <row r="104" ht="15.75" customHeight="true">
      <c r="A104" t="s" s="15"/>
      <c r="B104" t="s" s="8"/>
      <c r="C104" t="s" s="8"/>
      <c r="D104" t="s" s="8"/>
      <c r="E104" t="s" s="8"/>
      <c r="F104" t="s" s="8"/>
      <c r="G104" t="s" s="8"/>
      <c r="H104" t="s" s="8"/>
      <c r="I104" t="s" s="8"/>
      <c r="J104" t="s" s="8"/>
    </row>
    <row r="105" ht="15.75" customHeight="true">
      <c r="A105" t="s" s="15"/>
      <c r="B105" t="s" s="8"/>
      <c r="C105" t="s" s="8"/>
      <c r="D105" t="s" s="8"/>
      <c r="E105" t="s" s="8"/>
      <c r="F105" t="s" s="8"/>
      <c r="G105" t="s" s="8"/>
      <c r="H105" t="s" s="8"/>
      <c r="I105" t="s" s="8"/>
      <c r="J105" t="s" s="8"/>
    </row>
    <row r="106" ht="15.75" customHeight="true">
      <c r="A106" t="s" s="15"/>
      <c r="B106" t="s" s="8"/>
      <c r="C106" t="s" s="8"/>
      <c r="D106" t="s" s="8"/>
      <c r="E106" t="s" s="8"/>
      <c r="F106" t="s" s="8"/>
      <c r="G106" t="s" s="8"/>
      <c r="H106" t="s" s="8"/>
      <c r="I106" t="s" s="8"/>
      <c r="J106" t="s" s="8"/>
    </row>
    <row r="107" ht="15.75" customHeight="true">
      <c r="A107" t="s" s="15"/>
      <c r="B107" t="s" s="8"/>
      <c r="C107" t="s" s="8"/>
      <c r="D107" t="s" s="8"/>
      <c r="E107" t="s" s="8"/>
      <c r="F107" t="s" s="8"/>
      <c r="G107" t="s" s="8"/>
      <c r="H107" t="s" s="8"/>
      <c r="I107" t="s" s="8"/>
      <c r="J107" t="s" s="8"/>
    </row>
    <row r="108" ht="15.75" customHeight="true">
      <c r="A108" t="s" s="15"/>
      <c r="B108" t="s" s="8"/>
      <c r="C108" t="s" s="8"/>
      <c r="D108" t="s" s="8"/>
      <c r="E108" t="s" s="8"/>
      <c r="F108" t="s" s="8"/>
      <c r="G108" t="s" s="8"/>
      <c r="H108" t="s" s="8"/>
      <c r="I108" t="s" s="8"/>
      <c r="J108" t="s" s="8"/>
    </row>
    <row r="109" ht="15.75" customHeight="true">
      <c r="A109" t="s" s="15"/>
      <c r="B109" t="s" s="8"/>
      <c r="C109" t="s" s="8"/>
      <c r="D109" t="s" s="8"/>
      <c r="E109" t="s" s="8"/>
      <c r="F109" t="s" s="8"/>
      <c r="G109" t="s" s="8"/>
      <c r="H109" t="s" s="8"/>
      <c r="I109" t="s" s="8"/>
      <c r="J109" t="s" s="8"/>
    </row>
    <row r="110" ht="15.75" customHeight="true">
      <c r="A110" t="s" s="15"/>
      <c r="B110" t="s" s="8"/>
      <c r="C110" t="s" s="8"/>
      <c r="D110" t="s" s="8"/>
      <c r="E110" t="s" s="8"/>
      <c r="F110" t="s" s="8"/>
      <c r="G110" t="s" s="8"/>
      <c r="H110" t="s" s="8"/>
      <c r="I110" t="s" s="8"/>
      <c r="J110" t="s" s="8"/>
    </row>
    <row r="111" ht="15.75" customHeight="true">
      <c r="A111" t="s" s="15"/>
      <c r="B111" t="s" s="8"/>
      <c r="C111" t="s" s="8"/>
      <c r="D111" t="s" s="8"/>
      <c r="E111" t="s" s="8"/>
      <c r="F111" t="s" s="8"/>
      <c r="G111" t="s" s="8"/>
      <c r="H111" t="s" s="8"/>
      <c r="I111" t="s" s="8"/>
      <c r="J111" t="s" s="8"/>
    </row>
    <row r="112" ht="15.75" customHeight="true">
      <c r="A112" t="s" s="15"/>
      <c r="B112" t="s" s="8"/>
      <c r="C112" t="s" s="8"/>
      <c r="D112" t="s" s="8"/>
      <c r="E112" t="s" s="8"/>
      <c r="F112" t="s" s="8"/>
      <c r="G112" t="s" s="8"/>
      <c r="H112" t="s" s="8"/>
      <c r="I112" t="s" s="8"/>
      <c r="J112" t="s" s="8"/>
    </row>
    <row r="113" ht="15.75" customHeight="true">
      <c r="A113" t="s" s="15"/>
      <c r="B113" t="s" s="8"/>
      <c r="C113" t="s" s="8"/>
      <c r="D113" t="s" s="8"/>
      <c r="E113" t="s" s="8"/>
      <c r="F113" t="s" s="8"/>
      <c r="G113" t="s" s="8"/>
      <c r="H113" t="s" s="8"/>
      <c r="I113" t="s" s="8"/>
      <c r="J113" t="s" s="8"/>
    </row>
    <row r="114" ht="15.75" customHeight="true">
      <c r="A114" t="s" s="15"/>
      <c r="B114" t="s" s="8"/>
      <c r="C114" t="s" s="8"/>
      <c r="D114" t="s" s="8"/>
      <c r="E114" t="s" s="8"/>
      <c r="F114" t="s" s="8"/>
      <c r="G114" t="s" s="8"/>
      <c r="H114" t="s" s="8"/>
      <c r="I114" t="s" s="8"/>
      <c r="J114" t="s" s="8"/>
    </row>
    <row r="115" ht="15.75" customHeight="true">
      <c r="A115" t="s" s="15"/>
      <c r="B115" t="s" s="8"/>
      <c r="C115" t="s" s="8"/>
      <c r="D115" t="s" s="8"/>
      <c r="E115" t="s" s="8"/>
      <c r="F115" t="s" s="8"/>
      <c r="G115" t="s" s="8"/>
      <c r="H115" t="s" s="8"/>
      <c r="I115" t="s" s="8"/>
      <c r="J115" t="s" s="8"/>
    </row>
    <row r="116" ht="15.75" customHeight="true">
      <c r="A116" t="s" s="15"/>
      <c r="B116" t="s" s="8"/>
      <c r="C116" t="s" s="8"/>
      <c r="D116" t="s" s="8"/>
      <c r="E116" t="s" s="8"/>
      <c r="F116" t="s" s="8"/>
      <c r="G116" t="s" s="8"/>
      <c r="H116" t="s" s="8"/>
      <c r="I116" t="s" s="8"/>
      <c r="J116" t="s" s="8"/>
    </row>
    <row r="117" ht="15.75" customHeight="true">
      <c r="A117" t="s" s="15"/>
      <c r="B117" t="s" s="8"/>
      <c r="C117" t="s" s="8"/>
      <c r="D117" t="s" s="8"/>
      <c r="E117" t="s" s="8"/>
      <c r="F117" t="s" s="8"/>
      <c r="G117" t="s" s="8"/>
      <c r="H117" t="s" s="8"/>
      <c r="I117" t="s" s="8"/>
      <c r="J117" t="s" s="8"/>
    </row>
    <row r="118" ht="15.75" customHeight="true">
      <c r="A118" t="s" s="15"/>
      <c r="B118" t="s" s="8"/>
      <c r="C118" t="s" s="8"/>
      <c r="D118" t="s" s="8"/>
      <c r="E118" t="s" s="8"/>
      <c r="F118" t="s" s="8"/>
      <c r="G118" t="s" s="8"/>
      <c r="H118" t="s" s="8"/>
      <c r="I118" t="s" s="8"/>
      <c r="J118" t="s" s="8"/>
    </row>
    <row r="119" ht="15.75" customHeight="true">
      <c r="A119" t="s" s="15"/>
      <c r="B119" t="s" s="8"/>
      <c r="C119" t="s" s="8"/>
      <c r="D119" t="s" s="8"/>
      <c r="E119" t="s" s="8"/>
      <c r="F119" t="s" s="8"/>
      <c r="G119" t="s" s="8"/>
      <c r="H119" t="s" s="8"/>
      <c r="I119" t="s" s="8"/>
      <c r="J119" t="s" s="8"/>
    </row>
    <row r="120" ht="15.75" customHeight="true">
      <c r="A120" t="s" s="15"/>
      <c r="B120" t="s" s="8"/>
      <c r="C120" t="s" s="8"/>
      <c r="D120" t="s" s="8"/>
      <c r="E120" t="s" s="8"/>
      <c r="F120" t="s" s="8"/>
      <c r="G120" t="s" s="8"/>
      <c r="H120" t="s" s="8"/>
      <c r="I120" t="s" s="8"/>
      <c r="J120" t="s" s="8"/>
    </row>
    <row r="121" ht="15.75" customHeight="true">
      <c r="A121" t="s" s="15"/>
      <c r="B121" t="s" s="8"/>
      <c r="C121" t="s" s="8"/>
      <c r="D121" t="s" s="8"/>
      <c r="E121" t="s" s="8"/>
      <c r="F121" t="s" s="8"/>
      <c r="G121" t="s" s="8"/>
      <c r="H121" t="s" s="8"/>
      <c r="I121" t="s" s="8"/>
      <c r="J121" t="s" s="8"/>
    </row>
    <row r="122" ht="15.75" customHeight="true">
      <c r="A122" t="s" s="15"/>
      <c r="B122" t="s" s="8"/>
      <c r="C122" t="s" s="8"/>
      <c r="D122" t="s" s="8"/>
      <c r="E122" t="s" s="8"/>
      <c r="F122" t="s" s="8"/>
      <c r="G122" t="s" s="8"/>
      <c r="H122" t="s" s="8"/>
      <c r="I122" t="s" s="8"/>
      <c r="J122" t="s" s="8"/>
    </row>
    <row r="123" ht="15.75" customHeight="true">
      <c r="A123" t="s" s="15"/>
      <c r="B123" t="s" s="8"/>
      <c r="C123" t="s" s="8"/>
      <c r="D123" t="s" s="8"/>
      <c r="E123" t="s" s="8"/>
      <c r="F123" t="s" s="8"/>
      <c r="G123" t="s" s="8"/>
      <c r="H123" t="s" s="8"/>
      <c r="I123" t="s" s="8"/>
      <c r="J123" t="s" s="8"/>
    </row>
    <row r="124" ht="15.75" customHeight="true">
      <c r="A124" t="s" s="15"/>
      <c r="B124" t="s" s="8"/>
      <c r="C124" t="s" s="8"/>
      <c r="D124" t="s" s="8"/>
      <c r="E124" t="s" s="8"/>
      <c r="F124" t="s" s="8"/>
      <c r="G124" t="s" s="8"/>
      <c r="H124" t="s" s="8"/>
      <c r="I124" t="s" s="8"/>
      <c r="J124" t="s" s="8"/>
    </row>
    <row r="125" ht="15.75" customHeight="true">
      <c r="A125" t="s" s="15"/>
      <c r="B125" t="s" s="8"/>
      <c r="C125" t="s" s="8"/>
      <c r="D125" t="s" s="8"/>
      <c r="E125" t="s" s="8"/>
      <c r="F125" t="s" s="8"/>
      <c r="G125" t="s" s="8"/>
      <c r="H125" t="s" s="8"/>
      <c r="I125" t="s" s="8"/>
      <c r="J125" t="s" s="8"/>
    </row>
    <row r="126" ht="15.75" customHeight="true">
      <c r="A126" t="s" s="15"/>
      <c r="B126" t="s" s="8"/>
      <c r="C126" t="s" s="8"/>
      <c r="D126" t="s" s="8"/>
      <c r="E126" t="s" s="8"/>
      <c r="F126" t="s" s="8"/>
      <c r="G126" t="s" s="8"/>
      <c r="H126" t="s" s="8"/>
      <c r="I126" t="s" s="8"/>
      <c r="J126" t="s" s="8"/>
    </row>
    <row r="127" ht="15.75" customHeight="true">
      <c r="A127" t="s" s="15"/>
      <c r="B127" t="s" s="8"/>
      <c r="C127" t="s" s="8"/>
      <c r="D127" t="s" s="8"/>
      <c r="E127" t="s" s="8"/>
      <c r="F127" t="s" s="8"/>
      <c r="G127" t="s" s="8"/>
      <c r="H127" t="s" s="8"/>
      <c r="I127" t="s" s="8"/>
      <c r="J127" t="s" s="8"/>
    </row>
    <row r="128" ht="15.75" customHeight="true">
      <c r="A128" t="s" s="15"/>
      <c r="B128" t="s" s="8"/>
      <c r="C128" t="s" s="8"/>
      <c r="D128" t="s" s="8"/>
      <c r="E128" t="s" s="8"/>
      <c r="F128" t="s" s="8"/>
      <c r="G128" t="s" s="8"/>
      <c r="H128" t="s" s="8"/>
      <c r="I128" t="s" s="8"/>
      <c r="J128" t="s" s="8"/>
    </row>
    <row r="129" ht="15.75" customHeight="true">
      <c r="A129" t="s" s="15"/>
      <c r="B129" t="s" s="8"/>
      <c r="C129" t="s" s="8"/>
      <c r="D129" t="s" s="8"/>
      <c r="E129" t="s" s="8"/>
      <c r="F129" t="s" s="8"/>
      <c r="G129" t="s" s="8"/>
      <c r="H129" t="s" s="8"/>
      <c r="I129" t="s" s="8"/>
      <c r="J129" t="s" s="8"/>
    </row>
    <row r="130" ht="15.75" customHeight="true">
      <c r="A130" t="s" s="15"/>
      <c r="B130" t="s" s="8"/>
      <c r="C130" t="s" s="8"/>
      <c r="D130" t="s" s="8"/>
      <c r="E130" t="s" s="8"/>
      <c r="F130" t="s" s="8"/>
      <c r="G130" t="s" s="8"/>
      <c r="H130" t="s" s="8"/>
      <c r="I130" t="s" s="8"/>
      <c r="J130" t="s" s="8"/>
    </row>
    <row r="131" ht="15.75" customHeight="true">
      <c r="A131" t="s" s="15"/>
      <c r="B131" t="s" s="8"/>
      <c r="C131" t="s" s="8"/>
      <c r="D131" t="s" s="8"/>
      <c r="E131" t="s" s="8"/>
      <c r="F131" t="s" s="8"/>
      <c r="G131" t="s" s="8"/>
      <c r="H131" t="s" s="8"/>
      <c r="I131" t="s" s="8"/>
      <c r="J131" t="s" s="8"/>
    </row>
    <row r="132" ht="15.75" customHeight="true">
      <c r="A132" t="s" s="15"/>
      <c r="B132" t="s" s="8"/>
      <c r="C132" t="s" s="8"/>
      <c r="D132" t="s" s="8"/>
      <c r="E132" t="s" s="8"/>
      <c r="F132" t="s" s="8"/>
      <c r="G132" t="s" s="8"/>
      <c r="H132" t="s" s="8"/>
      <c r="I132" t="s" s="8"/>
      <c r="J132" t="s" s="8"/>
    </row>
    <row r="133" ht="15.75" customHeight="true">
      <c r="A133" t="s" s="15"/>
      <c r="B133" t="s" s="8"/>
      <c r="C133" t="s" s="8"/>
      <c r="D133" t="s" s="8"/>
      <c r="E133" t="s" s="8"/>
      <c r="F133" t="s" s="8"/>
      <c r="G133" t="s" s="8"/>
      <c r="H133" t="s" s="8"/>
      <c r="I133" t="s" s="8"/>
      <c r="J133" t="s" s="8"/>
    </row>
    <row r="134" ht="15.75" customHeight="true">
      <c r="A134" t="s" s="15"/>
      <c r="B134" t="s" s="8"/>
      <c r="C134" t="s" s="8"/>
      <c r="D134" t="s" s="8"/>
      <c r="E134" t="s" s="8"/>
      <c r="F134" t="s" s="8"/>
      <c r="G134" t="s" s="8"/>
      <c r="H134" t="s" s="8"/>
      <c r="I134" t="s" s="8"/>
      <c r="J134" t="s" s="8"/>
    </row>
    <row r="135" ht="15.75" customHeight="true">
      <c r="A135" t="s" s="15"/>
      <c r="B135" t="s" s="8"/>
      <c r="C135" t="s" s="8"/>
      <c r="D135" t="s" s="8"/>
      <c r="E135" t="s" s="8"/>
      <c r="F135" t="s" s="8"/>
      <c r="G135" t="s" s="8"/>
      <c r="H135" t="s" s="8"/>
      <c r="I135" t="s" s="8"/>
      <c r="J135" t="s" s="8"/>
    </row>
    <row r="136" ht="15.75" customHeight="true">
      <c r="A136" t="s" s="15"/>
      <c r="B136" t="s" s="8"/>
      <c r="C136" t="s" s="8"/>
      <c r="D136" t="s" s="8"/>
      <c r="E136" t="s" s="8"/>
      <c r="F136" t="s" s="8"/>
      <c r="G136" t="s" s="8"/>
      <c r="H136" t="s" s="8"/>
      <c r="I136" t="s" s="8"/>
      <c r="J136" t="s" s="8"/>
    </row>
    <row r="137" ht="15.75" customHeight="true">
      <c r="A137" t="s" s="15"/>
      <c r="B137" t="s" s="8"/>
      <c r="C137" t="s" s="8"/>
      <c r="D137" t="s" s="8"/>
      <c r="E137" t="s" s="8"/>
      <c r="F137" t="s" s="8"/>
      <c r="G137" t="s" s="8"/>
      <c r="H137" t="s" s="8"/>
      <c r="I137" t="s" s="8"/>
      <c r="J137" t="s" s="8"/>
    </row>
    <row r="138" ht="15.75" customHeight="true">
      <c r="A138" t="s" s="15"/>
      <c r="B138" t="s" s="8"/>
      <c r="C138" t="s" s="8"/>
      <c r="D138" t="s" s="8"/>
      <c r="E138" t="s" s="8"/>
      <c r="F138" t="s" s="8"/>
      <c r="G138" t="s" s="8"/>
      <c r="H138" t="s" s="8"/>
      <c r="I138" t="s" s="8"/>
      <c r="J138" t="s" s="8"/>
    </row>
    <row r="139" ht="15.75" customHeight="true">
      <c r="A139" t="s" s="15"/>
      <c r="B139" t="s" s="8"/>
      <c r="C139" t="s" s="8"/>
      <c r="D139" t="s" s="8"/>
      <c r="E139" t="s" s="8"/>
      <c r="F139" t="s" s="8"/>
      <c r="G139" t="s" s="8"/>
      <c r="H139" t="s" s="8"/>
      <c r="I139" t="s" s="8"/>
      <c r="J139" t="s" s="8"/>
    </row>
    <row r="140" ht="15.75" customHeight="true">
      <c r="A140" t="s" s="15"/>
      <c r="B140" t="s" s="8"/>
      <c r="C140" t="s" s="8"/>
      <c r="D140" t="s" s="8"/>
      <c r="E140" t="s" s="8"/>
      <c r="F140" t="s" s="8"/>
      <c r="G140" t="s" s="8"/>
      <c r="H140" t="s" s="8"/>
      <c r="I140" t="s" s="8"/>
      <c r="J140" t="s" s="8"/>
    </row>
    <row r="141" ht="15.75" customHeight="true">
      <c r="A141" t="s" s="15"/>
      <c r="B141" t="s" s="8"/>
      <c r="C141" t="s" s="8"/>
      <c r="D141" t="s" s="8"/>
      <c r="E141" t="s" s="8"/>
      <c r="F141" t="s" s="8"/>
      <c r="G141" t="s" s="8"/>
      <c r="H141" t="s" s="8"/>
      <c r="I141" t="s" s="8"/>
      <c r="J141" t="s" s="8"/>
    </row>
    <row r="142" ht="15.75" customHeight="true">
      <c r="A142" t="s" s="15"/>
      <c r="B142" t="s" s="8"/>
      <c r="C142" t="s" s="8"/>
      <c r="D142" t="s" s="8"/>
      <c r="E142" t="s" s="8"/>
      <c r="F142" t="s" s="8"/>
      <c r="G142" t="s" s="8"/>
      <c r="H142" t="s" s="8"/>
      <c r="I142" t="s" s="8"/>
      <c r="J142" t="s" s="8"/>
    </row>
    <row r="143" ht="15.75" customHeight="true">
      <c r="A143" t="s" s="15"/>
      <c r="B143" t="s" s="8"/>
      <c r="C143" t="s" s="8"/>
      <c r="D143" t="s" s="8"/>
      <c r="E143" t="s" s="8"/>
      <c r="F143" t="s" s="8"/>
      <c r="G143" t="s" s="8"/>
      <c r="H143" t="s" s="8"/>
      <c r="I143" t="s" s="8"/>
      <c r="J143" t="s" s="8"/>
    </row>
    <row r="144" ht="15.75" customHeight="true">
      <c r="A144" t="s" s="15"/>
      <c r="B144" t="s" s="8"/>
      <c r="C144" t="s" s="8"/>
      <c r="D144" t="s" s="8"/>
      <c r="E144" t="s" s="8"/>
      <c r="F144" t="s" s="8"/>
      <c r="G144" t="s" s="8"/>
      <c r="H144" t="s" s="8"/>
      <c r="I144" t="s" s="8"/>
      <c r="J144" t="s" s="8"/>
    </row>
    <row r="145" ht="15.75" customHeight="true">
      <c r="A145" t="s" s="15"/>
      <c r="B145" t="s" s="8"/>
      <c r="C145" t="s" s="8"/>
      <c r="D145" t="s" s="8"/>
      <c r="E145" t="s" s="8"/>
      <c r="F145" t="s" s="8"/>
      <c r="G145" t="s" s="8"/>
      <c r="H145" t="s" s="8"/>
      <c r="I145" t="s" s="8"/>
      <c r="J145" t="s" s="8"/>
    </row>
    <row r="146" ht="15.75" customHeight="true">
      <c r="A146" t="s" s="15"/>
      <c r="B146" t="s" s="8"/>
      <c r="C146" t="s" s="8"/>
      <c r="D146" t="s" s="8"/>
      <c r="E146" t="s" s="8"/>
      <c r="F146" t="s" s="8"/>
      <c r="G146" t="s" s="8"/>
      <c r="H146" t="s" s="8"/>
      <c r="I146" t="s" s="8"/>
      <c r="J146" t="s" s="8"/>
    </row>
    <row r="147" ht="15.75" customHeight="true">
      <c r="A147" t="s" s="15"/>
      <c r="B147" t="s" s="8"/>
      <c r="C147" t="s" s="8"/>
      <c r="D147" t="s" s="8"/>
      <c r="E147" t="s" s="8"/>
      <c r="F147" t="s" s="8"/>
      <c r="G147" t="s" s="8"/>
      <c r="H147" t="s" s="8"/>
      <c r="I147" t="s" s="8"/>
      <c r="J147" t="s" s="8"/>
    </row>
    <row r="148" ht="15.75" customHeight="true">
      <c r="A148" t="s" s="15"/>
      <c r="B148" t="s" s="8"/>
      <c r="C148" t="s" s="8"/>
      <c r="D148" t="s" s="8"/>
      <c r="E148" t="s" s="8"/>
      <c r="F148" t="s" s="8"/>
      <c r="G148" t="s" s="8"/>
      <c r="H148" t="s" s="8"/>
      <c r="I148" t="s" s="8"/>
      <c r="J148" t="s" s="8"/>
    </row>
    <row r="149" ht="15.75" customHeight="true">
      <c r="A149" t="s" s="15"/>
      <c r="B149" t="s" s="8"/>
      <c r="C149" t="s" s="8"/>
      <c r="D149" t="s" s="8"/>
      <c r="E149" t="s" s="8"/>
      <c r="F149" t="s" s="8"/>
      <c r="G149" t="s" s="8"/>
      <c r="H149" t="s" s="8"/>
      <c r="I149" t="s" s="8"/>
      <c r="J149" t="s" s="8"/>
    </row>
    <row r="150" ht="15.75" customHeight="true">
      <c r="A150" t="s" s="15"/>
      <c r="B150" t="s" s="8"/>
      <c r="C150" t="s" s="8"/>
      <c r="D150" t="s" s="8"/>
      <c r="E150" t="s" s="8"/>
      <c r="F150" t="s" s="8"/>
      <c r="G150" t="s" s="8"/>
      <c r="H150" t="s" s="8"/>
      <c r="I150" t="s" s="8"/>
      <c r="J150" t="s" s="8"/>
    </row>
    <row r="151" ht="15.75" customHeight="true">
      <c r="A151" t="s" s="15"/>
      <c r="B151" t="s" s="8"/>
      <c r="C151" t="s" s="8"/>
      <c r="D151" t="s" s="8"/>
      <c r="E151" t="s" s="8"/>
      <c r="F151" t="s" s="8"/>
      <c r="G151" t="s" s="8"/>
      <c r="H151" t="s" s="8"/>
      <c r="I151" t="s" s="8"/>
      <c r="J151" t="s" s="8"/>
    </row>
    <row r="152" ht="15.75" customHeight="true">
      <c r="A152" t="s" s="15"/>
      <c r="B152" t="s" s="8"/>
      <c r="C152" t="s" s="8"/>
      <c r="D152" t="s" s="8"/>
      <c r="E152" t="s" s="8"/>
      <c r="F152" t="s" s="8"/>
      <c r="G152" t="s" s="8"/>
      <c r="H152" t="s" s="8"/>
      <c r="I152" t="s" s="8"/>
      <c r="J152" t="s" s="8"/>
    </row>
    <row r="153" ht="15.75" customHeight="true">
      <c r="A153" t="s" s="15"/>
      <c r="B153" t="s" s="8"/>
      <c r="C153" t="s" s="8"/>
      <c r="D153" t="s" s="8"/>
      <c r="E153" t="s" s="8"/>
      <c r="F153" t="s" s="8"/>
      <c r="G153" t="s" s="8"/>
      <c r="H153" t="s" s="8"/>
      <c r="I153" t="s" s="8"/>
      <c r="J153" t="s" s="8"/>
    </row>
    <row r="154" ht="15.75" customHeight="true">
      <c r="A154" t="s" s="15"/>
      <c r="B154" t="s" s="8"/>
      <c r="C154" t="s" s="8"/>
      <c r="D154" t="s" s="8"/>
      <c r="E154" t="s" s="8"/>
      <c r="F154" t="s" s="8"/>
      <c r="G154" t="s" s="8"/>
      <c r="H154" t="s" s="8"/>
      <c r="I154" t="s" s="8"/>
      <c r="J154" t="s" s="8"/>
    </row>
    <row r="155" ht="15.75" customHeight="true">
      <c r="A155" t="s" s="15"/>
      <c r="B155" t="s" s="8"/>
      <c r="C155" t="s" s="8"/>
      <c r="D155" t="s" s="8"/>
      <c r="E155" t="s" s="8"/>
      <c r="F155" t="s" s="8"/>
      <c r="G155" t="s" s="8"/>
      <c r="H155" t="s" s="8"/>
      <c r="I155" t="s" s="8"/>
      <c r="J155" t="s" s="8"/>
    </row>
    <row r="156" ht="15.75" customHeight="true">
      <c r="A156" t="s" s="15"/>
      <c r="B156" t="s" s="8"/>
      <c r="C156" t="s" s="8"/>
      <c r="D156" t="s" s="8"/>
      <c r="E156" t="s" s="8"/>
      <c r="F156" t="s" s="8"/>
      <c r="G156" t="s" s="8"/>
      <c r="H156" t="s" s="8"/>
      <c r="I156" t="s" s="8"/>
      <c r="J156" t="s" s="8"/>
    </row>
    <row r="157" ht="15.75" customHeight="true">
      <c r="A157" t="s" s="15"/>
      <c r="B157" t="s" s="8"/>
      <c r="C157" t="s" s="8"/>
      <c r="D157" t="s" s="8"/>
      <c r="E157" t="s" s="8"/>
      <c r="F157" t="s" s="8"/>
      <c r="G157" t="s" s="8"/>
      <c r="H157" t="s" s="8"/>
      <c r="I157" t="s" s="8"/>
      <c r="J157" t="s" s="8"/>
    </row>
    <row r="158" ht="15.75" customHeight="true">
      <c r="A158" t="s" s="15"/>
      <c r="B158" t="s" s="8"/>
      <c r="C158" t="s" s="8"/>
      <c r="D158" t="s" s="8"/>
      <c r="E158" t="s" s="8"/>
      <c r="F158" t="s" s="8"/>
      <c r="G158" t="s" s="8"/>
      <c r="H158" t="s" s="8"/>
      <c r="I158" t="s" s="8"/>
      <c r="J158" t="s" s="8"/>
    </row>
    <row r="159" ht="15.75" customHeight="true">
      <c r="A159" t="s" s="15"/>
      <c r="B159" t="s" s="8"/>
      <c r="C159" t="s" s="8"/>
      <c r="D159" t="s" s="8"/>
      <c r="E159" t="s" s="8"/>
      <c r="F159" t="s" s="8"/>
      <c r="G159" t="s" s="8"/>
      <c r="H159" t="s" s="8"/>
      <c r="I159" t="s" s="8"/>
      <c r="J159" t="s" s="8"/>
    </row>
    <row r="160" ht="15.75" customHeight="true">
      <c r="A160" t="s" s="15"/>
      <c r="B160" t="s" s="8"/>
      <c r="C160" t="s" s="8"/>
      <c r="D160" t="s" s="8"/>
      <c r="E160" t="s" s="8"/>
      <c r="F160" t="s" s="8"/>
      <c r="G160" t="s" s="8"/>
      <c r="H160" t="s" s="8"/>
      <c r="I160" t="s" s="8"/>
      <c r="J160" t="s" s="8"/>
    </row>
    <row r="161" ht="15.75" customHeight="true">
      <c r="A161" t="s" s="15"/>
      <c r="B161" t="s" s="8"/>
      <c r="C161" t="s" s="8"/>
      <c r="D161" t="s" s="8"/>
      <c r="E161" t="s" s="8"/>
      <c r="F161" t="s" s="8"/>
      <c r="G161" t="s" s="8"/>
      <c r="H161" t="s" s="8"/>
      <c r="I161" t="s" s="8"/>
      <c r="J161" t="s" s="8"/>
    </row>
    <row r="162" ht="15.75" customHeight="true">
      <c r="A162" t="s" s="15"/>
      <c r="B162" t="s" s="8"/>
      <c r="C162" t="s" s="8"/>
      <c r="D162" t="s" s="8"/>
      <c r="E162" t="s" s="8"/>
      <c r="F162" t="s" s="8"/>
      <c r="G162" t="s" s="8"/>
      <c r="H162" t="s" s="8"/>
      <c r="I162" t="s" s="8"/>
      <c r="J162" t="s" s="8"/>
    </row>
    <row r="163" ht="15.75" customHeight="true">
      <c r="A163" t="s" s="15"/>
      <c r="B163" t="s" s="8"/>
      <c r="C163" t="s" s="8"/>
      <c r="D163" t="s" s="8"/>
      <c r="E163" t="s" s="8"/>
      <c r="F163" t="s" s="8"/>
      <c r="G163" t="s" s="8"/>
      <c r="H163" t="s" s="8"/>
      <c r="I163" t="s" s="8"/>
      <c r="J163" t="s" s="8"/>
    </row>
    <row r="164" ht="15.75" customHeight="true">
      <c r="A164" t="s" s="15"/>
      <c r="B164" t="s" s="8"/>
      <c r="C164" t="s" s="8"/>
      <c r="D164" t="s" s="8"/>
      <c r="E164" t="s" s="8"/>
      <c r="F164" t="s" s="8"/>
      <c r="G164" t="s" s="8"/>
      <c r="H164" t="s" s="8"/>
      <c r="I164" t="s" s="8"/>
      <c r="J164" t="s" s="8"/>
    </row>
    <row r="165" ht="15.75" customHeight="true">
      <c r="A165" t="s" s="15"/>
      <c r="B165" t="s" s="8"/>
      <c r="C165" t="s" s="8"/>
      <c r="D165" t="s" s="8"/>
      <c r="E165" t="s" s="8"/>
      <c r="F165" t="s" s="8"/>
      <c r="G165" t="s" s="8"/>
      <c r="H165" t="s" s="8"/>
      <c r="I165" t="s" s="8"/>
      <c r="J165" t="s" s="8"/>
    </row>
    <row r="166" ht="15.75" customHeight="true">
      <c r="A166" t="s" s="15"/>
      <c r="B166" t="s" s="8"/>
      <c r="C166" t="s" s="8"/>
      <c r="D166" t="s" s="8"/>
      <c r="E166" t="s" s="8"/>
      <c r="F166" t="s" s="8"/>
      <c r="G166" t="s" s="8"/>
      <c r="H166" t="s" s="8"/>
      <c r="I166" t="s" s="8"/>
      <c r="J166" t="s" s="8"/>
    </row>
    <row r="167" ht="15.75" customHeight="true">
      <c r="A167" t="s" s="15"/>
      <c r="B167" t="s" s="8"/>
      <c r="C167" t="s" s="8"/>
      <c r="D167" t="s" s="8"/>
      <c r="E167" t="s" s="8"/>
      <c r="F167" t="s" s="8"/>
      <c r="G167" t="s" s="8"/>
      <c r="H167" t="s" s="8"/>
      <c r="I167" t="s" s="8"/>
      <c r="J167" t="s" s="8"/>
    </row>
    <row r="168" ht="15.75" customHeight="true">
      <c r="A168" t="s" s="15"/>
      <c r="B168" t="s" s="8"/>
      <c r="C168" t="s" s="8"/>
      <c r="D168" t="s" s="8"/>
      <c r="E168" t="s" s="8"/>
      <c r="F168" t="s" s="8"/>
      <c r="G168" t="s" s="8"/>
      <c r="H168" t="s" s="8"/>
      <c r="I168" t="s" s="8"/>
      <c r="J168" t="s" s="8"/>
    </row>
    <row r="169" ht="15.75" customHeight="true">
      <c r="A169" t="s" s="15"/>
      <c r="B169" t="s" s="8"/>
      <c r="C169" t="s" s="8"/>
      <c r="D169" t="s" s="8"/>
      <c r="E169" t="s" s="8"/>
      <c r="F169" t="s" s="8"/>
      <c r="G169" t="s" s="8"/>
      <c r="H169" t="s" s="8"/>
      <c r="I169" t="s" s="8"/>
      <c r="J169" t="s" s="8"/>
    </row>
    <row r="170" ht="15.75" customHeight="true">
      <c r="A170" t="s" s="15"/>
      <c r="B170" t="s" s="8"/>
      <c r="C170" t="s" s="8"/>
      <c r="D170" t="s" s="8"/>
      <c r="E170" t="s" s="8"/>
      <c r="F170" t="s" s="8"/>
      <c r="G170" t="s" s="8"/>
      <c r="H170" t="s" s="8"/>
      <c r="I170" t="s" s="8"/>
      <c r="J170" t="s" s="8"/>
    </row>
    <row r="171" ht="15.75" customHeight="true">
      <c r="A171" t="s" s="15"/>
      <c r="B171" t="s" s="8"/>
      <c r="C171" t="s" s="8"/>
      <c r="D171" t="s" s="8"/>
      <c r="E171" t="s" s="8"/>
      <c r="F171" t="s" s="8"/>
      <c r="G171" t="s" s="8"/>
      <c r="H171" t="s" s="8"/>
      <c r="I171" t="s" s="8"/>
      <c r="J171" t="s" s="8"/>
    </row>
    <row r="172" ht="15.75" customHeight="true">
      <c r="A172" t="s" s="15"/>
      <c r="B172" t="s" s="8"/>
      <c r="C172" t="s" s="8"/>
      <c r="D172" t="s" s="8"/>
      <c r="E172" t="s" s="8"/>
      <c r="F172" t="s" s="8"/>
      <c r="G172" t="s" s="8"/>
      <c r="H172" t="s" s="8"/>
      <c r="I172" t="s" s="8"/>
      <c r="J172" t="s" s="8"/>
    </row>
    <row r="173" ht="15.75" customHeight="true">
      <c r="A173" t="s" s="15"/>
      <c r="B173" t="s" s="8"/>
      <c r="C173" t="s" s="8"/>
      <c r="D173" t="s" s="8"/>
      <c r="E173" t="s" s="8"/>
      <c r="F173" t="s" s="8"/>
      <c r="G173" t="s" s="8"/>
      <c r="H173" t="s" s="8"/>
      <c r="I173" t="s" s="8"/>
      <c r="J173" t="s" s="8"/>
    </row>
    <row r="174" ht="15.75" customHeight="true">
      <c r="A174" t="s" s="15"/>
      <c r="B174" t="s" s="8"/>
      <c r="C174" t="s" s="8"/>
      <c r="D174" t="s" s="8"/>
      <c r="E174" t="s" s="8"/>
      <c r="F174" t="s" s="8"/>
      <c r="G174" t="s" s="8"/>
      <c r="H174" t="s" s="8"/>
      <c r="I174" t="s" s="8"/>
      <c r="J174" t="s" s="8"/>
    </row>
    <row r="175" ht="15.75" customHeight="true">
      <c r="A175" t="s" s="15"/>
      <c r="B175" t="s" s="8"/>
      <c r="C175" t="s" s="8"/>
      <c r="D175" t="s" s="8"/>
      <c r="E175" t="s" s="8"/>
      <c r="F175" t="s" s="8"/>
      <c r="G175" t="s" s="8"/>
      <c r="H175" t="s" s="8"/>
      <c r="I175" t="s" s="8"/>
      <c r="J175" t="s" s="8"/>
    </row>
    <row r="176" ht="15.75" customHeight="true">
      <c r="A176" t="s" s="15"/>
      <c r="B176" t="s" s="8"/>
      <c r="C176" t="s" s="8"/>
      <c r="D176" t="s" s="8"/>
      <c r="E176" t="s" s="8"/>
      <c r="F176" t="s" s="8"/>
      <c r="G176" t="s" s="8"/>
      <c r="H176" t="s" s="8"/>
      <c r="I176" t="s" s="8"/>
      <c r="J176" t="s" s="8"/>
    </row>
    <row r="177" ht="15.75" customHeight="true">
      <c r="A177" t="s" s="15"/>
      <c r="B177" t="s" s="8"/>
      <c r="C177" t="s" s="8"/>
      <c r="D177" t="s" s="8"/>
      <c r="E177" t="s" s="8"/>
      <c r="F177" t="s" s="8"/>
      <c r="G177" t="s" s="8"/>
      <c r="H177" t="s" s="8"/>
      <c r="I177" t="s" s="8"/>
      <c r="J177" t="s" s="8"/>
    </row>
    <row r="178" ht="15.75" customHeight="true">
      <c r="A178" t="s" s="15"/>
      <c r="B178" t="s" s="8"/>
      <c r="C178" t="s" s="8"/>
      <c r="D178" t="s" s="8"/>
      <c r="E178" t="s" s="8"/>
      <c r="F178" t="s" s="8"/>
      <c r="G178" t="s" s="8"/>
      <c r="H178" t="s" s="8"/>
      <c r="I178" t="s" s="8"/>
      <c r="J178" t="s" s="8"/>
    </row>
    <row r="179" ht="15.75" customHeight="true">
      <c r="A179" t="s" s="15"/>
      <c r="B179" t="s" s="8"/>
      <c r="C179" t="s" s="8"/>
      <c r="D179" t="s" s="8"/>
      <c r="E179" t="s" s="8"/>
      <c r="F179" t="s" s="8"/>
      <c r="G179" t="s" s="8"/>
      <c r="H179" t="s" s="8"/>
      <c r="I179" t="s" s="8"/>
      <c r="J179" t="s" s="8"/>
    </row>
    <row r="180" ht="15.75" customHeight="true">
      <c r="A180" t="s" s="15"/>
      <c r="B180" t="s" s="8"/>
      <c r="C180" t="s" s="8"/>
      <c r="D180" t="s" s="8"/>
      <c r="E180" t="s" s="8"/>
      <c r="F180" t="s" s="8"/>
      <c r="G180" t="s" s="8"/>
      <c r="H180" t="s" s="8"/>
      <c r="I180" t="s" s="8"/>
      <c r="J180" t="s" s="8"/>
    </row>
    <row r="181" ht="15.75" customHeight="true">
      <c r="A181" t="s" s="15"/>
      <c r="B181" t="s" s="8"/>
      <c r="C181" t="s" s="8"/>
      <c r="D181" t="s" s="8"/>
      <c r="E181" t="s" s="8"/>
      <c r="F181" t="s" s="8"/>
      <c r="G181" t="s" s="8"/>
      <c r="H181" t="s" s="8"/>
      <c r="I181" t="s" s="8"/>
      <c r="J181" t="s" s="8"/>
    </row>
    <row r="182" ht="15.75" customHeight="true">
      <c r="A182" t="s" s="15"/>
      <c r="B182" t="s" s="8"/>
      <c r="C182" t="s" s="8"/>
      <c r="D182" t="s" s="8"/>
      <c r="E182" t="s" s="8"/>
      <c r="F182" t="s" s="8"/>
      <c r="G182" t="s" s="8"/>
      <c r="H182" t="s" s="8"/>
      <c r="I182" t="s" s="8"/>
      <c r="J182" t="s" s="8"/>
    </row>
    <row r="183" ht="15.75" customHeight="true">
      <c r="A183" t="s" s="15"/>
      <c r="B183" t="s" s="8"/>
      <c r="C183" t="s" s="8"/>
      <c r="D183" t="s" s="8"/>
      <c r="E183" t="s" s="8"/>
      <c r="F183" t="s" s="8"/>
      <c r="G183" t="s" s="8"/>
      <c r="H183" t="s" s="8"/>
      <c r="I183" t="s" s="8"/>
      <c r="J183" t="s" s="8"/>
    </row>
    <row r="184" ht="15.75" customHeight="true">
      <c r="A184" t="s" s="15"/>
      <c r="B184" t="s" s="8"/>
      <c r="C184" t="s" s="8"/>
      <c r="D184" t="s" s="8"/>
      <c r="E184" t="s" s="8"/>
      <c r="F184" t="s" s="8"/>
      <c r="G184" t="s" s="8"/>
      <c r="H184" t="s" s="8"/>
      <c r="I184" t="s" s="8"/>
      <c r="J184" t="s" s="8"/>
    </row>
    <row r="185" ht="15.75" customHeight="true">
      <c r="A185" t="s" s="15"/>
      <c r="B185" t="s" s="8"/>
      <c r="C185" t="s" s="8"/>
      <c r="D185" t="s" s="8"/>
      <c r="E185" t="s" s="8"/>
      <c r="F185" t="s" s="8"/>
      <c r="G185" t="s" s="8"/>
      <c r="H185" t="s" s="8"/>
      <c r="I185" t="s" s="8"/>
      <c r="J185" t="s" s="8"/>
    </row>
    <row r="186" ht="15.75" customHeight="true">
      <c r="A186" t="s" s="15"/>
      <c r="B186" t="s" s="8"/>
      <c r="C186" t="s" s="8"/>
      <c r="D186" t="s" s="8"/>
      <c r="E186" t="s" s="8"/>
      <c r="F186" t="s" s="8"/>
      <c r="G186" t="s" s="8"/>
      <c r="H186" t="s" s="8"/>
      <c r="I186" t="s" s="8"/>
      <c r="J186" t="s" s="8"/>
    </row>
    <row r="187" ht="15.75" customHeight="true">
      <c r="A187" t="s" s="15"/>
      <c r="B187" t="s" s="8"/>
      <c r="C187" t="s" s="8"/>
      <c r="D187" t="s" s="8"/>
      <c r="E187" t="s" s="8"/>
      <c r="F187" t="s" s="8"/>
      <c r="G187" t="s" s="8"/>
      <c r="H187" t="s" s="8"/>
      <c r="I187" t="s" s="8"/>
      <c r="J187" t="s" s="8"/>
    </row>
    <row r="188" ht="15.75" customHeight="true">
      <c r="A188" t="s" s="15"/>
      <c r="B188" t="s" s="8"/>
      <c r="C188" t="s" s="8"/>
      <c r="D188" t="s" s="8"/>
      <c r="E188" t="s" s="8"/>
      <c r="F188" t="s" s="8"/>
      <c r="G188" t="s" s="8"/>
      <c r="H188" t="s" s="8"/>
      <c r="I188" t="s" s="8"/>
      <c r="J188" t="s" s="8"/>
    </row>
    <row r="189" ht="15.75" customHeight="true">
      <c r="A189" t="s" s="15"/>
      <c r="B189" t="s" s="8"/>
      <c r="C189" t="s" s="8"/>
      <c r="D189" t="s" s="8"/>
      <c r="E189" t="s" s="8"/>
      <c r="F189" t="s" s="8"/>
      <c r="G189" t="s" s="8"/>
      <c r="H189" t="s" s="8"/>
      <c r="I189" t="s" s="8"/>
      <c r="J189" t="s" s="8"/>
    </row>
    <row r="190" ht="15.75" customHeight="true">
      <c r="A190" t="s" s="15"/>
      <c r="B190" t="s" s="8"/>
      <c r="C190" t="s" s="8"/>
      <c r="D190" t="s" s="8"/>
      <c r="E190" t="s" s="8"/>
      <c r="F190" t="s" s="8"/>
      <c r="G190" t="s" s="8"/>
      <c r="H190" t="s" s="8"/>
      <c r="I190" t="s" s="8"/>
      <c r="J190" t="s" s="8"/>
    </row>
    <row r="191" ht="15.75" customHeight="true">
      <c r="A191" t="s" s="15"/>
      <c r="B191" t="s" s="8"/>
      <c r="C191" t="s" s="8"/>
      <c r="D191" t="s" s="8"/>
      <c r="E191" t="s" s="8"/>
      <c r="F191" t="s" s="8"/>
      <c r="G191" t="s" s="8"/>
      <c r="H191" t="s" s="8"/>
      <c r="I191" t="s" s="8"/>
      <c r="J191" t="s" s="8"/>
    </row>
    <row r="192" ht="15.75" customHeight="true">
      <c r="A192" t="s" s="15"/>
      <c r="B192" t="s" s="8"/>
      <c r="C192" t="s" s="8"/>
      <c r="D192" t="s" s="8"/>
      <c r="E192" t="s" s="8"/>
      <c r="F192" t="s" s="8"/>
      <c r="G192" t="s" s="8"/>
      <c r="H192" t="s" s="8"/>
      <c r="I192" t="s" s="8"/>
      <c r="J192" t="s" s="8"/>
    </row>
    <row r="193" ht="15.75" customHeight="true">
      <c r="A193" t="s" s="15"/>
      <c r="B193" t="s" s="8"/>
      <c r="C193" t="s" s="8"/>
      <c r="D193" t="s" s="8"/>
      <c r="E193" t="s" s="8"/>
      <c r="F193" t="s" s="8"/>
      <c r="G193" t="s" s="8"/>
      <c r="H193" t="s" s="8"/>
      <c r="I193" t="s" s="8"/>
      <c r="J193" t="s" s="8"/>
    </row>
    <row r="194" ht="15.75" customHeight="true">
      <c r="A194" t="s" s="15"/>
      <c r="B194" t="s" s="8"/>
      <c r="C194" t="s" s="8"/>
      <c r="D194" t="s" s="8"/>
      <c r="E194" t="s" s="8"/>
      <c r="F194" t="s" s="8"/>
      <c r="G194" t="s" s="8"/>
      <c r="H194" t="s" s="8"/>
      <c r="I194" t="s" s="8"/>
      <c r="J194" t="s" s="8"/>
    </row>
    <row r="195" ht="15.75" customHeight="true">
      <c r="A195" t="s" s="15"/>
      <c r="B195" t="s" s="8"/>
      <c r="C195" t="s" s="8"/>
      <c r="D195" t="s" s="8"/>
      <c r="E195" t="s" s="8"/>
      <c r="F195" t="s" s="8"/>
      <c r="G195" t="s" s="8"/>
      <c r="H195" t="s" s="8"/>
      <c r="I195" t="s" s="8"/>
      <c r="J195" t="s" s="8"/>
    </row>
    <row r="196" ht="15.75" customHeight="true">
      <c r="A196" t="s" s="15"/>
      <c r="B196" t="s" s="8"/>
      <c r="C196" t="s" s="8"/>
      <c r="D196" t="s" s="8"/>
      <c r="E196" t="s" s="8"/>
      <c r="F196" t="s" s="8"/>
      <c r="G196" t="s" s="8"/>
      <c r="H196" t="s" s="8"/>
      <c r="I196" t="s" s="8"/>
      <c r="J196" t="s" s="8"/>
    </row>
    <row r="197" ht="15.75" customHeight="true">
      <c r="A197" t="s" s="15"/>
      <c r="B197" t="s" s="8"/>
      <c r="C197" t="s" s="8"/>
      <c r="D197" t="s" s="8"/>
      <c r="E197" t="s" s="8"/>
      <c r="F197" t="s" s="8"/>
      <c r="G197" t="s" s="8"/>
      <c r="H197" t="s" s="8"/>
      <c r="I197" t="s" s="8"/>
      <c r="J197" t="s" s="8"/>
    </row>
    <row r="198" ht="15.75" customHeight="true">
      <c r="A198" t="s" s="15"/>
      <c r="B198" t="s" s="8"/>
      <c r="C198" t="s" s="8"/>
      <c r="D198" t="s" s="8"/>
      <c r="E198" t="s" s="8"/>
      <c r="F198" t="s" s="8"/>
      <c r="G198" t="s" s="8"/>
      <c r="H198" t="s" s="8"/>
      <c r="I198" t="s" s="8"/>
      <c r="J198" t="s" s="8"/>
    </row>
    <row r="199" ht="15.75" customHeight="true">
      <c r="A199" t="s" s="15"/>
      <c r="B199" t="s" s="8"/>
      <c r="C199" t="s" s="8"/>
      <c r="D199" t="s" s="8"/>
      <c r="E199" t="s" s="8"/>
      <c r="F199" t="s" s="8"/>
      <c r="G199" t="s" s="8"/>
      <c r="H199" t="s" s="8"/>
      <c r="I199" t="s" s="8"/>
      <c r="J199" t="s" s="8"/>
    </row>
    <row r="200" ht="15.75" customHeight="true">
      <c r="A200" t="s" s="15"/>
      <c r="B200" t="s" s="8"/>
      <c r="C200" t="s" s="8"/>
      <c r="D200" t="s" s="8"/>
      <c r="E200" t="s" s="8"/>
      <c r="F200" t="s" s="8"/>
      <c r="G200" t="s" s="8"/>
      <c r="H200" t="s" s="8"/>
      <c r="I200" t="s" s="8"/>
      <c r="J200" t="s" s="8"/>
    </row>
    <row r="201" ht="15.75" customHeight="true">
      <c r="A201" t="s" s="15"/>
      <c r="B201" t="s" s="8"/>
      <c r="C201" t="s" s="8"/>
      <c r="D201" t="s" s="8"/>
      <c r="E201" t="s" s="8"/>
      <c r="F201" t="s" s="8"/>
      <c r="G201" t="s" s="8"/>
      <c r="H201" t="s" s="8"/>
      <c r="I201" t="s" s="8"/>
      <c r="J201" t="s" s="8"/>
    </row>
    <row r="202" ht="15.75" customHeight="true">
      <c r="A202" t="s" s="15"/>
      <c r="B202" t="s" s="8"/>
      <c r="C202" t="s" s="8"/>
      <c r="D202" t="s" s="8"/>
      <c r="E202" t="s" s="8"/>
      <c r="F202" t="s" s="8"/>
      <c r="G202" t="s" s="8"/>
      <c r="H202" t="s" s="8"/>
      <c r="I202" t="s" s="8"/>
      <c r="J202" t="s" s="8"/>
    </row>
    <row r="203" ht="15.75" customHeight="true">
      <c r="A203" t="s" s="15"/>
      <c r="B203" t="s" s="8"/>
      <c r="C203" t="s" s="8"/>
      <c r="D203" t="s" s="8"/>
      <c r="E203" t="s" s="8"/>
      <c r="F203" t="s" s="8"/>
      <c r="G203" t="s" s="8"/>
      <c r="H203" t="s" s="8"/>
      <c r="I203" t="s" s="8"/>
      <c r="J203" t="s" s="8"/>
    </row>
    <row r="204" ht="15.75" customHeight="true">
      <c r="A204" t="s" s="15"/>
      <c r="B204" t="s" s="8"/>
      <c r="C204" t="s" s="8"/>
      <c r="D204" t="s" s="8"/>
      <c r="E204" t="s" s="8"/>
      <c r="F204" t="s" s="8"/>
      <c r="G204" t="s" s="8"/>
      <c r="H204" t="s" s="8"/>
      <c r="I204" t="s" s="8"/>
      <c r="J204" t="s" s="8"/>
    </row>
    <row r="205" ht="15.75" customHeight="true">
      <c r="A205" t="s" s="15"/>
      <c r="B205" t="s" s="8"/>
      <c r="C205" t="s" s="8"/>
      <c r="D205" t="s" s="8"/>
      <c r="E205" t="s" s="8"/>
      <c r="F205" t="s" s="8"/>
      <c r="G205" t="s" s="8"/>
      <c r="H205" t="s" s="8"/>
      <c r="I205" t="s" s="8"/>
      <c r="J205" t="s" s="8"/>
    </row>
    <row r="206" ht="15.75" customHeight="true">
      <c r="A206" t="s" s="15"/>
      <c r="B206" t="s" s="8"/>
      <c r="C206" t="s" s="8"/>
      <c r="D206" t="s" s="8"/>
      <c r="E206" t="s" s="8"/>
      <c r="F206" t="s" s="8"/>
      <c r="G206" t="s" s="8"/>
      <c r="H206" t="s" s="8"/>
      <c r="I206" t="s" s="8"/>
      <c r="J206" t="s" s="8"/>
    </row>
    <row r="207" ht="15.75" customHeight="true">
      <c r="A207" t="s" s="15"/>
      <c r="B207" t="s" s="8"/>
      <c r="C207" t="s" s="8"/>
      <c r="D207" t="s" s="8"/>
      <c r="E207" t="s" s="8"/>
      <c r="F207" t="s" s="8"/>
      <c r="G207" t="s" s="8"/>
      <c r="H207" t="s" s="8"/>
      <c r="I207" t="s" s="8"/>
      <c r="J207" t="s" s="8"/>
    </row>
    <row r="208" ht="15.75" customHeight="true">
      <c r="A208" t="s" s="15"/>
      <c r="B208" t="s" s="8"/>
      <c r="C208" t="s" s="8"/>
      <c r="D208" t="s" s="8"/>
      <c r="E208" t="s" s="8"/>
      <c r="F208" t="s" s="8"/>
      <c r="G208" t="s" s="8"/>
      <c r="H208" t="s" s="8"/>
      <c r="I208" t="s" s="8"/>
      <c r="J208" t="s" s="8"/>
    </row>
    <row r="209" ht="15.75" customHeight="true">
      <c r="A209" t="s" s="15"/>
      <c r="B209" t="s" s="8"/>
      <c r="C209" t="s" s="8"/>
      <c r="D209" t="s" s="8"/>
      <c r="E209" t="s" s="8"/>
      <c r="F209" t="s" s="8"/>
      <c r="G209" t="s" s="8"/>
      <c r="H209" t="s" s="8"/>
      <c r="I209" t="s" s="8"/>
      <c r="J209" t="s" s="8"/>
    </row>
    <row r="210" ht="15.75" customHeight="true">
      <c r="A210" t="s" s="15"/>
      <c r="B210" t="s" s="8"/>
      <c r="C210" t="s" s="8"/>
      <c r="D210" t="s" s="8"/>
      <c r="E210" t="s" s="8"/>
      <c r="F210" t="s" s="8"/>
      <c r="G210" t="s" s="8"/>
      <c r="H210" t="s" s="8"/>
      <c r="I210" t="s" s="8"/>
      <c r="J210" t="s" s="8"/>
    </row>
    <row r="211" ht="15.75" customHeight="true">
      <c r="A211" t="s" s="15"/>
      <c r="B211" t="s" s="8"/>
      <c r="C211" t="s" s="8"/>
      <c r="D211" t="s" s="8"/>
      <c r="E211" t="s" s="8"/>
      <c r="F211" t="s" s="8"/>
      <c r="G211" t="s" s="8"/>
      <c r="H211" t="s" s="8"/>
      <c r="I211" t="s" s="8"/>
      <c r="J211" t="s" s="8"/>
    </row>
    <row r="212" ht="15.75" customHeight="true">
      <c r="A212" t="s" s="15"/>
      <c r="B212" t="s" s="8"/>
      <c r="C212" t="s" s="8"/>
      <c r="D212" t="s" s="8"/>
      <c r="E212" t="s" s="8"/>
      <c r="F212" t="s" s="8"/>
      <c r="G212" t="s" s="8"/>
      <c r="H212" t="s" s="8"/>
      <c r="I212" t="s" s="8"/>
      <c r="J212" t="s" s="8"/>
    </row>
    <row r="213" ht="15.75" customHeight="true">
      <c r="A213" t="s" s="15"/>
      <c r="B213" t="s" s="8"/>
      <c r="C213" t="s" s="8"/>
      <c r="D213" t="s" s="8"/>
      <c r="E213" t="s" s="8"/>
      <c r="F213" t="s" s="8"/>
      <c r="G213" t="s" s="8"/>
      <c r="H213" t="s" s="8"/>
      <c r="I213" t="s" s="8"/>
      <c r="J213" t="s" s="8"/>
    </row>
    <row r="214" ht="15.75" customHeight="true">
      <c r="A214" t="s" s="15"/>
      <c r="B214" t="s" s="8"/>
      <c r="C214" t="s" s="8"/>
      <c r="D214" t="s" s="8"/>
      <c r="E214" t="s" s="8"/>
      <c r="F214" t="s" s="8"/>
      <c r="G214" t="s" s="8"/>
      <c r="H214" t="s" s="8"/>
      <c r="I214" t="s" s="8"/>
      <c r="J214" t="s" s="8"/>
    </row>
    <row r="215" ht="15.75" customHeight="true">
      <c r="A215" t="s" s="15"/>
      <c r="B215" t="s" s="8"/>
      <c r="C215" t="s" s="8"/>
      <c r="D215" t="s" s="8"/>
      <c r="E215" t="s" s="8"/>
      <c r="F215" t="s" s="8"/>
      <c r="G215" t="s" s="8"/>
      <c r="H215" t="s" s="8"/>
      <c r="I215" t="s" s="8"/>
      <c r="J215" t="s" s="8"/>
    </row>
    <row r="216" ht="15.75" customHeight="true">
      <c r="A216" t="s" s="15"/>
      <c r="B216" t="s" s="8"/>
      <c r="C216" t="s" s="8"/>
      <c r="D216" t="s" s="8"/>
      <c r="E216" t="s" s="8"/>
      <c r="F216" t="s" s="8"/>
      <c r="G216" t="s" s="8"/>
      <c r="H216" t="s" s="8"/>
      <c r="I216" t="s" s="8"/>
      <c r="J216" t="s" s="8"/>
    </row>
    <row r="217" ht="15.75" customHeight="true">
      <c r="A217" t="s" s="15"/>
      <c r="B217" t="s" s="8"/>
      <c r="C217" t="s" s="8"/>
      <c r="D217" t="s" s="8"/>
      <c r="E217" t="s" s="8"/>
      <c r="F217" t="s" s="8"/>
      <c r="G217" t="s" s="8"/>
      <c r="H217" t="s" s="8"/>
      <c r="I217" t="s" s="8"/>
      <c r="J217" t="s" s="8"/>
    </row>
    <row r="218" ht="15.75" customHeight="true">
      <c r="A218" t="s" s="15"/>
      <c r="B218" t="s" s="8"/>
      <c r="C218" t="s" s="8"/>
      <c r="D218" t="s" s="8"/>
      <c r="E218" t="s" s="8"/>
      <c r="F218" t="s" s="8"/>
      <c r="G218" t="s" s="8"/>
      <c r="H218" t="s" s="8"/>
      <c r="I218" t="s" s="8"/>
      <c r="J218" t="s" s="8"/>
    </row>
    <row r="219" ht="15.75" customHeight="true">
      <c r="A219" t="s" s="15"/>
      <c r="B219" t="s" s="8"/>
      <c r="C219" t="s" s="8"/>
      <c r="D219" t="s" s="8"/>
      <c r="E219" t="s" s="8"/>
      <c r="F219" t="s" s="8"/>
      <c r="G219" t="s" s="8"/>
      <c r="H219" t="s" s="8"/>
      <c r="I219" t="s" s="8"/>
      <c r="J219" t="s" s="8"/>
    </row>
    <row r="220" ht="15.75" customHeight="true">
      <c r="A220" t="s" s="15"/>
      <c r="B220" t="s" s="8"/>
      <c r="C220" t="s" s="8"/>
      <c r="D220" t="s" s="8"/>
      <c r="E220" t="s" s="8"/>
      <c r="F220" t="s" s="8"/>
      <c r="G220" t="s" s="8"/>
      <c r="H220" t="s" s="8"/>
      <c r="I220" t="s" s="8"/>
      <c r="J220" t="s" s="8"/>
    </row>
    <row r="221" ht="15.75" customHeight="true">
      <c r="A221" t="s" s="15"/>
      <c r="B221" t="s" s="8"/>
      <c r="C221" t="s" s="8"/>
      <c r="D221" t="s" s="8"/>
      <c r="E221" t="s" s="8"/>
      <c r="F221" t="s" s="8"/>
      <c r="G221" t="s" s="8"/>
      <c r="H221" t="s" s="8"/>
      <c r="I221" t="s" s="8"/>
      <c r="J221" t="s" s="8"/>
    </row>
    <row r="222" ht="15.75" customHeight="true">
      <c r="A222" t="s" s="15"/>
      <c r="B222" t="s" s="8"/>
      <c r="C222" t="s" s="8"/>
      <c r="D222" t="s" s="8"/>
      <c r="E222" t="s" s="8"/>
      <c r="F222" t="s" s="8"/>
      <c r="G222" t="s" s="8"/>
      <c r="H222" t="s" s="8"/>
      <c r="I222" t="s" s="8"/>
      <c r="J222" t="s" s="8"/>
    </row>
    <row r="223" ht="15.75" customHeight="true">
      <c r="A223" t="s" s="15"/>
      <c r="B223" t="s" s="8"/>
      <c r="C223" t="s" s="8"/>
      <c r="D223" t="s" s="8"/>
      <c r="E223" t="s" s="8"/>
      <c r="F223" t="s" s="8"/>
      <c r="G223" t="s" s="8"/>
      <c r="H223" t="s" s="8"/>
      <c r="I223" t="s" s="8"/>
      <c r="J223" t="s" s="8"/>
    </row>
    <row r="224" ht="15.75" customHeight="true">
      <c r="A224" t="s" s="15"/>
      <c r="B224" t="s" s="8"/>
      <c r="C224" t="s" s="8"/>
      <c r="D224" t="s" s="8"/>
      <c r="E224" t="s" s="8"/>
      <c r="F224" t="s" s="8"/>
      <c r="G224" t="s" s="8"/>
      <c r="H224" t="s" s="8"/>
      <c r="I224" t="s" s="8"/>
      <c r="J224" t="s" s="8"/>
    </row>
    <row r="225" ht="15.75" customHeight="true">
      <c r="A225" t="s" s="15"/>
      <c r="B225" t="s" s="8"/>
      <c r="C225" t="s" s="8"/>
      <c r="D225" t="s" s="8"/>
      <c r="E225" t="s" s="8"/>
      <c r="F225" t="s" s="8"/>
      <c r="G225" t="s" s="8"/>
      <c r="H225" t="s" s="8"/>
      <c r="I225" t="s" s="8"/>
      <c r="J225" t="s" s="8"/>
    </row>
    <row r="226" ht="15.75" customHeight="true">
      <c r="A226" t="s" s="15"/>
      <c r="B226" t="s" s="8"/>
      <c r="C226" t="s" s="8"/>
      <c r="D226" t="s" s="8"/>
      <c r="E226" t="s" s="8"/>
      <c r="F226" t="s" s="8"/>
      <c r="G226" t="s" s="8"/>
      <c r="H226" t="s" s="8"/>
      <c r="I226" t="s" s="8"/>
      <c r="J226" t="s" s="8"/>
    </row>
    <row r="227" ht="15.75" customHeight="true">
      <c r="A227" t="s" s="15"/>
      <c r="B227" t="s" s="8"/>
      <c r="C227" t="s" s="8"/>
      <c r="D227" t="s" s="8"/>
      <c r="E227" t="s" s="8"/>
      <c r="F227" t="s" s="8"/>
      <c r="G227" t="s" s="8"/>
      <c r="H227" t="s" s="8"/>
      <c r="I227" t="s" s="8"/>
      <c r="J227" t="s" s="8"/>
    </row>
    <row r="228" ht="15.75" customHeight="true">
      <c r="A228" t="s" s="15"/>
      <c r="B228" t="s" s="8"/>
      <c r="C228" t="s" s="8"/>
      <c r="D228" t="s" s="8"/>
      <c r="E228" t="s" s="8"/>
      <c r="F228" t="s" s="8"/>
      <c r="G228" t="s" s="8"/>
      <c r="H228" t="s" s="8"/>
      <c r="I228" t="s" s="8"/>
      <c r="J228" t="s" s="8"/>
    </row>
    <row r="229" ht="15.75" customHeight="true">
      <c r="A229" t="s" s="15"/>
      <c r="B229" t="s" s="8"/>
      <c r="C229" t="s" s="8"/>
      <c r="D229" t="s" s="8"/>
      <c r="E229" t="s" s="8"/>
      <c r="F229" t="s" s="8"/>
      <c r="G229" t="s" s="8"/>
      <c r="H229" t="s" s="8"/>
      <c r="I229" t="s" s="8"/>
      <c r="J229" t="s" s="8"/>
    </row>
    <row r="230" ht="15.75" customHeight="true">
      <c r="A230" t="s" s="15"/>
      <c r="B230" t="s" s="8"/>
      <c r="C230" t="s" s="8"/>
      <c r="D230" t="s" s="8"/>
      <c r="E230" t="s" s="8"/>
      <c r="F230" t="s" s="8"/>
      <c r="G230" t="s" s="8"/>
      <c r="H230" t="s" s="8"/>
      <c r="I230" t="s" s="8"/>
      <c r="J230" t="s" s="8"/>
    </row>
    <row r="231" ht="15.75" customHeight="true">
      <c r="A231" t="s" s="15"/>
      <c r="B231" t="s" s="8"/>
      <c r="C231" t="s" s="8"/>
      <c r="D231" t="s" s="8"/>
      <c r="E231" t="s" s="8"/>
      <c r="F231" t="s" s="8"/>
      <c r="G231" t="s" s="8"/>
      <c r="H231" t="s" s="8"/>
      <c r="I231" t="s" s="8"/>
      <c r="J231" t="s" s="8"/>
    </row>
    <row r="232" ht="15.75" customHeight="true">
      <c r="A232" t="s" s="15"/>
      <c r="B232" t="s" s="8"/>
      <c r="C232" t="s" s="8"/>
      <c r="D232" t="s" s="8"/>
      <c r="E232" t="s" s="8"/>
      <c r="F232" t="s" s="8"/>
      <c r="G232" t="s" s="8"/>
      <c r="H232" t="s" s="8"/>
      <c r="I232" t="s" s="8"/>
      <c r="J232" t="s" s="8"/>
    </row>
    <row r="233" ht="15.75" customHeight="true">
      <c r="A233" t="s" s="15"/>
      <c r="B233" t="s" s="8"/>
      <c r="C233" t="s" s="8"/>
      <c r="D233" t="s" s="8"/>
      <c r="E233" t="s" s="8"/>
      <c r="F233" t="s" s="8"/>
      <c r="G233" t="s" s="8"/>
      <c r="H233" t="s" s="8"/>
      <c r="I233" t="s" s="8"/>
      <c r="J233" t="s" s="8"/>
    </row>
    <row r="234" ht="15.75" customHeight="true">
      <c r="A234" t="s" s="15"/>
      <c r="B234" t="s" s="8"/>
      <c r="C234" t="s" s="8"/>
      <c r="D234" t="s" s="8"/>
      <c r="E234" t="s" s="8"/>
      <c r="F234" t="s" s="8"/>
      <c r="G234" t="s" s="8"/>
      <c r="H234" t="s" s="8"/>
      <c r="I234" t="s" s="8"/>
      <c r="J234" t="s" s="8"/>
    </row>
    <row r="235" ht="15.75" customHeight="true">
      <c r="A235" t="s" s="15"/>
      <c r="B235" t="s" s="8"/>
      <c r="C235" t="s" s="8"/>
      <c r="D235" t="s" s="8"/>
      <c r="E235" t="s" s="8"/>
      <c r="F235" t="s" s="8"/>
      <c r="G235" t="s" s="8"/>
      <c r="H235" t="s" s="8"/>
      <c r="I235" t="s" s="8"/>
      <c r="J235" t="s" s="8"/>
    </row>
    <row r="236" ht="15.75" customHeight="true">
      <c r="A236" t="s" s="15"/>
      <c r="B236" t="s" s="8"/>
      <c r="C236" t="s" s="8"/>
      <c r="D236" t="s" s="8"/>
      <c r="E236" t="s" s="8"/>
      <c r="F236" t="s" s="8"/>
      <c r="G236" t="s" s="8"/>
      <c r="H236" t="s" s="8"/>
      <c r="I236" t="s" s="8"/>
      <c r="J236" t="s" s="8"/>
    </row>
    <row r="237" ht="15.75" customHeight="true">
      <c r="A237" t="s" s="15"/>
      <c r="B237" t="s" s="8"/>
      <c r="C237" t="s" s="8"/>
      <c r="D237" t="s" s="8"/>
      <c r="E237" t="s" s="8"/>
      <c r="F237" t="s" s="8"/>
      <c r="G237" t="s" s="8"/>
      <c r="H237" t="s" s="8"/>
      <c r="I237" t="s" s="8"/>
      <c r="J237" t="s" s="8"/>
    </row>
    <row r="238" ht="15.75" customHeight="true">
      <c r="A238" t="s" s="15"/>
      <c r="B238" t="s" s="8"/>
      <c r="C238" t="s" s="8"/>
      <c r="D238" t="s" s="8"/>
      <c r="E238" t="s" s="8"/>
      <c r="F238" t="s" s="8"/>
      <c r="G238" t="s" s="8"/>
      <c r="H238" t="s" s="8"/>
      <c r="I238" t="s" s="8"/>
      <c r="J238" t="s" s="8"/>
    </row>
    <row r="239" ht="15.75" customHeight="true">
      <c r="A239" t="s" s="15"/>
      <c r="B239" t="s" s="8"/>
      <c r="C239" t="s" s="8"/>
      <c r="D239" t="s" s="8"/>
      <c r="E239" t="s" s="8"/>
      <c r="F239" t="s" s="8"/>
      <c r="G239" t="s" s="8"/>
      <c r="H239" t="s" s="8"/>
      <c r="I239" t="s" s="8"/>
      <c r="J239" t="s" s="8"/>
    </row>
    <row r="240" ht="15.75" customHeight="true">
      <c r="A240" t="s" s="15"/>
      <c r="B240" t="s" s="8"/>
      <c r="C240" t="s" s="8"/>
      <c r="D240" t="s" s="8"/>
      <c r="E240" t="s" s="8"/>
      <c r="F240" t="s" s="8"/>
      <c r="G240" t="s" s="8"/>
      <c r="H240" t="s" s="8"/>
      <c r="I240" t="s" s="8"/>
      <c r="J240" t="s" s="8"/>
    </row>
    <row r="241" ht="15.75" customHeight="true">
      <c r="A241" t="s" s="15"/>
      <c r="B241" t="s" s="8"/>
      <c r="C241" t="s" s="8"/>
      <c r="D241" t="s" s="8"/>
      <c r="E241" t="s" s="8"/>
      <c r="F241" t="s" s="8"/>
      <c r="G241" t="s" s="8"/>
      <c r="H241" t="s" s="8"/>
      <c r="I241" t="s" s="8"/>
      <c r="J241" t="s" s="8"/>
    </row>
    <row r="242" ht="15.75" customHeight="true">
      <c r="A242" t="s" s="15"/>
      <c r="B242" t="s" s="8"/>
      <c r="C242" t="s" s="8"/>
      <c r="D242" t="s" s="8"/>
      <c r="E242" t="s" s="8"/>
      <c r="F242" t="s" s="8"/>
      <c r="G242" t="s" s="8"/>
      <c r="H242" t="s" s="8"/>
      <c r="I242" t="s" s="8"/>
      <c r="J242" t="s" s="8"/>
    </row>
    <row r="243" ht="15.75" customHeight="true">
      <c r="A243" t="s" s="15"/>
      <c r="B243" t="s" s="8"/>
      <c r="C243" t="s" s="8"/>
      <c r="D243" t="s" s="8"/>
      <c r="E243" t="s" s="8"/>
      <c r="F243" t="s" s="8"/>
      <c r="G243" t="s" s="8"/>
      <c r="H243" t="s" s="8"/>
      <c r="I243" t="s" s="8"/>
      <c r="J243" t="s" s="8"/>
    </row>
    <row r="244" ht="15.75" customHeight="true">
      <c r="A244" t="s" s="15"/>
      <c r="B244" t="s" s="8"/>
      <c r="C244" t="s" s="8"/>
      <c r="D244" t="s" s="8"/>
      <c r="E244" t="s" s="8"/>
      <c r="F244" t="s" s="8"/>
      <c r="G244" t="s" s="8"/>
      <c r="H244" t="s" s="8"/>
      <c r="I244" t="s" s="8"/>
      <c r="J244" t="s" s="8"/>
    </row>
    <row r="245" ht="15.75" customHeight="true">
      <c r="A245" t="s" s="15"/>
      <c r="B245" t="s" s="8"/>
      <c r="C245" t="s" s="8"/>
      <c r="D245" t="s" s="8"/>
      <c r="E245" t="s" s="8"/>
      <c r="F245" t="s" s="8"/>
      <c r="G245" t="s" s="8"/>
      <c r="H245" t="s" s="8"/>
      <c r="I245" t="s" s="8"/>
      <c r="J245" t="s" s="8"/>
    </row>
    <row r="246" ht="15.75" customHeight="true">
      <c r="A246" t="s" s="15"/>
      <c r="B246" t="s" s="8"/>
      <c r="C246" t="s" s="8"/>
      <c r="D246" t="s" s="8"/>
      <c r="E246" t="s" s="8"/>
      <c r="F246" t="s" s="8"/>
      <c r="G246" t="s" s="8"/>
      <c r="H246" t="s" s="8"/>
      <c r="I246" t="s" s="8"/>
      <c r="J246" t="s" s="8"/>
    </row>
    <row r="247" ht="15.75" customHeight="true">
      <c r="A247" t="s" s="15"/>
      <c r="B247" t="s" s="8"/>
      <c r="C247" t="s" s="8"/>
      <c r="D247" t="s" s="8"/>
      <c r="E247" t="s" s="8"/>
      <c r="F247" t="s" s="8"/>
      <c r="G247" t="s" s="8"/>
      <c r="H247" t="s" s="8"/>
      <c r="I247" t="s" s="8"/>
      <c r="J247" t="s" s="8"/>
    </row>
    <row r="248" ht="15.75" customHeight="true">
      <c r="A248" t="s" s="15"/>
      <c r="B248" t="s" s="8"/>
      <c r="C248" t="s" s="8"/>
      <c r="D248" t="s" s="8"/>
      <c r="E248" t="s" s="8"/>
      <c r="F248" t="s" s="8"/>
      <c r="G248" t="s" s="8"/>
      <c r="H248" t="s" s="8"/>
      <c r="I248" t="s" s="8"/>
      <c r="J248" t="s" s="8"/>
    </row>
    <row r="249" ht="15.75" customHeight="true">
      <c r="A249" t="s" s="15"/>
      <c r="B249" t="s" s="8"/>
      <c r="C249" t="s" s="8"/>
      <c r="D249" t="s" s="8"/>
      <c r="E249" t="s" s="8"/>
      <c r="F249" t="s" s="8"/>
      <c r="G249" t="s" s="8"/>
      <c r="H249" t="s" s="8"/>
      <c r="I249" t="s" s="8"/>
      <c r="J249" t="s" s="8"/>
    </row>
    <row r="250" ht="15.75" customHeight="true">
      <c r="A250" t="s" s="15"/>
      <c r="B250" t="s" s="8"/>
      <c r="C250" t="s" s="8"/>
      <c r="D250" t="s" s="8"/>
      <c r="E250" t="s" s="8"/>
      <c r="F250" t="s" s="8"/>
      <c r="G250" t="s" s="8"/>
      <c r="H250" t="s" s="8"/>
      <c r="I250" t="s" s="8"/>
      <c r="J250" t="s" s="8"/>
    </row>
    <row r="251" ht="15.75" customHeight="true">
      <c r="A251" t="s" s="15"/>
      <c r="B251" t="s" s="8"/>
      <c r="C251" t="s" s="8"/>
      <c r="D251" t="s" s="8"/>
      <c r="E251" t="s" s="8"/>
      <c r="F251" t="s" s="8"/>
      <c r="G251" t="s" s="8"/>
      <c r="H251" t="s" s="8"/>
      <c r="I251" t="s" s="8"/>
      <c r="J251" t="s" s="8"/>
    </row>
    <row r="252" ht="15.75" customHeight="true">
      <c r="A252" t="s" s="15"/>
      <c r="B252" t="s" s="8"/>
      <c r="C252" t="s" s="8"/>
      <c r="D252" t="s" s="8"/>
      <c r="E252" t="s" s="8"/>
      <c r="F252" t="s" s="8"/>
      <c r="G252" t="s" s="8"/>
      <c r="H252" t="s" s="8"/>
      <c r="I252" t="s" s="8"/>
      <c r="J252" t="s" s="8"/>
    </row>
    <row r="253" ht="15.75" customHeight="true">
      <c r="A253" t="s" s="15"/>
      <c r="B253" t="s" s="8"/>
      <c r="C253" t="s" s="8"/>
      <c r="D253" t="s" s="8"/>
      <c r="E253" t="s" s="8"/>
      <c r="F253" t="s" s="8"/>
      <c r="G253" t="s" s="8"/>
      <c r="H253" t="s" s="8"/>
      <c r="I253" t="s" s="8"/>
      <c r="J253" t="s" s="8"/>
    </row>
    <row r="254" ht="15.75" customHeight="true">
      <c r="A254" t="s" s="15"/>
      <c r="B254" t="s" s="8"/>
      <c r="C254" t="s" s="8"/>
      <c r="D254" t="s" s="8"/>
      <c r="E254" t="s" s="8"/>
      <c r="F254" t="s" s="8"/>
      <c r="G254" t="s" s="8"/>
      <c r="H254" t="s" s="8"/>
      <c r="I254" t="s" s="8"/>
      <c r="J254" t="s" s="8"/>
    </row>
    <row r="255" ht="15.75" customHeight="true">
      <c r="A255" t="s" s="15"/>
      <c r="B255" t="s" s="8"/>
      <c r="C255" t="s" s="8"/>
      <c r="D255" t="s" s="8"/>
      <c r="E255" t="s" s="8"/>
      <c r="F255" t="s" s="8"/>
      <c r="G255" t="s" s="8"/>
      <c r="H255" t="s" s="8"/>
      <c r="I255" t="s" s="8"/>
      <c r="J255" t="s" s="8"/>
    </row>
    <row r="256" ht="15.75" customHeight="true">
      <c r="A256" t="s" s="15"/>
      <c r="B256" t="s" s="8"/>
      <c r="C256" t="s" s="8"/>
      <c r="D256" t="s" s="8"/>
      <c r="E256" t="s" s="8"/>
      <c r="F256" t="s" s="8"/>
      <c r="G256" t="s" s="8"/>
      <c r="H256" t="s" s="8"/>
      <c r="I256" t="s" s="8"/>
      <c r="J256" t="s" s="8"/>
    </row>
    <row r="257" ht="15.75" customHeight="true">
      <c r="A257" t="s" s="15"/>
      <c r="B257" t="s" s="8"/>
      <c r="C257" t="s" s="8"/>
      <c r="D257" t="s" s="8"/>
      <c r="E257" t="s" s="8"/>
      <c r="F257" t="s" s="8"/>
      <c r="G257" t="s" s="8"/>
      <c r="H257" t="s" s="8"/>
      <c r="I257" t="s" s="8"/>
      <c r="J257" t="s" s="8"/>
    </row>
    <row r="258" ht="15.75" customHeight="true">
      <c r="A258" t="s" s="15"/>
      <c r="B258" t="s" s="8"/>
      <c r="C258" t="s" s="8"/>
      <c r="D258" t="s" s="8"/>
      <c r="E258" t="s" s="8"/>
      <c r="F258" t="s" s="8"/>
      <c r="G258" t="s" s="8"/>
      <c r="H258" t="s" s="8"/>
      <c r="I258" t="s" s="8"/>
      <c r="J258" t="s" s="8"/>
    </row>
    <row r="259" ht="15.75" customHeight="true">
      <c r="A259" t="s" s="15"/>
      <c r="B259" t="s" s="8"/>
      <c r="C259" t="s" s="8"/>
      <c r="D259" t="s" s="8"/>
      <c r="E259" t="s" s="8"/>
      <c r="F259" t="s" s="8"/>
      <c r="G259" t="s" s="8"/>
      <c r="H259" t="s" s="8"/>
      <c r="I259" t="s" s="8"/>
      <c r="J259" t="s" s="8"/>
    </row>
    <row r="260" ht="15.75" customHeight="true">
      <c r="A260" t="s" s="15"/>
      <c r="B260" t="s" s="8"/>
      <c r="C260" t="s" s="8"/>
      <c r="D260" t="s" s="8"/>
      <c r="E260" t="s" s="8"/>
      <c r="F260" t="s" s="8"/>
      <c r="G260" t="s" s="8"/>
      <c r="H260" t="s" s="8"/>
      <c r="I260" t="s" s="8"/>
      <c r="J260" t="s" s="8"/>
    </row>
    <row r="261" ht="15.75" customHeight="true">
      <c r="A261" t="s" s="15"/>
      <c r="B261" t="s" s="8"/>
      <c r="C261" t="s" s="8"/>
      <c r="D261" t="s" s="8"/>
      <c r="E261" t="s" s="8"/>
      <c r="F261" t="s" s="8"/>
      <c r="G261" t="s" s="8"/>
      <c r="H261" t="s" s="8"/>
      <c r="I261" t="s" s="8"/>
      <c r="J261" t="s" s="8"/>
    </row>
    <row r="262" ht="15.75" customHeight="true">
      <c r="A262" t="s" s="15"/>
      <c r="B262" t="s" s="8"/>
      <c r="C262" t="s" s="8"/>
      <c r="D262" t="s" s="8"/>
      <c r="E262" t="s" s="8"/>
      <c r="F262" t="s" s="8"/>
      <c r="G262" t="s" s="8"/>
      <c r="H262" t="s" s="8"/>
      <c r="I262" t="s" s="8"/>
      <c r="J262" t="s" s="8"/>
    </row>
    <row r="263" ht="15.75" customHeight="true">
      <c r="A263" t="s" s="15"/>
      <c r="B263" t="s" s="8"/>
      <c r="C263" t="s" s="8"/>
      <c r="D263" t="s" s="8"/>
      <c r="E263" t="s" s="8"/>
      <c r="F263" t="s" s="8"/>
      <c r="G263" t="s" s="8"/>
      <c r="H263" t="s" s="8"/>
      <c r="I263" t="s" s="8"/>
      <c r="J263" t="s" s="8"/>
    </row>
    <row r="264" ht="15.75" customHeight="true">
      <c r="A264" t="s" s="15"/>
      <c r="B264" t="s" s="8"/>
      <c r="C264" t="s" s="8"/>
      <c r="D264" t="s" s="8"/>
      <c r="E264" t="s" s="8"/>
      <c r="F264" t="s" s="8"/>
      <c r="G264" t="s" s="8"/>
      <c r="H264" t="s" s="8"/>
      <c r="I264" t="s" s="8"/>
      <c r="J264" t="s" s="8"/>
    </row>
    <row r="265" ht="15.75" customHeight="true">
      <c r="A265" t="s" s="15"/>
      <c r="B265" t="s" s="8"/>
      <c r="C265" t="s" s="8"/>
      <c r="D265" t="s" s="8"/>
      <c r="E265" t="s" s="8"/>
      <c r="F265" t="s" s="8"/>
      <c r="G265" t="s" s="8"/>
      <c r="H265" t="s" s="8"/>
      <c r="I265" t="s" s="8"/>
      <c r="J265" t="s" s="8"/>
    </row>
    <row r="266" ht="15.75" customHeight="true">
      <c r="A266" t="s" s="15"/>
      <c r="B266" t="s" s="8"/>
      <c r="C266" t="s" s="8"/>
      <c r="D266" t="s" s="8"/>
      <c r="E266" t="s" s="8"/>
      <c r="F266" t="s" s="8"/>
      <c r="G266" t="s" s="8"/>
      <c r="H266" t="s" s="8"/>
      <c r="I266" t="s" s="8"/>
      <c r="J266" t="s" s="8"/>
    </row>
    <row r="267" ht="15.75" customHeight="true">
      <c r="A267" t="s" s="15"/>
      <c r="B267" t="s" s="8"/>
      <c r="C267" t="s" s="8"/>
      <c r="D267" t="s" s="8"/>
      <c r="E267" t="s" s="8"/>
      <c r="F267" t="s" s="8"/>
      <c r="G267" t="s" s="8"/>
      <c r="H267" t="s" s="8"/>
      <c r="I267" t="s" s="8"/>
      <c r="J267" t="s" s="8"/>
    </row>
    <row r="268" ht="15.75" customHeight="true">
      <c r="A268" t="s" s="15"/>
      <c r="B268" t="s" s="8"/>
      <c r="C268" t="s" s="8"/>
      <c r="D268" t="s" s="8"/>
      <c r="E268" t="s" s="8"/>
      <c r="F268" t="s" s="8"/>
      <c r="G268" t="s" s="8"/>
      <c r="H268" t="s" s="8"/>
      <c r="I268" t="s" s="8"/>
      <c r="J268" t="s" s="8"/>
    </row>
    <row r="269" ht="15.75" customHeight="true">
      <c r="A269" t="s" s="15"/>
      <c r="B269" t="s" s="8"/>
      <c r="C269" t="s" s="8"/>
      <c r="D269" t="s" s="8"/>
      <c r="E269" t="s" s="8"/>
      <c r="F269" t="s" s="8"/>
      <c r="G269" t="s" s="8"/>
      <c r="H269" t="s" s="8"/>
      <c r="I269" t="s" s="8"/>
      <c r="J269" t="s" s="8"/>
    </row>
    <row r="270" ht="15.75" customHeight="true">
      <c r="A270" t="s" s="15"/>
      <c r="B270" t="s" s="8"/>
      <c r="C270" t="s" s="8"/>
      <c r="D270" t="s" s="8"/>
      <c r="E270" t="s" s="8"/>
      <c r="F270" t="s" s="8"/>
      <c r="G270" t="s" s="8"/>
      <c r="H270" t="s" s="8"/>
      <c r="I270" t="s" s="8"/>
      <c r="J270" t="s" s="8"/>
    </row>
    <row r="271" ht="15.75" customHeight="true">
      <c r="A271" t="s" s="15"/>
      <c r="B271" t="s" s="8"/>
      <c r="C271" t="s" s="8"/>
      <c r="D271" t="s" s="8"/>
      <c r="E271" t="s" s="8"/>
      <c r="F271" t="s" s="8"/>
      <c r="G271" t="s" s="8"/>
      <c r="H271" t="s" s="8"/>
      <c r="I271" t="s" s="8"/>
      <c r="J271" t="s" s="8"/>
    </row>
    <row r="272" ht="15.75" customHeight="true">
      <c r="A272" t="s" s="15"/>
      <c r="B272" t="s" s="8"/>
      <c r="C272" t="s" s="8"/>
      <c r="D272" t="s" s="8"/>
      <c r="E272" t="s" s="8"/>
      <c r="F272" t="s" s="8"/>
      <c r="G272" t="s" s="8"/>
      <c r="H272" t="s" s="8"/>
      <c r="I272" t="s" s="8"/>
      <c r="J272" t="s" s="8"/>
    </row>
    <row r="273" ht="15.75" customHeight="true">
      <c r="A273" t="s" s="15"/>
      <c r="B273" t="s" s="8"/>
      <c r="C273" t="s" s="8"/>
      <c r="D273" t="s" s="8"/>
      <c r="E273" t="s" s="8"/>
      <c r="F273" t="s" s="8"/>
      <c r="G273" t="s" s="8"/>
      <c r="H273" t="s" s="8"/>
      <c r="I273" t="s" s="8"/>
      <c r="J273" t="s" s="8"/>
    </row>
    <row r="274" ht="15.75" customHeight="true">
      <c r="A274" t="s" s="15"/>
      <c r="B274" t="s" s="8"/>
      <c r="C274" t="s" s="8"/>
      <c r="D274" t="s" s="8"/>
      <c r="E274" t="s" s="8"/>
      <c r="F274" t="s" s="8"/>
      <c r="G274" t="s" s="8"/>
      <c r="H274" t="s" s="8"/>
      <c r="I274" t="s" s="8"/>
      <c r="J274" t="s" s="8"/>
    </row>
    <row r="275" ht="15.75" customHeight="true">
      <c r="A275" t="s" s="15"/>
      <c r="B275" t="s" s="8"/>
      <c r="C275" t="s" s="8"/>
      <c r="D275" t="s" s="8"/>
      <c r="E275" t="s" s="8"/>
      <c r="F275" t="s" s="8"/>
      <c r="G275" t="s" s="8"/>
      <c r="H275" t="s" s="8"/>
      <c r="I275" t="s" s="8"/>
      <c r="J275" t="s" s="8"/>
    </row>
    <row r="276" ht="15.75" customHeight="true">
      <c r="A276" t="s" s="15"/>
      <c r="B276" t="s" s="8"/>
      <c r="C276" t="s" s="8"/>
      <c r="D276" t="s" s="8"/>
      <c r="E276" t="s" s="8"/>
      <c r="F276" t="s" s="8"/>
      <c r="G276" t="s" s="8"/>
      <c r="H276" t="s" s="8"/>
      <c r="I276" t="s" s="8"/>
      <c r="J276" t="s" s="8"/>
    </row>
    <row r="277" ht="15.75" customHeight="true">
      <c r="A277" t="s" s="15"/>
      <c r="B277" t="s" s="8"/>
      <c r="C277" t="s" s="8"/>
      <c r="D277" t="s" s="8"/>
      <c r="E277" t="s" s="8"/>
      <c r="F277" t="s" s="8"/>
      <c r="G277" t="s" s="8"/>
      <c r="H277" t="s" s="8"/>
      <c r="I277" t="s" s="8"/>
      <c r="J277" t="s" s="8"/>
    </row>
    <row r="278" ht="15.75" customHeight="true">
      <c r="A278" t="s" s="15"/>
      <c r="B278" t="s" s="8"/>
      <c r="C278" t="s" s="8"/>
      <c r="D278" t="s" s="8"/>
      <c r="E278" t="s" s="8"/>
      <c r="F278" t="s" s="8"/>
      <c r="G278" t="s" s="8"/>
      <c r="H278" t="s" s="8"/>
      <c r="I278" t="s" s="8"/>
      <c r="J278" t="s" s="8"/>
    </row>
    <row r="279" ht="15.75" customHeight="true">
      <c r="A279" t="s" s="15"/>
      <c r="B279" t="s" s="8"/>
      <c r="C279" t="s" s="8"/>
      <c r="D279" t="s" s="8"/>
      <c r="E279" t="s" s="8"/>
      <c r="F279" t="s" s="8"/>
      <c r="G279" t="s" s="8"/>
      <c r="H279" t="s" s="8"/>
      <c r="I279" t="s" s="8"/>
      <c r="J279" t="s" s="8"/>
    </row>
    <row r="280" ht="15.75" customHeight="true">
      <c r="A280" t="s" s="15"/>
      <c r="B280" t="s" s="8"/>
      <c r="C280" t="s" s="8"/>
      <c r="D280" t="s" s="8"/>
      <c r="E280" t="s" s="8"/>
      <c r="F280" t="s" s="8"/>
      <c r="G280" t="s" s="8"/>
      <c r="H280" t="s" s="8"/>
      <c r="I280" t="s" s="8"/>
      <c r="J280" t="s" s="8"/>
    </row>
    <row r="281" ht="15.75" customHeight="true">
      <c r="A281" t="s" s="15"/>
      <c r="B281" t="s" s="8"/>
      <c r="C281" t="s" s="8"/>
      <c r="D281" t="s" s="8"/>
      <c r="E281" t="s" s="8"/>
      <c r="F281" t="s" s="8"/>
      <c r="G281" t="s" s="8"/>
      <c r="H281" t="s" s="8"/>
      <c r="I281" t="s" s="8"/>
      <c r="J281" t="s" s="8"/>
    </row>
    <row r="282" ht="15.75" customHeight="true">
      <c r="A282" t="s" s="15"/>
      <c r="B282" t="s" s="8"/>
      <c r="C282" t="s" s="8"/>
      <c r="D282" t="s" s="8"/>
      <c r="E282" t="s" s="8"/>
      <c r="F282" t="s" s="8"/>
      <c r="G282" t="s" s="8"/>
      <c r="H282" t="s" s="8"/>
      <c r="I282" t="s" s="8"/>
      <c r="J282" t="s" s="8"/>
    </row>
    <row r="283" ht="15.75" customHeight="true">
      <c r="A283" t="s" s="15"/>
      <c r="B283" t="s" s="8"/>
      <c r="C283" t="s" s="8"/>
      <c r="D283" t="s" s="8"/>
      <c r="E283" t="s" s="8"/>
      <c r="F283" t="s" s="8"/>
      <c r="G283" t="s" s="8"/>
      <c r="H283" t="s" s="8"/>
      <c r="I283" t="s" s="8"/>
      <c r="J283" t="s" s="8"/>
    </row>
    <row r="284" ht="15.75" customHeight="true">
      <c r="A284" t="s" s="15"/>
      <c r="B284" t="s" s="8"/>
      <c r="C284" t="s" s="8"/>
      <c r="D284" t="s" s="8"/>
      <c r="E284" t="s" s="8"/>
      <c r="F284" t="s" s="8"/>
      <c r="G284" t="s" s="8"/>
      <c r="H284" t="s" s="8"/>
      <c r="I284" t="s" s="8"/>
      <c r="J284" t="s" s="8"/>
    </row>
    <row r="285" ht="15.75" customHeight="true">
      <c r="A285" t="s" s="15"/>
      <c r="B285" t="s" s="8"/>
      <c r="C285" t="s" s="8"/>
      <c r="D285" t="s" s="8"/>
      <c r="E285" t="s" s="8"/>
      <c r="F285" t="s" s="8"/>
      <c r="G285" t="s" s="8"/>
      <c r="H285" t="s" s="8"/>
      <c r="I285" t="s" s="8"/>
      <c r="J285" t="s" s="8"/>
    </row>
    <row r="286" ht="15.75" customHeight="true">
      <c r="A286" t="s" s="15"/>
      <c r="B286" t="s" s="8"/>
      <c r="C286" t="s" s="8"/>
      <c r="D286" t="s" s="8"/>
      <c r="E286" t="s" s="8"/>
      <c r="F286" t="s" s="8"/>
      <c r="G286" t="s" s="8"/>
      <c r="H286" t="s" s="8"/>
      <c r="I286" t="s" s="8"/>
      <c r="J286" t="s" s="8"/>
    </row>
    <row r="287" ht="15.75" customHeight="true">
      <c r="A287" t="s" s="15"/>
      <c r="B287" t="s" s="8"/>
      <c r="C287" t="s" s="8"/>
      <c r="D287" t="s" s="8"/>
      <c r="E287" t="s" s="8"/>
      <c r="F287" t="s" s="8"/>
      <c r="G287" t="s" s="8"/>
      <c r="H287" t="s" s="8"/>
      <c r="I287" t="s" s="8"/>
      <c r="J287" t="s" s="8"/>
    </row>
    <row r="288" ht="15.75" customHeight="true">
      <c r="A288" t="s" s="15"/>
      <c r="B288" t="s" s="8"/>
      <c r="C288" t="s" s="8"/>
      <c r="D288" t="s" s="8"/>
      <c r="E288" t="s" s="8"/>
      <c r="F288" t="s" s="8"/>
      <c r="G288" t="s" s="8"/>
      <c r="H288" t="s" s="8"/>
      <c r="I288" t="s" s="8"/>
      <c r="J288" t="s" s="8"/>
    </row>
    <row r="289" ht="15.75" customHeight="true">
      <c r="A289" t="s" s="15"/>
      <c r="B289" t="s" s="8"/>
      <c r="C289" t="s" s="8"/>
      <c r="D289" t="s" s="8"/>
      <c r="E289" t="s" s="8"/>
      <c r="F289" t="s" s="8"/>
      <c r="G289" t="s" s="8"/>
      <c r="H289" t="s" s="8"/>
      <c r="I289" t="s" s="8"/>
      <c r="J289" t="s" s="8"/>
    </row>
    <row r="290" ht="15.75" customHeight="true">
      <c r="A290" t="s" s="15"/>
      <c r="B290" t="s" s="8"/>
      <c r="C290" t="s" s="8"/>
      <c r="D290" t="s" s="8"/>
      <c r="E290" t="s" s="8"/>
      <c r="F290" t="s" s="8"/>
      <c r="G290" t="s" s="8"/>
      <c r="H290" t="s" s="8"/>
      <c r="I290" t="s" s="8"/>
      <c r="J290" t="s" s="8"/>
    </row>
    <row r="291" ht="15.75" customHeight="true">
      <c r="A291" t="s" s="15"/>
      <c r="B291" t="s" s="8"/>
      <c r="C291" t="s" s="8"/>
      <c r="D291" t="s" s="8"/>
      <c r="E291" t="s" s="8"/>
      <c r="F291" t="s" s="8"/>
      <c r="G291" t="s" s="8"/>
      <c r="H291" t="s" s="8"/>
      <c r="I291" t="s" s="8"/>
      <c r="J291" t="s" s="8"/>
    </row>
    <row r="292" ht="15.75" customHeight="true">
      <c r="A292" t="s" s="15"/>
      <c r="B292" t="s" s="8"/>
      <c r="C292" t="s" s="8"/>
      <c r="D292" t="s" s="8"/>
      <c r="E292" t="s" s="8"/>
      <c r="F292" t="s" s="8"/>
      <c r="G292" t="s" s="8"/>
      <c r="H292" t="s" s="8"/>
      <c r="I292" t="s" s="8"/>
      <c r="J292" t="s" s="8"/>
    </row>
    <row r="293" ht="15.75" customHeight="true">
      <c r="A293" t="s" s="15"/>
      <c r="B293" t="s" s="8"/>
      <c r="C293" t="s" s="8"/>
      <c r="D293" t="s" s="8"/>
      <c r="E293" t="s" s="8"/>
      <c r="F293" t="s" s="8"/>
      <c r="G293" t="s" s="8"/>
      <c r="H293" t="s" s="8"/>
      <c r="I293" t="s" s="8"/>
      <c r="J293" t="s" s="8"/>
    </row>
    <row r="294" ht="15.75" customHeight="true">
      <c r="A294" t="s" s="15"/>
      <c r="B294" t="s" s="8"/>
      <c r="C294" t="s" s="8"/>
      <c r="D294" t="s" s="8"/>
      <c r="E294" t="s" s="8"/>
      <c r="F294" t="s" s="8"/>
      <c r="G294" t="s" s="8"/>
      <c r="H294" t="s" s="8"/>
      <c r="I294" t="s" s="8"/>
      <c r="J294" t="s" s="8"/>
    </row>
    <row r="295" ht="15.75" customHeight="true">
      <c r="A295" t="s" s="15"/>
      <c r="B295" t="s" s="8"/>
      <c r="C295" t="s" s="8"/>
      <c r="D295" t="s" s="8"/>
      <c r="E295" t="s" s="8"/>
      <c r="F295" t="s" s="8"/>
      <c r="G295" t="s" s="8"/>
      <c r="H295" t="s" s="8"/>
      <c r="I295" t="s" s="8"/>
      <c r="J295" t="s" s="8"/>
    </row>
    <row r="296" ht="15.75" customHeight="true">
      <c r="A296" t="s" s="15"/>
      <c r="B296" t="s" s="8"/>
      <c r="C296" t="s" s="8"/>
      <c r="D296" t="s" s="8"/>
      <c r="E296" t="s" s="8"/>
      <c r="F296" t="s" s="8"/>
      <c r="G296" t="s" s="8"/>
      <c r="H296" t="s" s="8"/>
      <c r="I296" t="s" s="8"/>
      <c r="J296" t="s" s="8"/>
    </row>
    <row r="297" ht="15.75" customHeight="true">
      <c r="A297" t="s" s="15"/>
      <c r="B297" t="s" s="8"/>
      <c r="C297" t="s" s="8"/>
      <c r="D297" t="s" s="8"/>
      <c r="E297" t="s" s="8"/>
      <c r="F297" t="s" s="8"/>
      <c r="G297" t="s" s="8"/>
      <c r="H297" t="s" s="8"/>
      <c r="I297" t="s" s="8"/>
      <c r="J297" t="s" s="8"/>
    </row>
    <row r="298" ht="15.75" customHeight="true">
      <c r="A298" t="s" s="15"/>
      <c r="B298" t="s" s="8"/>
      <c r="C298" t="s" s="8"/>
      <c r="D298" t="s" s="8"/>
      <c r="E298" t="s" s="8"/>
      <c r="F298" t="s" s="8"/>
      <c r="G298" t="s" s="8"/>
      <c r="H298" t="s" s="8"/>
      <c r="I298" t="s" s="8"/>
      <c r="J298" t="s" s="8"/>
    </row>
    <row r="299" ht="15.75" customHeight="true">
      <c r="A299" t="s" s="15"/>
      <c r="B299" t="s" s="8"/>
      <c r="C299" t="s" s="8"/>
      <c r="D299" t="s" s="8"/>
      <c r="E299" t="s" s="8"/>
      <c r="F299" t="s" s="8"/>
      <c r="G299" t="s" s="8"/>
      <c r="H299" t="s" s="8"/>
      <c r="I299" t="s" s="8"/>
      <c r="J299" t="s" s="8"/>
    </row>
    <row r="300" ht="15.75" customHeight="true">
      <c r="A300" t="s" s="15"/>
      <c r="B300" t="s" s="8"/>
      <c r="C300" t="s" s="8"/>
      <c r="D300" t="s" s="8"/>
      <c r="E300" t="s" s="8"/>
      <c r="F300" t="s" s="8"/>
      <c r="G300" t="s" s="8"/>
      <c r="H300" t="s" s="8"/>
      <c r="I300" t="s" s="8"/>
      <c r="J300" t="s" s="8"/>
    </row>
    <row r="301" ht="15.75" customHeight="true">
      <c r="A301" t="s" s="15"/>
      <c r="B301" t="s" s="8"/>
      <c r="C301" t="s" s="8"/>
      <c r="D301" t="s" s="8"/>
      <c r="E301" t="s" s="8"/>
      <c r="F301" t="s" s="8"/>
      <c r="G301" t="s" s="8"/>
      <c r="H301" t="s" s="8"/>
      <c r="I301" t="s" s="8"/>
      <c r="J301" t="s" s="8"/>
    </row>
    <row r="302" ht="15.75" customHeight="true">
      <c r="A302" t="s" s="15"/>
      <c r="B302" t="s" s="8"/>
      <c r="C302" t="s" s="8"/>
      <c r="D302" t="s" s="8"/>
      <c r="E302" t="s" s="8"/>
      <c r="F302" t="s" s="8"/>
      <c r="G302" t="s" s="8"/>
      <c r="H302" t="s" s="8"/>
      <c r="I302" t="s" s="8"/>
      <c r="J302" t="s" s="8"/>
    </row>
    <row r="303" ht="15.75" customHeight="true">
      <c r="A303" t="s" s="15"/>
      <c r="B303" t="s" s="8"/>
      <c r="C303" t="s" s="8"/>
      <c r="D303" t="s" s="8"/>
      <c r="E303" t="s" s="8"/>
      <c r="F303" t="s" s="8"/>
      <c r="G303" t="s" s="8"/>
      <c r="H303" t="s" s="8"/>
      <c r="I303" t="s" s="8"/>
      <c r="J303" t="s" s="8"/>
    </row>
    <row r="304" ht="15.75" customHeight="true">
      <c r="A304" t="s" s="15"/>
      <c r="B304" t="s" s="8"/>
      <c r="C304" t="s" s="8"/>
      <c r="D304" t="s" s="8"/>
      <c r="E304" t="s" s="8"/>
      <c r="F304" t="s" s="8"/>
      <c r="G304" t="s" s="8"/>
      <c r="H304" t="s" s="8"/>
      <c r="I304" t="s" s="8"/>
      <c r="J304" t="s" s="8"/>
    </row>
    <row r="305" ht="15.75" customHeight="true">
      <c r="A305" t="s" s="15"/>
      <c r="B305" t="s" s="8"/>
      <c r="C305" t="s" s="8"/>
      <c r="D305" t="s" s="8"/>
      <c r="E305" t="s" s="8"/>
      <c r="F305" t="s" s="8"/>
      <c r="G305" t="s" s="8"/>
      <c r="H305" t="s" s="8"/>
      <c r="I305" t="s" s="8"/>
      <c r="J305" t="s" s="8"/>
    </row>
    <row r="306" ht="15.75" customHeight="true">
      <c r="A306" t="s" s="15"/>
      <c r="B306" t="s" s="8"/>
      <c r="C306" t="s" s="8"/>
      <c r="D306" t="s" s="8"/>
      <c r="E306" t="s" s="8"/>
      <c r="F306" t="s" s="8"/>
      <c r="G306" t="s" s="8"/>
      <c r="H306" t="s" s="8"/>
      <c r="I306" t="s" s="8"/>
      <c r="J306" t="s" s="8"/>
    </row>
    <row r="307" ht="15.75" customHeight="true">
      <c r="A307" t="s" s="15"/>
      <c r="B307" t="s" s="8"/>
      <c r="C307" t="s" s="8"/>
      <c r="D307" t="s" s="8"/>
      <c r="E307" t="s" s="8"/>
      <c r="F307" t="s" s="8"/>
      <c r="G307" t="s" s="8"/>
      <c r="H307" t="s" s="8"/>
      <c r="I307" t="s" s="8"/>
      <c r="J307" t="s" s="8"/>
    </row>
    <row r="308" ht="15.75" customHeight="true">
      <c r="A308" t="s" s="15"/>
      <c r="B308" t="s" s="8"/>
      <c r="C308" t="s" s="8"/>
      <c r="D308" t="s" s="8"/>
      <c r="E308" t="s" s="8"/>
      <c r="F308" t="s" s="8"/>
      <c r="G308" t="s" s="8"/>
      <c r="H308" t="s" s="8"/>
      <c r="I308" t="s" s="8"/>
      <c r="J308" t="s" s="8"/>
    </row>
    <row r="309" ht="15.75" customHeight="true">
      <c r="A309" t="s" s="15"/>
      <c r="B309" t="s" s="8"/>
      <c r="C309" t="s" s="8"/>
      <c r="D309" t="s" s="8"/>
      <c r="E309" t="s" s="8"/>
      <c r="F309" t="s" s="8"/>
      <c r="G309" t="s" s="8"/>
      <c r="H309" t="s" s="8"/>
      <c r="I309" t="s" s="8"/>
      <c r="J309" t="s" s="8"/>
    </row>
    <row r="310" ht="15.75" customHeight="true">
      <c r="A310" t="s" s="15"/>
      <c r="B310" t="s" s="8"/>
      <c r="C310" t="s" s="8"/>
      <c r="D310" t="s" s="8"/>
      <c r="E310" t="s" s="8"/>
      <c r="F310" t="s" s="8"/>
      <c r="G310" t="s" s="8"/>
      <c r="H310" t="s" s="8"/>
      <c r="I310" t="s" s="8"/>
      <c r="J310" t="s" s="8"/>
    </row>
    <row r="311" ht="15.75" customHeight="true">
      <c r="A311" t="s" s="15"/>
      <c r="B311" t="s" s="8"/>
      <c r="C311" t="s" s="8"/>
      <c r="D311" t="s" s="8"/>
      <c r="E311" t="s" s="8"/>
      <c r="F311" t="s" s="8"/>
      <c r="G311" t="s" s="8"/>
      <c r="H311" t="s" s="8"/>
      <c r="I311" t="s" s="8"/>
      <c r="J311" t="s" s="8"/>
    </row>
    <row r="312" ht="15.75" customHeight="true">
      <c r="A312" t="s" s="15"/>
      <c r="B312" t="s" s="8"/>
      <c r="C312" t="s" s="8"/>
      <c r="D312" t="s" s="8"/>
      <c r="E312" t="s" s="8"/>
      <c r="F312" t="s" s="8"/>
      <c r="G312" t="s" s="8"/>
      <c r="H312" t="s" s="8"/>
      <c r="I312" t="s" s="8"/>
      <c r="J312" t="s" s="8"/>
    </row>
    <row r="313" ht="15.75" customHeight="true">
      <c r="A313" t="s" s="15"/>
      <c r="B313" t="s" s="8"/>
      <c r="C313" t="s" s="8"/>
      <c r="D313" t="s" s="8"/>
      <c r="E313" t="s" s="8"/>
      <c r="F313" t="s" s="8"/>
      <c r="G313" t="s" s="8"/>
      <c r="H313" t="s" s="8"/>
      <c r="I313" t="s" s="8"/>
      <c r="J313" t="s" s="8"/>
    </row>
    <row r="314" ht="15.75" customHeight="true">
      <c r="A314" t="s" s="15"/>
      <c r="B314" t="s" s="8"/>
      <c r="C314" t="s" s="8"/>
      <c r="D314" t="s" s="8"/>
      <c r="E314" t="s" s="8"/>
      <c r="F314" t="s" s="8"/>
      <c r="G314" t="s" s="8"/>
      <c r="H314" t="s" s="8"/>
      <c r="I314" t="s" s="8"/>
      <c r="J314" t="s" s="8"/>
    </row>
    <row r="315" ht="15.75" customHeight="true">
      <c r="A315" t="s" s="15"/>
      <c r="B315" t="s" s="8"/>
      <c r="C315" t="s" s="8"/>
      <c r="D315" t="s" s="8"/>
      <c r="E315" t="s" s="8"/>
      <c r="F315" t="s" s="8"/>
      <c r="G315" t="s" s="8"/>
      <c r="H315" t="s" s="8"/>
      <c r="I315" t="s" s="8"/>
      <c r="J315" t="s" s="8"/>
    </row>
    <row r="316" ht="15.75" customHeight="true">
      <c r="A316" t="s" s="15"/>
      <c r="B316" t="s" s="8"/>
      <c r="C316" t="s" s="8"/>
      <c r="D316" t="s" s="8"/>
      <c r="E316" t="s" s="8"/>
      <c r="F316" t="s" s="8"/>
      <c r="G316" t="s" s="8"/>
      <c r="H316" t="s" s="8"/>
      <c r="I316" t="s" s="8"/>
      <c r="J316" t="s" s="8"/>
    </row>
    <row r="317" ht="15.75" customHeight="true">
      <c r="A317" t="s" s="15"/>
      <c r="B317" t="s" s="8"/>
      <c r="C317" t="s" s="8"/>
      <c r="D317" t="s" s="8"/>
      <c r="E317" t="s" s="8"/>
      <c r="F317" t="s" s="8"/>
      <c r="G317" t="s" s="8"/>
      <c r="H317" t="s" s="8"/>
      <c r="I317" t="s" s="8"/>
      <c r="J317" t="s" s="8"/>
    </row>
    <row r="318" ht="15.75" customHeight="true">
      <c r="A318" t="s" s="15"/>
      <c r="B318" t="s" s="8"/>
      <c r="C318" t="s" s="8"/>
      <c r="D318" t="s" s="8"/>
      <c r="E318" t="s" s="8"/>
      <c r="F318" t="s" s="8"/>
      <c r="G318" t="s" s="8"/>
      <c r="H318" t="s" s="8"/>
      <c r="I318" t="s" s="8"/>
      <c r="J318" t="s" s="8"/>
    </row>
    <row r="319" ht="15.75" customHeight="true">
      <c r="A319" t="s" s="15"/>
      <c r="B319" t="s" s="8"/>
      <c r="C319" t="s" s="8"/>
      <c r="D319" t="s" s="8"/>
      <c r="E319" t="s" s="8"/>
      <c r="F319" t="s" s="8"/>
      <c r="G319" t="s" s="8"/>
      <c r="H319" t="s" s="8"/>
      <c r="I319" t="s" s="8"/>
      <c r="J319" t="s" s="8"/>
    </row>
    <row r="320" ht="15.75" customHeight="true">
      <c r="A320" t="s" s="15"/>
      <c r="B320" t="s" s="8"/>
      <c r="C320" t="s" s="8"/>
      <c r="D320" t="s" s="8"/>
      <c r="E320" t="s" s="8"/>
      <c r="F320" t="s" s="8"/>
      <c r="G320" t="s" s="8"/>
      <c r="H320" t="s" s="8"/>
      <c r="I320" t="s" s="8"/>
      <c r="J320" t="s" s="8"/>
    </row>
    <row r="321" ht="15.75" customHeight="true">
      <c r="A321" t="s" s="15"/>
      <c r="B321" t="s" s="8"/>
      <c r="C321" t="s" s="8"/>
      <c r="D321" t="s" s="8"/>
      <c r="E321" t="s" s="8"/>
      <c r="F321" t="s" s="8"/>
      <c r="G321" t="s" s="8"/>
      <c r="H321" t="s" s="8"/>
      <c r="I321" t="s" s="8"/>
      <c r="J321" t="s" s="8"/>
    </row>
    <row r="322" ht="15.75" customHeight="true">
      <c r="A322" t="s" s="15"/>
      <c r="B322" t="s" s="8"/>
      <c r="C322" t="s" s="8"/>
      <c r="D322" t="s" s="8"/>
      <c r="E322" t="s" s="8"/>
      <c r="F322" t="s" s="8"/>
      <c r="G322" t="s" s="8"/>
      <c r="H322" t="s" s="8"/>
      <c r="I322" t="s" s="8"/>
      <c r="J322" t="s" s="8"/>
    </row>
    <row r="323" ht="15.75" customHeight="true">
      <c r="A323" t="s" s="15"/>
      <c r="B323" t="s" s="8"/>
      <c r="C323" t="s" s="8"/>
      <c r="D323" t="s" s="8"/>
      <c r="E323" t="s" s="8"/>
      <c r="F323" t="s" s="8"/>
      <c r="G323" t="s" s="8"/>
      <c r="H323" t="s" s="8"/>
      <c r="I323" t="s" s="8"/>
      <c r="J323" t="s" s="8"/>
    </row>
    <row r="324" ht="15.75" customHeight="true">
      <c r="A324" t="s" s="15"/>
      <c r="B324" t="s" s="8"/>
      <c r="C324" t="s" s="8"/>
      <c r="D324" t="s" s="8"/>
      <c r="E324" t="s" s="8"/>
      <c r="F324" t="s" s="8"/>
      <c r="G324" t="s" s="8"/>
      <c r="H324" t="s" s="8"/>
      <c r="I324" t="s" s="8"/>
      <c r="J324" t="s" s="8"/>
    </row>
    <row r="325" ht="15.75" customHeight="true">
      <c r="A325" t="s" s="15"/>
      <c r="B325" t="s" s="8"/>
      <c r="C325" t="s" s="8"/>
      <c r="D325" t="s" s="8"/>
      <c r="E325" t="s" s="8"/>
      <c r="F325" t="s" s="8"/>
      <c r="G325" t="s" s="8"/>
      <c r="H325" t="s" s="8"/>
      <c r="I325" t="s" s="8"/>
      <c r="J325" t="s" s="8"/>
    </row>
    <row r="326" ht="15.75" customHeight="true">
      <c r="A326" t="s" s="15"/>
      <c r="B326" t="s" s="8"/>
      <c r="C326" t="s" s="8"/>
      <c r="D326" t="s" s="8"/>
      <c r="E326" t="s" s="8"/>
      <c r="F326" t="s" s="8"/>
      <c r="G326" t="s" s="8"/>
      <c r="H326" t="s" s="8"/>
      <c r="I326" t="s" s="8"/>
      <c r="J326" t="s" s="8"/>
    </row>
    <row r="327" ht="15.75" customHeight="true">
      <c r="A327" t="s" s="15"/>
      <c r="B327" t="s" s="8"/>
      <c r="C327" t="s" s="8"/>
      <c r="D327" t="s" s="8"/>
      <c r="E327" t="s" s="8"/>
      <c r="F327" t="s" s="8"/>
      <c r="G327" t="s" s="8"/>
      <c r="H327" t="s" s="8"/>
      <c r="I327" t="s" s="8"/>
      <c r="J327" t="s" s="8"/>
    </row>
    <row r="328" ht="15.75" customHeight="true">
      <c r="A328" t="s" s="15"/>
      <c r="B328" t="s" s="8"/>
      <c r="C328" t="s" s="8"/>
      <c r="D328" t="s" s="8"/>
      <c r="E328" t="s" s="8"/>
      <c r="F328" t="s" s="8"/>
      <c r="G328" t="s" s="8"/>
      <c r="H328" t="s" s="8"/>
      <c r="I328" t="s" s="8"/>
      <c r="J328" t="s" s="8"/>
    </row>
    <row r="329" ht="15.75" customHeight="true">
      <c r="A329" t="s" s="15"/>
      <c r="B329" t="s" s="8"/>
      <c r="C329" t="s" s="8"/>
      <c r="D329" t="s" s="8"/>
      <c r="E329" t="s" s="8"/>
      <c r="F329" t="s" s="8"/>
      <c r="G329" t="s" s="8"/>
      <c r="H329" t="s" s="8"/>
      <c r="I329" t="s" s="8"/>
      <c r="J329" t="s" s="8"/>
    </row>
    <row r="330" ht="15.75" customHeight="true">
      <c r="A330" t="s" s="15"/>
      <c r="B330" t="s" s="8"/>
      <c r="C330" t="s" s="8"/>
      <c r="D330" t="s" s="8"/>
      <c r="E330" t="s" s="8"/>
      <c r="F330" t="s" s="8"/>
      <c r="G330" t="s" s="8"/>
      <c r="H330" t="s" s="8"/>
      <c r="I330" t="s" s="8"/>
      <c r="J330" t="s" s="8"/>
    </row>
    <row r="331" ht="15.75" customHeight="true">
      <c r="A331" t="s" s="15"/>
      <c r="B331" t="s" s="8"/>
      <c r="C331" t="s" s="8"/>
      <c r="D331" t="s" s="8"/>
      <c r="E331" t="s" s="8"/>
      <c r="F331" t="s" s="8"/>
      <c r="G331" t="s" s="8"/>
      <c r="H331" t="s" s="8"/>
      <c r="I331" t="s" s="8"/>
      <c r="J331" t="s" s="8"/>
    </row>
    <row r="332" ht="15.75" customHeight="true">
      <c r="A332" t="s" s="15"/>
      <c r="B332" t="s" s="8"/>
      <c r="C332" t="s" s="8"/>
      <c r="D332" t="s" s="8"/>
      <c r="E332" t="s" s="8"/>
      <c r="F332" t="s" s="8"/>
      <c r="G332" t="s" s="8"/>
      <c r="H332" t="s" s="8"/>
      <c r="I332" t="s" s="8"/>
      <c r="J332" t="s" s="8"/>
    </row>
    <row r="333" ht="15.75" customHeight="true">
      <c r="A333" t="s" s="15"/>
      <c r="B333" t="s" s="8"/>
      <c r="C333" t="s" s="8"/>
      <c r="D333" t="s" s="8"/>
      <c r="E333" t="s" s="8"/>
      <c r="F333" t="s" s="8"/>
      <c r="G333" t="s" s="8"/>
      <c r="H333" t="s" s="8"/>
      <c r="I333" t="s" s="8"/>
      <c r="J333" t="s" s="8"/>
    </row>
    <row r="334" ht="15.75" customHeight="true">
      <c r="A334" t="s" s="15"/>
      <c r="B334" t="s" s="8"/>
      <c r="C334" t="s" s="8"/>
      <c r="D334" t="s" s="8"/>
      <c r="E334" t="s" s="8"/>
      <c r="F334" t="s" s="8"/>
      <c r="G334" t="s" s="8"/>
      <c r="H334" t="s" s="8"/>
      <c r="I334" t="s" s="8"/>
      <c r="J334" t="s" s="8"/>
    </row>
    <row r="335" ht="15.75" customHeight="true">
      <c r="A335" t="s" s="15"/>
      <c r="B335" t="s" s="8"/>
      <c r="C335" t="s" s="8"/>
      <c r="D335" t="s" s="8"/>
      <c r="E335" t="s" s="8"/>
      <c r="F335" t="s" s="8"/>
      <c r="G335" t="s" s="8"/>
      <c r="H335" t="s" s="8"/>
      <c r="I335" t="s" s="8"/>
      <c r="J335" t="s" s="8"/>
    </row>
    <row r="336" ht="15.75" customHeight="true">
      <c r="A336" t="s" s="15"/>
      <c r="B336" t="s" s="8"/>
      <c r="C336" t="s" s="8"/>
      <c r="D336" t="s" s="8"/>
      <c r="E336" t="s" s="8"/>
      <c r="F336" t="s" s="8"/>
      <c r="G336" t="s" s="8"/>
      <c r="H336" t="s" s="8"/>
      <c r="I336" t="s" s="8"/>
      <c r="J336" t="s" s="8"/>
    </row>
    <row r="337" ht="15.75" customHeight="true">
      <c r="A337" t="s" s="15"/>
      <c r="B337" t="s" s="8"/>
      <c r="C337" t="s" s="8"/>
      <c r="D337" t="s" s="8"/>
      <c r="E337" t="s" s="8"/>
      <c r="F337" t="s" s="8"/>
      <c r="G337" t="s" s="8"/>
      <c r="H337" t="s" s="8"/>
      <c r="I337" t="s" s="8"/>
      <c r="J337" t="s" s="8"/>
    </row>
    <row r="338" ht="15.75" customHeight="true">
      <c r="A338" t="s" s="15"/>
      <c r="B338" t="s" s="8"/>
      <c r="C338" t="s" s="8"/>
      <c r="D338" t="s" s="8"/>
      <c r="E338" t="s" s="8"/>
      <c r="F338" t="s" s="8"/>
      <c r="G338" t="s" s="8"/>
      <c r="H338" t="s" s="8"/>
      <c r="I338" t="s" s="8"/>
      <c r="J338" t="s" s="8"/>
    </row>
    <row r="339" ht="15.75" customHeight="true">
      <c r="A339" t="s" s="15"/>
      <c r="B339" t="s" s="8"/>
      <c r="C339" t="s" s="8"/>
      <c r="D339" t="s" s="8"/>
      <c r="E339" t="s" s="8"/>
      <c r="F339" t="s" s="8"/>
      <c r="G339" t="s" s="8"/>
      <c r="H339" t="s" s="8"/>
      <c r="I339" t="s" s="8"/>
      <c r="J339" t="s" s="8"/>
    </row>
    <row r="340" ht="15.75" customHeight="true">
      <c r="A340" t="s" s="15"/>
      <c r="B340" t="s" s="8"/>
      <c r="C340" t="s" s="8"/>
      <c r="D340" t="s" s="8"/>
      <c r="E340" t="s" s="8"/>
      <c r="F340" t="s" s="8"/>
      <c r="G340" t="s" s="8"/>
      <c r="H340" t="s" s="8"/>
      <c r="I340" t="s" s="8"/>
      <c r="J340" t="s" s="8"/>
    </row>
    <row r="341" ht="15.75" customHeight="true">
      <c r="A341" t="s" s="15"/>
      <c r="B341" t="s" s="8"/>
      <c r="C341" t="s" s="8"/>
      <c r="D341" t="s" s="8"/>
      <c r="E341" t="s" s="8"/>
      <c r="F341" t="s" s="8"/>
      <c r="G341" t="s" s="8"/>
      <c r="H341" t="s" s="8"/>
      <c r="I341" t="s" s="8"/>
      <c r="J341" t="s" s="8"/>
    </row>
    <row r="342" ht="15.75" customHeight="true">
      <c r="A342" t="s" s="15"/>
      <c r="B342" t="s" s="8"/>
      <c r="C342" t="s" s="8"/>
      <c r="D342" t="s" s="8"/>
      <c r="E342" t="s" s="8"/>
      <c r="F342" t="s" s="8"/>
      <c r="G342" t="s" s="8"/>
      <c r="H342" t="s" s="8"/>
      <c r="I342" t="s" s="8"/>
      <c r="J342" t="s" s="8"/>
    </row>
    <row r="343" ht="15.75" customHeight="true">
      <c r="A343" t="s" s="15"/>
      <c r="B343" t="s" s="8"/>
      <c r="C343" t="s" s="8"/>
      <c r="D343" t="s" s="8"/>
      <c r="E343" t="s" s="8"/>
      <c r="F343" t="s" s="8"/>
      <c r="G343" t="s" s="8"/>
      <c r="H343" t="s" s="8"/>
      <c r="I343" t="s" s="8"/>
      <c r="J343" t="s" s="8"/>
    </row>
    <row r="344" ht="15.75" customHeight="true">
      <c r="A344" t="s" s="15"/>
      <c r="B344" t="s" s="8"/>
      <c r="C344" t="s" s="8"/>
      <c r="D344" t="s" s="8"/>
      <c r="E344" t="s" s="8"/>
      <c r="F344" t="s" s="8"/>
      <c r="G344" t="s" s="8"/>
      <c r="H344" t="s" s="8"/>
      <c r="I344" t="s" s="8"/>
      <c r="J344" t="s" s="8"/>
    </row>
    <row r="345" ht="15.75" customHeight="true">
      <c r="A345" t="s" s="15"/>
      <c r="B345" t="s" s="8"/>
      <c r="C345" t="s" s="8"/>
      <c r="D345" t="s" s="8"/>
      <c r="E345" t="s" s="8"/>
      <c r="F345" t="s" s="8"/>
      <c r="G345" t="s" s="8"/>
      <c r="H345" t="s" s="8"/>
      <c r="I345" t="s" s="8"/>
      <c r="J345" t="s" s="8"/>
    </row>
    <row r="346" ht="15.75" customHeight="true">
      <c r="A346" t="s" s="15"/>
      <c r="B346" t="s" s="8"/>
      <c r="C346" t="s" s="8"/>
      <c r="D346" t="s" s="8"/>
      <c r="E346" t="s" s="8"/>
      <c r="F346" t="s" s="8"/>
      <c r="G346" t="s" s="8"/>
      <c r="H346" t="s" s="8"/>
      <c r="I346" t="s" s="8"/>
      <c r="J346" t="s" s="8"/>
    </row>
    <row r="347" ht="15.75" customHeight="true">
      <c r="A347" t="s" s="15"/>
      <c r="B347" t="s" s="8"/>
      <c r="C347" t="s" s="8"/>
      <c r="D347" t="s" s="8"/>
      <c r="E347" t="s" s="8"/>
      <c r="F347" t="s" s="8"/>
      <c r="G347" t="s" s="8"/>
      <c r="H347" t="s" s="8"/>
      <c r="I347" t="s" s="8"/>
      <c r="J347" t="s" s="8"/>
    </row>
    <row r="348" ht="15.75" customHeight="true">
      <c r="A348" t="s" s="15"/>
      <c r="B348" t="s" s="8"/>
      <c r="C348" t="s" s="8"/>
      <c r="D348" t="s" s="8"/>
      <c r="E348" t="s" s="8"/>
      <c r="F348" t="s" s="8"/>
      <c r="G348" t="s" s="8"/>
      <c r="H348" t="s" s="8"/>
      <c r="I348" t="s" s="8"/>
      <c r="J348" t="s" s="8"/>
    </row>
    <row r="349" ht="15.75" customHeight="true">
      <c r="A349" t="s" s="15"/>
      <c r="B349" t="s" s="8"/>
      <c r="C349" t="s" s="8"/>
      <c r="D349" t="s" s="8"/>
      <c r="E349" t="s" s="8"/>
      <c r="F349" t="s" s="8"/>
      <c r="G349" t="s" s="8"/>
      <c r="H349" t="s" s="8"/>
      <c r="I349" t="s" s="8"/>
      <c r="J349" t="s" s="8"/>
    </row>
    <row r="350" ht="15.75" customHeight="true">
      <c r="A350" t="s" s="15"/>
      <c r="B350" t="s" s="8"/>
      <c r="C350" t="s" s="8"/>
      <c r="D350" t="s" s="8"/>
      <c r="E350" t="s" s="8"/>
      <c r="F350" t="s" s="8"/>
      <c r="G350" t="s" s="8"/>
      <c r="H350" t="s" s="8"/>
      <c r="I350" t="s" s="8"/>
      <c r="J350" t="s" s="8"/>
    </row>
    <row r="351" ht="15.75" customHeight="true">
      <c r="A351" t="s" s="15"/>
      <c r="B351" t="s" s="8"/>
      <c r="C351" t="s" s="8"/>
      <c r="D351" t="s" s="8"/>
      <c r="E351" t="s" s="8"/>
      <c r="F351" t="s" s="8"/>
      <c r="G351" t="s" s="8"/>
      <c r="H351" t="s" s="8"/>
      <c r="I351" t="s" s="8"/>
      <c r="J351" t="s" s="8"/>
    </row>
    <row r="352" ht="15.75" customHeight="true">
      <c r="A352" t="s" s="15"/>
      <c r="B352" t="s" s="8"/>
      <c r="C352" t="s" s="8"/>
      <c r="D352" t="s" s="8"/>
      <c r="E352" t="s" s="8"/>
      <c r="F352" t="s" s="8"/>
      <c r="G352" t="s" s="8"/>
      <c r="H352" t="s" s="8"/>
      <c r="I352" t="s" s="8"/>
      <c r="J352" t="s" s="8"/>
    </row>
    <row r="353" ht="15.75" customHeight="true">
      <c r="A353" t="s" s="15"/>
      <c r="B353" t="s" s="8"/>
      <c r="C353" t="s" s="8"/>
      <c r="D353" t="s" s="8"/>
      <c r="E353" t="s" s="8"/>
      <c r="F353" t="s" s="8"/>
      <c r="G353" t="s" s="8"/>
      <c r="H353" t="s" s="8"/>
      <c r="I353" t="s" s="8"/>
      <c r="J353" t="s" s="8"/>
    </row>
    <row r="354" ht="15.75" customHeight="true">
      <c r="A354" t="s" s="15"/>
      <c r="B354" t="s" s="8"/>
      <c r="C354" t="s" s="8"/>
      <c r="D354" t="s" s="8"/>
      <c r="E354" t="s" s="8"/>
      <c r="F354" t="s" s="8"/>
      <c r="G354" t="s" s="8"/>
      <c r="H354" t="s" s="8"/>
      <c r="I354" t="s" s="8"/>
      <c r="J354" t="s" s="8"/>
    </row>
    <row r="355" ht="15.75" customHeight="true">
      <c r="A355" t="s" s="15"/>
      <c r="B355" t="s" s="8"/>
      <c r="C355" t="s" s="8"/>
      <c r="D355" t="s" s="8"/>
      <c r="E355" t="s" s="8"/>
      <c r="F355" t="s" s="8"/>
      <c r="G355" t="s" s="8"/>
      <c r="H355" t="s" s="8"/>
      <c r="I355" t="s" s="8"/>
      <c r="J355" t="s" s="8"/>
    </row>
    <row r="356" ht="15.75" customHeight="true">
      <c r="A356" t="s" s="15"/>
      <c r="B356" t="s" s="8"/>
      <c r="C356" t="s" s="8"/>
      <c r="D356" t="s" s="8"/>
      <c r="E356" t="s" s="8"/>
      <c r="F356" t="s" s="8"/>
      <c r="G356" t="s" s="8"/>
      <c r="H356" t="s" s="8"/>
      <c r="I356" t="s" s="8"/>
      <c r="J356" t="s" s="8"/>
    </row>
    <row r="357" ht="15.75" customHeight="true">
      <c r="A357" t="s" s="15"/>
      <c r="B357" t="s" s="8"/>
      <c r="C357" t="s" s="8"/>
      <c r="D357" t="s" s="8"/>
      <c r="E357" t="s" s="8"/>
      <c r="F357" t="s" s="8"/>
      <c r="G357" t="s" s="8"/>
      <c r="H357" t="s" s="8"/>
      <c r="I357" t="s" s="8"/>
      <c r="J357" t="s" s="8"/>
    </row>
    <row r="358" ht="15.75" customHeight="true">
      <c r="A358" t="s" s="15"/>
      <c r="B358" t="s" s="8"/>
      <c r="C358" t="s" s="8"/>
      <c r="D358" t="s" s="8"/>
      <c r="E358" t="s" s="8"/>
      <c r="F358" t="s" s="8"/>
      <c r="G358" t="s" s="8"/>
      <c r="H358" t="s" s="8"/>
      <c r="I358" t="s" s="8"/>
      <c r="J358" t="s" s="8"/>
    </row>
    <row r="359" ht="15.75" customHeight="true">
      <c r="A359" t="s" s="15"/>
      <c r="B359" t="s" s="8"/>
      <c r="C359" t="s" s="8"/>
      <c r="D359" t="s" s="8"/>
      <c r="E359" t="s" s="8"/>
      <c r="F359" t="s" s="8"/>
      <c r="G359" t="s" s="8"/>
      <c r="H359" t="s" s="8"/>
      <c r="I359" t="s" s="8"/>
      <c r="J359" t="s" s="8"/>
    </row>
    <row r="360" ht="15.75" customHeight="true">
      <c r="A360" t="s" s="15"/>
      <c r="B360" t="s" s="8"/>
      <c r="C360" t="s" s="8"/>
      <c r="D360" t="s" s="8"/>
      <c r="E360" t="s" s="8"/>
      <c r="F360" t="s" s="8"/>
      <c r="G360" t="s" s="8"/>
      <c r="H360" t="s" s="8"/>
      <c r="I360" t="s" s="8"/>
      <c r="J360" t="s" s="8"/>
    </row>
    <row r="361" ht="15.75" customHeight="true">
      <c r="A361" t="s" s="15"/>
      <c r="B361" t="s" s="8"/>
      <c r="C361" t="s" s="8"/>
      <c r="D361" t="s" s="8"/>
      <c r="E361" t="s" s="8"/>
      <c r="F361" t="s" s="8"/>
      <c r="G361" t="s" s="8"/>
      <c r="H361" t="s" s="8"/>
      <c r="I361" t="s" s="8"/>
      <c r="J361" t="s" s="8"/>
    </row>
    <row r="362" ht="15.75" customHeight="true">
      <c r="A362" t="s" s="15"/>
      <c r="B362" t="s" s="8"/>
      <c r="C362" t="s" s="8"/>
      <c r="D362" t="s" s="8"/>
      <c r="E362" t="s" s="8"/>
      <c r="F362" t="s" s="8"/>
      <c r="G362" t="s" s="8"/>
      <c r="H362" t="s" s="8"/>
      <c r="I362" t="s" s="8"/>
      <c r="J362" t="s" s="8"/>
    </row>
    <row r="363" ht="15.75" customHeight="true">
      <c r="A363" t="s" s="15"/>
      <c r="B363" t="s" s="8"/>
      <c r="C363" t="s" s="8"/>
      <c r="D363" t="s" s="8"/>
      <c r="E363" t="s" s="8"/>
      <c r="F363" t="s" s="8"/>
      <c r="G363" t="s" s="8"/>
      <c r="H363" t="s" s="8"/>
      <c r="I363" t="s" s="8"/>
      <c r="J363" t="s" s="8"/>
    </row>
    <row r="364" ht="15.75" customHeight="true">
      <c r="A364" t="s" s="15"/>
      <c r="B364" t="s" s="8"/>
      <c r="C364" t="s" s="8"/>
      <c r="D364" t="s" s="8"/>
      <c r="E364" t="s" s="8"/>
      <c r="F364" t="s" s="8"/>
      <c r="G364" t="s" s="8"/>
      <c r="H364" t="s" s="8"/>
      <c r="I364" t="s" s="8"/>
      <c r="J364" t="s" s="8"/>
    </row>
    <row r="365" ht="15.75" customHeight="true">
      <c r="A365" t="s" s="15"/>
      <c r="B365" t="s" s="8"/>
      <c r="C365" t="s" s="8"/>
      <c r="D365" t="s" s="8"/>
      <c r="E365" t="s" s="8"/>
      <c r="F365" t="s" s="8"/>
      <c r="G365" t="s" s="8"/>
      <c r="H365" t="s" s="8"/>
      <c r="I365" t="s" s="8"/>
      <c r="J365" t="s" s="8"/>
    </row>
    <row r="366" ht="15.75" customHeight="true">
      <c r="A366" t="s" s="15"/>
      <c r="B366" t="s" s="8"/>
      <c r="C366" t="s" s="8"/>
      <c r="D366" t="s" s="8"/>
      <c r="E366" t="s" s="8"/>
      <c r="F366" t="s" s="8"/>
      <c r="G366" t="s" s="8"/>
      <c r="H366" t="s" s="8"/>
      <c r="I366" t="s" s="8"/>
      <c r="J366" t="s" s="8"/>
    </row>
    <row r="367" ht="15.75" customHeight="true">
      <c r="A367" t="s" s="15"/>
      <c r="B367" t="s" s="8"/>
      <c r="C367" t="s" s="8"/>
      <c r="D367" t="s" s="8"/>
      <c r="E367" t="s" s="8"/>
      <c r="F367" t="s" s="8"/>
      <c r="G367" t="s" s="8"/>
      <c r="H367" t="s" s="8"/>
      <c r="I367" t="s" s="8"/>
      <c r="J367" t="s" s="8"/>
    </row>
    <row r="368" ht="15.75" customHeight="true">
      <c r="A368" t="s" s="15"/>
      <c r="B368" t="s" s="8"/>
      <c r="C368" t="s" s="8"/>
      <c r="D368" t="s" s="8"/>
      <c r="E368" t="s" s="8"/>
      <c r="F368" t="s" s="8"/>
      <c r="G368" t="s" s="8"/>
      <c r="H368" t="s" s="8"/>
      <c r="I368" t="s" s="8"/>
      <c r="J368" t="s" s="8"/>
    </row>
    <row r="369" ht="15.75" customHeight="true">
      <c r="A369" t="s" s="15"/>
      <c r="B369" t="s" s="8"/>
      <c r="C369" t="s" s="8"/>
      <c r="D369" t="s" s="8"/>
      <c r="E369" t="s" s="8"/>
      <c r="F369" t="s" s="8"/>
      <c r="G369" t="s" s="8"/>
      <c r="H369" t="s" s="8"/>
      <c r="I369" t="s" s="8"/>
      <c r="J369" t="s" s="8"/>
    </row>
    <row r="370" ht="15.75" customHeight="true">
      <c r="A370" t="s" s="15"/>
      <c r="B370" t="s" s="8"/>
      <c r="C370" t="s" s="8"/>
      <c r="D370" t="s" s="8"/>
      <c r="E370" t="s" s="8"/>
      <c r="F370" t="s" s="8"/>
      <c r="G370" t="s" s="8"/>
      <c r="H370" t="s" s="8"/>
      <c r="I370" t="s" s="8"/>
      <c r="J370" t="s" s="8"/>
    </row>
    <row r="371" ht="15.75" customHeight="true">
      <c r="A371" t="s" s="15"/>
      <c r="B371" t="s" s="8"/>
      <c r="C371" t="s" s="8"/>
      <c r="D371" t="s" s="8"/>
      <c r="E371" t="s" s="8"/>
      <c r="F371" t="s" s="8"/>
      <c r="G371" t="s" s="8"/>
      <c r="H371" t="s" s="8"/>
      <c r="I371" t="s" s="8"/>
      <c r="J371" t="s" s="8"/>
    </row>
    <row r="372" ht="15.75" customHeight="true">
      <c r="A372" t="s" s="15"/>
      <c r="B372" t="s" s="8"/>
      <c r="C372" t="s" s="8"/>
      <c r="D372" t="s" s="8"/>
      <c r="E372" t="s" s="8"/>
      <c r="F372" t="s" s="8"/>
      <c r="G372" t="s" s="8"/>
      <c r="H372" t="s" s="8"/>
      <c r="I372" t="s" s="8"/>
      <c r="J372" t="s" s="8"/>
    </row>
    <row r="373" ht="15.75" customHeight="true">
      <c r="A373" t="s" s="15"/>
      <c r="B373" t="s" s="8"/>
      <c r="C373" t="s" s="8"/>
      <c r="D373" t="s" s="8"/>
      <c r="E373" t="s" s="8"/>
      <c r="F373" t="s" s="8"/>
      <c r="G373" t="s" s="8"/>
      <c r="H373" t="s" s="8"/>
      <c r="I373" t="s" s="8"/>
      <c r="J373" t="s" s="8"/>
    </row>
    <row r="374" ht="15.75" customHeight="true">
      <c r="A374" t="s" s="15"/>
      <c r="B374" t="s" s="8"/>
      <c r="C374" t="s" s="8"/>
      <c r="D374" t="s" s="8"/>
      <c r="E374" t="s" s="8"/>
      <c r="F374" t="s" s="8"/>
      <c r="G374" t="s" s="8"/>
      <c r="H374" t="s" s="8"/>
      <c r="I374" t="s" s="8"/>
      <c r="J374" t="s" s="8"/>
    </row>
    <row r="375" ht="15.75" customHeight="true">
      <c r="A375" t="s" s="15"/>
      <c r="B375" t="s" s="8"/>
      <c r="C375" t="s" s="8"/>
      <c r="D375" t="s" s="8"/>
      <c r="E375" t="s" s="8"/>
      <c r="F375" t="s" s="8"/>
      <c r="G375" t="s" s="8"/>
      <c r="H375" t="s" s="8"/>
      <c r="I375" t="s" s="8"/>
      <c r="J375" t="s" s="8"/>
    </row>
    <row r="376" ht="15.75" customHeight="true">
      <c r="A376" t="s" s="15"/>
      <c r="B376" t="s" s="8"/>
      <c r="C376" t="s" s="8"/>
      <c r="D376" t="s" s="8"/>
      <c r="E376" t="s" s="8"/>
      <c r="F376" t="s" s="8"/>
      <c r="G376" t="s" s="8"/>
      <c r="H376" t="s" s="8"/>
      <c r="I376" t="s" s="8"/>
      <c r="J376" t="s" s="8"/>
    </row>
    <row r="377" ht="15.75" customHeight="true">
      <c r="A377" t="s" s="15"/>
      <c r="B377" t="s" s="8"/>
      <c r="C377" t="s" s="8"/>
      <c r="D377" t="s" s="8"/>
      <c r="E377" t="s" s="8"/>
      <c r="F377" t="s" s="8"/>
      <c r="G377" t="s" s="8"/>
      <c r="H377" t="s" s="8"/>
      <c r="I377" t="s" s="8"/>
      <c r="J377" t="s" s="8"/>
    </row>
    <row r="378" ht="15.75" customHeight="true">
      <c r="A378" t="s" s="15"/>
      <c r="B378" t="s" s="8"/>
      <c r="C378" t="s" s="8"/>
      <c r="D378" t="s" s="8"/>
      <c r="E378" t="s" s="8"/>
      <c r="F378" t="s" s="8"/>
      <c r="G378" t="s" s="8"/>
      <c r="H378" t="s" s="8"/>
      <c r="I378" t="s" s="8"/>
      <c r="J378" t="s" s="8"/>
    </row>
    <row r="379" ht="15.75" customHeight="true">
      <c r="A379" t="s" s="15"/>
      <c r="B379" t="s" s="8"/>
      <c r="C379" t="s" s="8"/>
      <c r="D379" t="s" s="8"/>
      <c r="E379" t="s" s="8"/>
      <c r="F379" t="s" s="8"/>
      <c r="G379" t="s" s="8"/>
      <c r="H379" t="s" s="8"/>
      <c r="I379" t="s" s="8"/>
      <c r="J379" t="s" s="8"/>
    </row>
    <row r="380" ht="15.75" customHeight="true">
      <c r="A380" t="s" s="15"/>
      <c r="B380" t="s" s="8"/>
      <c r="C380" t="s" s="8"/>
      <c r="D380" t="s" s="8"/>
      <c r="E380" t="s" s="8"/>
      <c r="F380" t="s" s="8"/>
      <c r="G380" t="s" s="8"/>
      <c r="H380" t="s" s="8"/>
      <c r="I380" t="s" s="8"/>
      <c r="J380" t="s" s="8"/>
    </row>
    <row r="381" ht="15.75" customHeight="true">
      <c r="A381" t="s" s="15"/>
      <c r="B381" t="s" s="8"/>
      <c r="C381" t="s" s="8"/>
      <c r="D381" t="s" s="8"/>
      <c r="E381" t="s" s="8"/>
      <c r="F381" t="s" s="8"/>
      <c r="G381" t="s" s="8"/>
      <c r="H381" t="s" s="8"/>
      <c r="I381" t="s" s="8"/>
      <c r="J381" t="s" s="8"/>
    </row>
    <row r="382" ht="15.75" customHeight="true">
      <c r="A382" t="s" s="15"/>
      <c r="B382" t="s" s="8"/>
      <c r="C382" t="s" s="8"/>
      <c r="D382" t="s" s="8"/>
      <c r="E382" t="s" s="8"/>
      <c r="F382" t="s" s="8"/>
      <c r="G382" t="s" s="8"/>
      <c r="H382" t="s" s="8"/>
      <c r="I382" t="s" s="8"/>
      <c r="J382" t="s" s="8"/>
    </row>
    <row r="383" ht="15.75" customHeight="true">
      <c r="A383" t="s" s="15"/>
      <c r="B383" t="s" s="8"/>
      <c r="C383" t="s" s="8"/>
      <c r="D383" t="s" s="8"/>
      <c r="E383" t="s" s="8"/>
      <c r="F383" t="s" s="8"/>
      <c r="G383" t="s" s="8"/>
      <c r="H383" t="s" s="8"/>
      <c r="I383" t="s" s="8"/>
      <c r="J383" t="s" s="8"/>
    </row>
    <row r="384" ht="15.75" customHeight="true">
      <c r="A384" t="s" s="15"/>
      <c r="B384" t="s" s="8"/>
      <c r="C384" t="s" s="8"/>
      <c r="D384" t="s" s="8"/>
      <c r="E384" t="s" s="8"/>
      <c r="F384" t="s" s="8"/>
      <c r="G384" t="s" s="8"/>
      <c r="H384" t="s" s="8"/>
      <c r="I384" t="s" s="8"/>
      <c r="J384" t="s" s="8"/>
    </row>
    <row r="385" ht="15.75" customHeight="true">
      <c r="A385" t="s" s="15"/>
      <c r="B385" t="s" s="8"/>
      <c r="C385" t="s" s="8"/>
      <c r="D385" t="s" s="8"/>
      <c r="E385" t="s" s="8"/>
      <c r="F385" t="s" s="8"/>
      <c r="G385" t="s" s="8"/>
      <c r="H385" t="s" s="8"/>
      <c r="I385" t="s" s="8"/>
      <c r="J385" t="s" s="8"/>
    </row>
    <row r="386" ht="15.75" customHeight="true">
      <c r="A386" t="s" s="15"/>
      <c r="B386" t="s" s="8"/>
      <c r="C386" t="s" s="8"/>
      <c r="D386" t="s" s="8"/>
      <c r="E386" t="s" s="8"/>
      <c r="F386" t="s" s="8"/>
      <c r="G386" t="s" s="8"/>
      <c r="H386" t="s" s="8"/>
      <c r="I386" t="s" s="8"/>
      <c r="J386" t="s" s="8"/>
    </row>
    <row r="387" ht="15.75" customHeight="true">
      <c r="A387" t="s" s="15"/>
      <c r="B387" t="s" s="8"/>
      <c r="C387" t="s" s="8"/>
      <c r="D387" t="s" s="8"/>
      <c r="E387" t="s" s="8"/>
      <c r="F387" t="s" s="8"/>
      <c r="G387" t="s" s="8"/>
      <c r="H387" t="s" s="8"/>
      <c r="I387" t="s" s="8"/>
      <c r="J387" t="s" s="8"/>
    </row>
    <row r="388" ht="15.75" customHeight="true">
      <c r="A388" t="s" s="15"/>
      <c r="B388" t="s" s="8"/>
      <c r="C388" t="s" s="8"/>
      <c r="D388" t="s" s="8"/>
      <c r="E388" t="s" s="8"/>
      <c r="F388" t="s" s="8"/>
      <c r="G388" t="s" s="8"/>
      <c r="H388" t="s" s="8"/>
      <c r="I388" t="s" s="8"/>
      <c r="J388" t="s" s="8"/>
    </row>
    <row r="389" ht="15.75" customHeight="true">
      <c r="A389" t="s" s="15"/>
      <c r="B389" t="s" s="8"/>
      <c r="C389" t="s" s="8"/>
      <c r="D389" t="s" s="8"/>
      <c r="E389" t="s" s="8"/>
      <c r="F389" t="s" s="8"/>
      <c r="G389" t="s" s="8"/>
      <c r="H389" t="s" s="8"/>
      <c r="I389" t="s" s="8"/>
      <c r="J389" t="s" s="8"/>
    </row>
    <row r="390" ht="15.75" customHeight="true">
      <c r="A390" t="s" s="15"/>
      <c r="B390" t="s" s="8"/>
      <c r="C390" t="s" s="8"/>
      <c r="D390" t="s" s="8"/>
      <c r="E390" t="s" s="8"/>
      <c r="F390" t="s" s="8"/>
      <c r="G390" t="s" s="8"/>
      <c r="H390" t="s" s="8"/>
      <c r="I390" t="s" s="8"/>
      <c r="J390" t="s" s="8"/>
    </row>
    <row r="391" ht="15.75" customHeight="true">
      <c r="A391" t="s" s="15"/>
      <c r="B391" t="s" s="8"/>
      <c r="C391" t="s" s="8"/>
      <c r="D391" t="s" s="8"/>
      <c r="E391" t="s" s="8"/>
      <c r="F391" t="s" s="8"/>
      <c r="G391" t="s" s="8"/>
      <c r="H391" t="s" s="8"/>
      <c r="I391" t="s" s="8"/>
      <c r="J391" t="s" s="8"/>
    </row>
    <row r="392" ht="15.75" customHeight="true">
      <c r="A392" t="s" s="15"/>
      <c r="B392" t="s" s="8"/>
      <c r="C392" t="s" s="8"/>
      <c r="D392" t="s" s="8"/>
      <c r="E392" t="s" s="8"/>
      <c r="F392" t="s" s="8"/>
      <c r="G392" t="s" s="8"/>
      <c r="H392" t="s" s="8"/>
      <c r="I392" t="s" s="8"/>
      <c r="J392" t="s" s="8"/>
    </row>
    <row r="393" ht="15.75" customHeight="true">
      <c r="A393" t="s" s="15"/>
      <c r="B393" t="s" s="8"/>
      <c r="C393" t="s" s="8"/>
      <c r="D393" t="s" s="8"/>
      <c r="E393" t="s" s="8"/>
      <c r="F393" t="s" s="8"/>
      <c r="G393" t="s" s="8"/>
      <c r="H393" t="s" s="8"/>
      <c r="I393" t="s" s="8"/>
      <c r="J393" t="s" s="8"/>
    </row>
    <row r="394" ht="15.75" customHeight="true">
      <c r="A394" t="s" s="15"/>
      <c r="B394" t="s" s="8"/>
      <c r="C394" t="s" s="8"/>
      <c r="D394" t="s" s="8"/>
      <c r="E394" t="s" s="8"/>
      <c r="F394" t="s" s="8"/>
      <c r="G394" t="s" s="8"/>
      <c r="H394" t="s" s="8"/>
      <c r="I394" t="s" s="8"/>
      <c r="J394" t="s" s="8"/>
    </row>
    <row r="395" ht="15.75" customHeight="true">
      <c r="A395" t="s" s="15"/>
      <c r="B395" t="s" s="8"/>
      <c r="C395" t="s" s="8"/>
      <c r="D395" t="s" s="8"/>
      <c r="E395" t="s" s="8"/>
      <c r="F395" t="s" s="8"/>
      <c r="G395" t="s" s="8"/>
      <c r="H395" t="s" s="8"/>
      <c r="I395" t="s" s="8"/>
      <c r="J395" t="s" s="8"/>
    </row>
    <row r="396" ht="15.75" customHeight="true">
      <c r="A396" t="s" s="15"/>
      <c r="B396" t="s" s="8"/>
      <c r="C396" t="s" s="8"/>
      <c r="D396" t="s" s="8"/>
      <c r="E396" t="s" s="8"/>
      <c r="F396" t="s" s="8"/>
      <c r="G396" t="s" s="8"/>
      <c r="H396" t="s" s="8"/>
      <c r="I396" t="s" s="8"/>
      <c r="J396" t="s" s="8"/>
    </row>
    <row r="397" ht="15.75" customHeight="true">
      <c r="A397" t="s" s="15"/>
      <c r="B397" t="s" s="8"/>
      <c r="C397" t="s" s="8"/>
      <c r="D397" t="s" s="8"/>
      <c r="E397" t="s" s="8"/>
      <c r="F397" t="s" s="8"/>
      <c r="G397" t="s" s="8"/>
      <c r="H397" t="s" s="8"/>
      <c r="I397" t="s" s="8"/>
      <c r="J397" t="s" s="8"/>
    </row>
    <row r="398" ht="15.75" customHeight="true">
      <c r="A398" t="s" s="15"/>
      <c r="B398" t="s" s="8"/>
      <c r="C398" t="s" s="8"/>
      <c r="D398" t="s" s="8"/>
      <c r="E398" t="s" s="8"/>
      <c r="F398" t="s" s="8"/>
      <c r="G398" t="s" s="8"/>
      <c r="H398" t="s" s="8"/>
      <c r="I398" t="s" s="8"/>
      <c r="J398" t="s" s="8"/>
    </row>
    <row r="399" ht="15.75" customHeight="true">
      <c r="A399" t="s" s="15"/>
      <c r="B399" t="s" s="8"/>
      <c r="C399" t="s" s="8"/>
      <c r="D399" t="s" s="8"/>
      <c r="E399" t="s" s="8"/>
      <c r="F399" t="s" s="8"/>
      <c r="G399" t="s" s="8"/>
      <c r="H399" t="s" s="8"/>
      <c r="I399" t="s" s="8"/>
      <c r="J399" t="s" s="8"/>
    </row>
    <row r="400" ht="15.75" customHeight="true">
      <c r="A400" t="s" s="15"/>
      <c r="B400" t="s" s="8"/>
      <c r="C400" t="s" s="8"/>
      <c r="D400" t="s" s="8"/>
      <c r="E400" t="s" s="8"/>
      <c r="F400" t="s" s="8"/>
      <c r="G400" t="s" s="8"/>
      <c r="H400" t="s" s="8"/>
      <c r="I400" t="s" s="8"/>
      <c r="J400" t="s" s="8"/>
    </row>
    <row r="401" ht="15.75" customHeight="true">
      <c r="A401" t="s" s="15"/>
      <c r="B401" t="s" s="8"/>
      <c r="C401" t="s" s="8"/>
      <c r="D401" t="s" s="8"/>
      <c r="E401" t="s" s="8"/>
      <c r="F401" t="s" s="8"/>
      <c r="G401" t="s" s="8"/>
      <c r="H401" t="s" s="8"/>
      <c r="I401" t="s" s="8"/>
      <c r="J401" t="s" s="8"/>
    </row>
    <row r="402" ht="15.75" customHeight="true">
      <c r="A402" t="s" s="15"/>
      <c r="B402" t="s" s="8"/>
      <c r="C402" t="s" s="8"/>
      <c r="D402" t="s" s="8"/>
      <c r="E402" t="s" s="8"/>
      <c r="F402" t="s" s="8"/>
      <c r="G402" t="s" s="8"/>
      <c r="H402" t="s" s="8"/>
      <c r="I402" t="s" s="8"/>
      <c r="J402" t="s" s="8"/>
    </row>
    <row r="403" ht="15.75" customHeight="true">
      <c r="A403" t="s" s="15"/>
      <c r="B403" t="s" s="8"/>
      <c r="C403" t="s" s="8"/>
      <c r="D403" t="s" s="8"/>
      <c r="E403" t="s" s="8"/>
      <c r="F403" t="s" s="8"/>
      <c r="G403" t="s" s="8"/>
      <c r="H403" t="s" s="8"/>
      <c r="I403" t="s" s="8"/>
      <c r="J403" t="s" s="8"/>
    </row>
    <row r="404" ht="15.75" customHeight="true">
      <c r="A404" t="s" s="15"/>
      <c r="B404" t="s" s="8"/>
      <c r="C404" t="s" s="8"/>
      <c r="D404" t="s" s="8"/>
      <c r="E404" t="s" s="8"/>
      <c r="F404" t="s" s="8"/>
      <c r="G404" t="s" s="8"/>
      <c r="H404" t="s" s="8"/>
      <c r="I404" t="s" s="8"/>
      <c r="J404" t="s" s="8"/>
    </row>
    <row r="405" ht="15.75" customHeight="true">
      <c r="A405" t="s" s="15"/>
      <c r="B405" t="s" s="8"/>
      <c r="C405" t="s" s="8"/>
      <c r="D405" t="s" s="8"/>
      <c r="E405" t="s" s="8"/>
      <c r="F405" t="s" s="8"/>
      <c r="G405" t="s" s="8"/>
      <c r="H405" t="s" s="8"/>
      <c r="I405" t="s" s="8"/>
      <c r="J405" t="s" s="8"/>
    </row>
    <row r="406" ht="15.75" customHeight="true">
      <c r="A406" t="s" s="15"/>
      <c r="B406" t="s" s="8"/>
      <c r="C406" t="s" s="8"/>
      <c r="D406" t="s" s="8"/>
      <c r="E406" t="s" s="8"/>
      <c r="F406" t="s" s="8"/>
      <c r="G406" t="s" s="8"/>
      <c r="H406" t="s" s="8"/>
      <c r="I406" t="s" s="8"/>
      <c r="J406" t="s" s="8"/>
    </row>
    <row r="407" ht="15.75" customHeight="true">
      <c r="A407" t="s" s="15"/>
      <c r="B407" t="s" s="8"/>
      <c r="C407" t="s" s="8"/>
      <c r="D407" t="s" s="8"/>
      <c r="E407" t="s" s="8"/>
      <c r="F407" t="s" s="8"/>
      <c r="G407" t="s" s="8"/>
      <c r="H407" t="s" s="8"/>
      <c r="I407" t="s" s="8"/>
      <c r="J407" t="s" s="8"/>
    </row>
    <row r="408" ht="15.75" customHeight="true">
      <c r="A408" t="s" s="15"/>
      <c r="B408" t="s" s="8"/>
      <c r="C408" t="s" s="8"/>
      <c r="D408" t="s" s="8"/>
      <c r="E408" t="s" s="8"/>
      <c r="F408" t="s" s="8"/>
      <c r="G408" t="s" s="8"/>
      <c r="H408" t="s" s="8"/>
      <c r="I408" t="s" s="8"/>
      <c r="J408" t="s" s="8"/>
    </row>
    <row r="409" ht="15.75" customHeight="true">
      <c r="A409" t="s" s="15"/>
      <c r="B409" t="s" s="8"/>
      <c r="C409" t="s" s="8"/>
      <c r="D409" t="s" s="8"/>
      <c r="E409" t="s" s="8"/>
      <c r="F409" t="s" s="8"/>
      <c r="G409" t="s" s="8"/>
      <c r="H409" t="s" s="8"/>
      <c r="I409" t="s" s="8"/>
      <c r="J409" t="s" s="8"/>
    </row>
    <row r="410" ht="15.75" customHeight="true">
      <c r="A410" t="s" s="15"/>
      <c r="B410" t="s" s="8"/>
      <c r="C410" t="s" s="8"/>
      <c r="D410" t="s" s="8"/>
      <c r="E410" t="s" s="8"/>
      <c r="F410" t="s" s="8"/>
      <c r="G410" t="s" s="8"/>
      <c r="H410" t="s" s="8"/>
      <c r="I410" t="s" s="8"/>
      <c r="J410" t="s" s="8"/>
    </row>
    <row r="411" ht="15.75" customHeight="true">
      <c r="A411" t="s" s="15"/>
      <c r="B411" t="s" s="8"/>
      <c r="C411" t="s" s="8"/>
      <c r="D411" t="s" s="8"/>
      <c r="E411" t="s" s="8"/>
      <c r="F411" t="s" s="8"/>
      <c r="G411" t="s" s="8"/>
      <c r="H411" t="s" s="8"/>
      <c r="I411" t="s" s="8"/>
      <c r="J411" t="s" s="8"/>
    </row>
    <row r="412" ht="15.75" customHeight="true">
      <c r="A412" t="s" s="15"/>
      <c r="B412" t="s" s="8"/>
      <c r="C412" t="s" s="8"/>
      <c r="D412" t="s" s="8"/>
      <c r="E412" t="s" s="8"/>
      <c r="F412" t="s" s="8"/>
      <c r="G412" t="s" s="8"/>
      <c r="H412" t="s" s="8"/>
      <c r="I412" t="s" s="8"/>
      <c r="J412" t="s" s="8"/>
    </row>
    <row r="413" ht="15.75" customHeight="true">
      <c r="A413" t="s" s="15"/>
      <c r="B413" t="s" s="8"/>
      <c r="C413" t="s" s="8"/>
      <c r="D413" t="s" s="8"/>
      <c r="E413" t="s" s="8"/>
      <c r="F413" t="s" s="8"/>
      <c r="G413" t="s" s="8"/>
      <c r="H413" t="s" s="8"/>
      <c r="I413" t="s" s="8"/>
      <c r="J413" t="s" s="8"/>
    </row>
    <row r="414" ht="15.75" customHeight="true">
      <c r="A414" t="s" s="15"/>
      <c r="B414" t="s" s="8"/>
      <c r="C414" t="s" s="8"/>
      <c r="D414" t="s" s="8"/>
      <c r="E414" t="s" s="8"/>
      <c r="F414" t="s" s="8"/>
      <c r="G414" t="s" s="8"/>
      <c r="H414" t="s" s="8"/>
      <c r="I414" t="s" s="8"/>
      <c r="J414" t="s" s="8"/>
    </row>
    <row r="415" ht="15.75" customHeight="true">
      <c r="A415" t="s" s="15"/>
      <c r="B415" t="s" s="8"/>
      <c r="C415" t="s" s="8"/>
      <c r="D415" t="s" s="8"/>
      <c r="E415" t="s" s="8"/>
      <c r="F415" t="s" s="8"/>
      <c r="G415" t="s" s="8"/>
      <c r="H415" t="s" s="8"/>
      <c r="I415" t="s" s="8"/>
      <c r="J415" t="s" s="8"/>
    </row>
    <row r="416" ht="15.75" customHeight="true">
      <c r="A416" t="s" s="15"/>
      <c r="B416" t="s" s="8"/>
      <c r="C416" t="s" s="8"/>
      <c r="D416" t="s" s="8"/>
      <c r="E416" t="s" s="8"/>
      <c r="F416" t="s" s="8"/>
      <c r="G416" t="s" s="8"/>
      <c r="H416" t="s" s="8"/>
      <c r="I416" t="s" s="8"/>
      <c r="J416" t="s" s="8"/>
    </row>
    <row r="417" ht="15.75" customHeight="true">
      <c r="A417" t="s" s="15"/>
      <c r="B417" t="s" s="8"/>
      <c r="C417" t="s" s="8"/>
      <c r="D417" t="s" s="8"/>
      <c r="E417" t="s" s="8"/>
      <c r="F417" t="s" s="8"/>
      <c r="G417" t="s" s="8"/>
      <c r="H417" t="s" s="8"/>
      <c r="I417" t="s" s="8"/>
      <c r="J417" t="s" s="8"/>
    </row>
    <row r="418" ht="15.75" customHeight="true">
      <c r="A418" t="s" s="15"/>
      <c r="B418" t="s" s="8"/>
      <c r="C418" t="s" s="8"/>
      <c r="D418" t="s" s="8"/>
      <c r="E418" t="s" s="8"/>
      <c r="F418" t="s" s="8"/>
      <c r="G418" t="s" s="8"/>
      <c r="H418" t="s" s="8"/>
      <c r="I418" t="s" s="8"/>
      <c r="J418" t="s" s="8"/>
    </row>
    <row r="419" ht="15.75" customHeight="true">
      <c r="A419" t="s" s="15"/>
      <c r="B419" t="s" s="8"/>
      <c r="C419" t="s" s="8"/>
      <c r="D419" t="s" s="8"/>
      <c r="E419" t="s" s="8"/>
      <c r="F419" t="s" s="8"/>
      <c r="G419" t="s" s="8"/>
      <c r="H419" t="s" s="8"/>
      <c r="I419" t="s" s="8"/>
      <c r="J419" t="s" s="8"/>
    </row>
    <row r="420" ht="15.75" customHeight="true">
      <c r="A420" t="s" s="15"/>
      <c r="B420" t="s" s="8"/>
      <c r="C420" t="s" s="8"/>
      <c r="D420" t="s" s="8"/>
      <c r="E420" t="s" s="8"/>
      <c r="F420" t="s" s="8"/>
      <c r="G420" t="s" s="8"/>
      <c r="H420" t="s" s="8"/>
      <c r="I420" t="s" s="8"/>
      <c r="J420" t="s" s="8"/>
    </row>
    <row r="421" ht="15.75" customHeight="true">
      <c r="A421" t="s" s="15"/>
      <c r="B421" t="s" s="8"/>
      <c r="C421" t="s" s="8"/>
      <c r="D421" t="s" s="8"/>
      <c r="E421" t="s" s="8"/>
      <c r="F421" t="s" s="8"/>
      <c r="G421" t="s" s="8"/>
      <c r="H421" t="s" s="8"/>
      <c r="I421" t="s" s="8"/>
      <c r="J421" t="s" s="8"/>
    </row>
    <row r="422" ht="15.75" customHeight="true">
      <c r="A422" t="s" s="15"/>
      <c r="B422" t="s" s="8"/>
      <c r="C422" t="s" s="8"/>
      <c r="D422" t="s" s="8"/>
      <c r="E422" t="s" s="8"/>
      <c r="F422" t="s" s="8"/>
      <c r="G422" t="s" s="8"/>
      <c r="H422" t="s" s="8"/>
      <c r="I422" t="s" s="8"/>
      <c r="J422" t="s" s="8"/>
    </row>
    <row r="423" ht="15.75" customHeight="true">
      <c r="A423" t="s" s="15"/>
      <c r="B423" t="s" s="8"/>
      <c r="C423" t="s" s="8"/>
      <c r="D423" t="s" s="8"/>
      <c r="E423" t="s" s="8"/>
      <c r="F423" t="s" s="8"/>
      <c r="G423" t="s" s="8"/>
      <c r="H423" t="s" s="8"/>
      <c r="I423" t="s" s="8"/>
      <c r="J423" t="s" s="8"/>
    </row>
    <row r="424" ht="15.75" customHeight="true">
      <c r="A424" t="s" s="15"/>
      <c r="B424" t="s" s="8"/>
      <c r="C424" t="s" s="8"/>
      <c r="D424" t="s" s="8"/>
      <c r="E424" t="s" s="8"/>
      <c r="F424" t="s" s="8"/>
      <c r="G424" t="s" s="8"/>
      <c r="H424" t="s" s="8"/>
      <c r="I424" t="s" s="8"/>
      <c r="J424" t="s" s="8"/>
    </row>
    <row r="425" ht="15.75" customHeight="true">
      <c r="A425" t="s" s="15"/>
      <c r="B425" t="s" s="8"/>
      <c r="C425" t="s" s="8"/>
      <c r="D425" t="s" s="8"/>
      <c r="E425" t="s" s="8"/>
      <c r="F425" t="s" s="8"/>
      <c r="G425" t="s" s="8"/>
      <c r="H425" t="s" s="8"/>
      <c r="I425" t="s" s="8"/>
      <c r="J425" t="s" s="8"/>
    </row>
    <row r="426" ht="15.75" customHeight="true">
      <c r="A426" t="s" s="15"/>
      <c r="B426" t="s" s="8"/>
      <c r="C426" t="s" s="8"/>
      <c r="D426" t="s" s="8"/>
      <c r="E426" t="s" s="8"/>
      <c r="F426" t="s" s="8"/>
      <c r="G426" t="s" s="8"/>
      <c r="H426" t="s" s="8"/>
      <c r="I426" t="s" s="8"/>
      <c r="J426" t="s" s="8"/>
    </row>
    <row r="427" ht="15.75" customHeight="true">
      <c r="A427" t="s" s="15"/>
      <c r="B427" t="s" s="8"/>
      <c r="C427" t="s" s="8"/>
      <c r="D427" t="s" s="8"/>
      <c r="E427" t="s" s="8"/>
      <c r="F427" t="s" s="8"/>
      <c r="G427" t="s" s="8"/>
      <c r="H427" t="s" s="8"/>
      <c r="I427" t="s" s="8"/>
      <c r="J427" t="s" s="8"/>
    </row>
    <row r="428" ht="15.75" customHeight="true">
      <c r="A428" t="s" s="15"/>
      <c r="B428" t="s" s="8"/>
      <c r="C428" t="s" s="8"/>
      <c r="D428" t="s" s="8"/>
      <c r="E428" t="s" s="8"/>
      <c r="F428" t="s" s="8"/>
      <c r="G428" t="s" s="8"/>
      <c r="H428" t="s" s="8"/>
      <c r="I428" t="s" s="8"/>
      <c r="J428" t="s" s="8"/>
    </row>
    <row r="429" ht="15.75" customHeight="true">
      <c r="A429" t="s" s="15"/>
      <c r="B429" t="s" s="8"/>
      <c r="C429" t="s" s="8"/>
      <c r="D429" t="s" s="8"/>
      <c r="E429" t="s" s="8"/>
      <c r="F429" t="s" s="8"/>
      <c r="G429" t="s" s="8"/>
      <c r="H429" t="s" s="8"/>
      <c r="I429" t="s" s="8"/>
      <c r="J429" t="s" s="8"/>
    </row>
    <row r="430" ht="15.75" customHeight="true">
      <c r="A430" t="s" s="15"/>
      <c r="B430" t="s" s="8"/>
      <c r="C430" t="s" s="8"/>
      <c r="D430" t="s" s="8"/>
      <c r="E430" t="s" s="8"/>
      <c r="F430" t="s" s="8"/>
      <c r="G430" t="s" s="8"/>
      <c r="H430" t="s" s="8"/>
      <c r="I430" t="s" s="8"/>
      <c r="J430" t="s" s="8"/>
    </row>
    <row r="431" ht="15.75" customHeight="true">
      <c r="A431" t="s" s="15"/>
      <c r="B431" t="s" s="8"/>
      <c r="C431" t="s" s="8"/>
      <c r="D431" t="s" s="8"/>
      <c r="E431" t="s" s="8"/>
      <c r="F431" t="s" s="8"/>
      <c r="G431" t="s" s="8"/>
      <c r="H431" t="s" s="8"/>
      <c r="I431" t="s" s="8"/>
      <c r="J431" t="s" s="8"/>
    </row>
    <row r="432" ht="15.75" customHeight="true">
      <c r="A432" t="s" s="15"/>
      <c r="B432" t="s" s="8"/>
      <c r="C432" t="s" s="8"/>
      <c r="D432" t="s" s="8"/>
      <c r="E432" t="s" s="8"/>
      <c r="F432" t="s" s="8"/>
      <c r="G432" t="s" s="8"/>
      <c r="H432" t="s" s="8"/>
      <c r="I432" t="s" s="8"/>
      <c r="J432" t="s" s="8"/>
    </row>
    <row r="433" ht="15.75" customHeight="true">
      <c r="A433" t="s" s="15"/>
      <c r="B433" t="s" s="8"/>
      <c r="C433" t="s" s="8"/>
      <c r="D433" t="s" s="8"/>
      <c r="E433" t="s" s="8"/>
      <c r="F433" t="s" s="8"/>
      <c r="G433" t="s" s="8"/>
      <c r="H433" t="s" s="8"/>
      <c r="I433" t="s" s="8"/>
      <c r="J433" t="s" s="8"/>
    </row>
    <row r="434" ht="15.75" customHeight="true">
      <c r="A434" t="s" s="15"/>
      <c r="B434" t="s" s="8"/>
      <c r="C434" t="s" s="8"/>
      <c r="D434" t="s" s="8"/>
      <c r="E434" t="s" s="8"/>
      <c r="F434" t="s" s="8"/>
      <c r="G434" t="s" s="8"/>
      <c r="H434" t="s" s="8"/>
      <c r="I434" t="s" s="8"/>
      <c r="J434" t="s" s="8"/>
    </row>
    <row r="435" ht="15.75" customHeight="true">
      <c r="A435" t="s" s="15"/>
      <c r="B435" t="s" s="8"/>
      <c r="C435" t="s" s="8"/>
      <c r="D435" t="s" s="8"/>
      <c r="E435" t="s" s="8"/>
      <c r="F435" t="s" s="8"/>
      <c r="G435" t="s" s="8"/>
      <c r="H435" t="s" s="8"/>
      <c r="I435" t="s" s="8"/>
      <c r="J435" t="s" s="8"/>
    </row>
    <row r="436" ht="15.75" customHeight="true">
      <c r="A436" t="s" s="15"/>
      <c r="B436" t="s" s="8"/>
      <c r="C436" t="s" s="8"/>
      <c r="D436" t="s" s="8"/>
      <c r="E436" t="s" s="8"/>
      <c r="F436" t="s" s="8"/>
      <c r="G436" t="s" s="8"/>
      <c r="H436" t="s" s="8"/>
      <c r="I436" t="s" s="8"/>
      <c r="J436" t="s" s="8"/>
    </row>
    <row r="437" ht="15.75" customHeight="true">
      <c r="A437" t="s" s="15"/>
      <c r="B437" t="s" s="8"/>
      <c r="C437" t="s" s="8"/>
      <c r="D437" t="s" s="8"/>
      <c r="E437" t="s" s="8"/>
      <c r="F437" t="s" s="8"/>
      <c r="G437" t="s" s="8"/>
      <c r="H437" t="s" s="8"/>
      <c r="I437" t="s" s="8"/>
      <c r="J437" t="s" s="8"/>
    </row>
    <row r="438" ht="15.75" customHeight="true">
      <c r="A438" t="s" s="15"/>
      <c r="B438" t="s" s="8"/>
      <c r="C438" t="s" s="8"/>
      <c r="D438" t="s" s="8"/>
      <c r="E438" t="s" s="8"/>
      <c r="F438" t="s" s="8"/>
      <c r="G438" t="s" s="8"/>
      <c r="H438" t="s" s="8"/>
      <c r="I438" t="s" s="8"/>
      <c r="J438" t="s" s="8"/>
    </row>
    <row r="439" ht="15.75" customHeight="true">
      <c r="A439" t="s" s="15"/>
      <c r="B439" t="s" s="8"/>
      <c r="C439" t="s" s="8"/>
      <c r="D439" t="s" s="8"/>
      <c r="E439" t="s" s="8"/>
      <c r="F439" t="s" s="8"/>
      <c r="G439" t="s" s="8"/>
      <c r="H439" t="s" s="8"/>
      <c r="I439" t="s" s="8"/>
      <c r="J439" t="s" s="8"/>
    </row>
    <row r="440" ht="15.75" customHeight="true">
      <c r="A440" t="s" s="15"/>
      <c r="B440" t="s" s="8"/>
      <c r="C440" t="s" s="8"/>
      <c r="D440" t="s" s="8"/>
      <c r="E440" t="s" s="8"/>
      <c r="F440" t="s" s="8"/>
      <c r="G440" t="s" s="8"/>
      <c r="H440" t="s" s="8"/>
      <c r="I440" t="s" s="8"/>
      <c r="J440" t="s" s="8"/>
    </row>
    <row r="441" ht="15.75" customHeight="true">
      <c r="A441" t="s" s="15"/>
      <c r="B441" t="s" s="8"/>
      <c r="C441" t="s" s="8"/>
      <c r="D441" t="s" s="8"/>
      <c r="E441" t="s" s="8"/>
      <c r="F441" t="s" s="8"/>
      <c r="G441" t="s" s="8"/>
      <c r="H441" t="s" s="8"/>
      <c r="I441" t="s" s="8"/>
      <c r="J441" t="s" s="8"/>
    </row>
    <row r="442" ht="15.75" customHeight="true">
      <c r="A442" t="s" s="15"/>
      <c r="B442" t="s" s="8"/>
      <c r="C442" t="s" s="8"/>
      <c r="D442" t="s" s="8"/>
      <c r="E442" t="s" s="8"/>
      <c r="F442" t="s" s="8"/>
      <c r="G442" t="s" s="8"/>
      <c r="H442" t="s" s="8"/>
      <c r="I442" t="s" s="8"/>
      <c r="J442" t="s" s="8"/>
    </row>
    <row r="443" ht="15.75" customHeight="true">
      <c r="A443" t="s" s="15"/>
      <c r="B443" t="s" s="8"/>
      <c r="C443" t="s" s="8"/>
      <c r="D443" t="s" s="8"/>
      <c r="E443" t="s" s="8"/>
      <c r="F443" t="s" s="8"/>
      <c r="G443" t="s" s="8"/>
      <c r="H443" t="s" s="8"/>
      <c r="I443" t="s" s="8"/>
      <c r="J443" t="s" s="8"/>
    </row>
    <row r="444" ht="15.75" customHeight="true">
      <c r="A444" t="s" s="15"/>
      <c r="B444" t="s" s="8"/>
      <c r="C444" t="s" s="8"/>
      <c r="D444" t="s" s="8"/>
      <c r="E444" t="s" s="8"/>
      <c r="F444" t="s" s="8"/>
      <c r="G444" t="s" s="8"/>
      <c r="H444" t="s" s="8"/>
      <c r="I444" t="s" s="8"/>
      <c r="J444" t="s" s="8"/>
    </row>
    <row r="445" ht="15.75" customHeight="true">
      <c r="A445" t="s" s="15"/>
      <c r="B445" t="s" s="8"/>
      <c r="C445" t="s" s="8"/>
      <c r="D445" t="s" s="8"/>
      <c r="E445" t="s" s="8"/>
      <c r="F445" t="s" s="8"/>
      <c r="G445" t="s" s="8"/>
      <c r="H445" t="s" s="8"/>
      <c r="I445" t="s" s="8"/>
      <c r="J445" t="s" s="8"/>
    </row>
    <row r="446" ht="15.75" customHeight="true">
      <c r="A446" t="s" s="15"/>
      <c r="B446" t="s" s="8"/>
      <c r="C446" t="s" s="8"/>
      <c r="D446" t="s" s="8"/>
      <c r="E446" t="s" s="8"/>
      <c r="F446" t="s" s="8"/>
      <c r="G446" t="s" s="8"/>
      <c r="H446" t="s" s="8"/>
      <c r="I446" t="s" s="8"/>
      <c r="J446" t="s" s="8"/>
    </row>
    <row r="447" ht="15.75" customHeight="true">
      <c r="A447" t="s" s="15"/>
      <c r="B447" t="s" s="8"/>
      <c r="C447" t="s" s="8"/>
      <c r="D447" t="s" s="8"/>
      <c r="E447" t="s" s="8"/>
      <c r="F447" t="s" s="8"/>
      <c r="G447" t="s" s="8"/>
      <c r="H447" t="s" s="8"/>
      <c r="I447" t="s" s="8"/>
      <c r="J447" t="s" s="8"/>
    </row>
    <row r="448" ht="15.75" customHeight="true">
      <c r="A448" t="s" s="15"/>
      <c r="B448" t="s" s="8"/>
      <c r="C448" t="s" s="8"/>
      <c r="D448" t="s" s="8"/>
      <c r="E448" t="s" s="8"/>
      <c r="F448" t="s" s="8"/>
      <c r="G448" t="s" s="8"/>
      <c r="H448" t="s" s="8"/>
      <c r="I448" t="s" s="8"/>
      <c r="J448" t="s" s="8"/>
    </row>
    <row r="449" ht="15.75" customHeight="true">
      <c r="A449" t="s" s="15"/>
      <c r="B449" t="s" s="8"/>
      <c r="C449" t="s" s="8"/>
      <c r="D449" t="s" s="8"/>
      <c r="E449" t="s" s="8"/>
      <c r="F449" t="s" s="8"/>
      <c r="G449" t="s" s="8"/>
      <c r="H449" t="s" s="8"/>
      <c r="I449" t="s" s="8"/>
      <c r="J449" t="s" s="8"/>
    </row>
    <row r="450" ht="15.75" customHeight="true">
      <c r="A450" t="s" s="15"/>
      <c r="B450" t="s" s="8"/>
      <c r="C450" t="s" s="8"/>
      <c r="D450" t="s" s="8"/>
      <c r="E450" t="s" s="8"/>
      <c r="F450" t="s" s="8"/>
      <c r="G450" t="s" s="8"/>
      <c r="H450" t="s" s="8"/>
      <c r="I450" t="s" s="8"/>
      <c r="J450" t="s" s="8"/>
    </row>
    <row r="451" ht="15.75" customHeight="true">
      <c r="A451" t="s" s="15"/>
      <c r="B451" t="s" s="8"/>
      <c r="C451" t="s" s="8"/>
      <c r="D451" t="s" s="8"/>
      <c r="E451" t="s" s="8"/>
      <c r="F451" t="s" s="8"/>
      <c r="G451" t="s" s="8"/>
      <c r="H451" t="s" s="8"/>
      <c r="I451" t="s" s="8"/>
      <c r="J451" t="s" s="8"/>
    </row>
    <row r="452" ht="15.75" customHeight="true">
      <c r="A452" t="s" s="15"/>
      <c r="B452" t="s" s="8"/>
      <c r="C452" t="s" s="8"/>
      <c r="D452" t="s" s="8"/>
      <c r="E452" t="s" s="8"/>
      <c r="F452" t="s" s="8"/>
      <c r="G452" t="s" s="8"/>
      <c r="H452" t="s" s="8"/>
      <c r="I452" t="s" s="8"/>
      <c r="J452" t="s" s="8"/>
    </row>
    <row r="453" ht="15.75" customHeight="true">
      <c r="A453" t="s" s="15"/>
      <c r="B453" t="s" s="8"/>
      <c r="C453" t="s" s="8"/>
      <c r="D453" t="s" s="8"/>
      <c r="E453" t="s" s="8"/>
      <c r="F453" t="s" s="8"/>
      <c r="G453" t="s" s="8"/>
      <c r="H453" t="s" s="8"/>
      <c r="I453" t="s" s="8"/>
      <c r="J453" t="s" s="8"/>
    </row>
    <row r="454" ht="15.75" customHeight="true">
      <c r="A454" t="s" s="15"/>
      <c r="B454" t="s" s="8"/>
      <c r="C454" t="s" s="8"/>
      <c r="D454" t="s" s="8"/>
      <c r="E454" t="s" s="8"/>
      <c r="F454" t="s" s="8"/>
      <c r="G454" t="s" s="8"/>
      <c r="H454" t="s" s="8"/>
      <c r="I454" t="s" s="8"/>
      <c r="J454" t="s" s="8"/>
    </row>
    <row r="455" ht="15.75" customHeight="true">
      <c r="A455" t="s" s="15"/>
      <c r="B455" t="s" s="8"/>
      <c r="C455" t="s" s="8"/>
      <c r="D455" t="s" s="8"/>
      <c r="E455" t="s" s="8"/>
      <c r="F455" t="s" s="8"/>
      <c r="G455" t="s" s="8"/>
      <c r="H455" t="s" s="8"/>
      <c r="I455" t="s" s="8"/>
      <c r="J455" t="s" s="8"/>
    </row>
    <row r="456" ht="15.75" customHeight="true">
      <c r="A456" t="s" s="15"/>
      <c r="B456" t="s" s="8"/>
      <c r="C456" t="s" s="8"/>
      <c r="D456" t="s" s="8"/>
      <c r="E456" t="s" s="8"/>
      <c r="F456" t="s" s="8"/>
      <c r="G456" t="s" s="8"/>
      <c r="H456" t="s" s="8"/>
      <c r="I456" t="s" s="8"/>
      <c r="J456" t="s" s="8"/>
    </row>
    <row r="457" ht="15.75" customHeight="true">
      <c r="A457" t="s" s="15"/>
      <c r="B457" t="s" s="8"/>
      <c r="C457" t="s" s="8"/>
      <c r="D457" t="s" s="8"/>
      <c r="E457" t="s" s="8"/>
      <c r="F457" t="s" s="8"/>
      <c r="G457" t="s" s="8"/>
      <c r="H457" t="s" s="8"/>
      <c r="I457" t="s" s="8"/>
      <c r="J457" t="s" s="8"/>
    </row>
    <row r="458" ht="15.75" customHeight="true">
      <c r="A458" t="s" s="15"/>
      <c r="B458" t="s" s="8"/>
      <c r="C458" t="s" s="8"/>
      <c r="D458" t="s" s="8"/>
      <c r="E458" t="s" s="8"/>
      <c r="F458" t="s" s="8"/>
      <c r="G458" t="s" s="8"/>
      <c r="H458" t="s" s="8"/>
      <c r="I458" t="s" s="8"/>
      <c r="J458" t="s" s="8"/>
    </row>
    <row r="459" ht="15.75" customHeight="true">
      <c r="A459" t="s" s="15"/>
      <c r="B459" t="s" s="8"/>
      <c r="C459" t="s" s="8"/>
      <c r="D459" t="s" s="8"/>
      <c r="E459" t="s" s="8"/>
      <c r="F459" t="s" s="8"/>
      <c r="G459" t="s" s="8"/>
      <c r="H459" t="s" s="8"/>
      <c r="I459" t="s" s="8"/>
      <c r="J459" t="s" s="8"/>
    </row>
    <row r="460" ht="15.75" customHeight="true">
      <c r="A460" t="s" s="15"/>
      <c r="B460" t="s" s="8"/>
      <c r="C460" t="s" s="8"/>
      <c r="D460" t="s" s="8"/>
      <c r="E460" t="s" s="8"/>
      <c r="F460" t="s" s="8"/>
      <c r="G460" t="s" s="8"/>
      <c r="H460" t="s" s="8"/>
      <c r="I460" t="s" s="8"/>
      <c r="J460" t="s" s="8"/>
    </row>
    <row r="461" ht="15.75" customHeight="true">
      <c r="A461" t="s" s="15"/>
      <c r="B461" t="s" s="8"/>
      <c r="C461" t="s" s="8"/>
      <c r="D461" t="s" s="8"/>
      <c r="E461" t="s" s="8"/>
      <c r="F461" t="s" s="8"/>
      <c r="G461" t="s" s="8"/>
      <c r="H461" t="s" s="8"/>
      <c r="I461" t="s" s="8"/>
      <c r="J461" t="s" s="8"/>
    </row>
    <row r="462" ht="15.75" customHeight="true">
      <c r="A462" t="s" s="15"/>
      <c r="B462" t="s" s="8"/>
      <c r="C462" t="s" s="8"/>
      <c r="D462" t="s" s="8"/>
      <c r="E462" t="s" s="8"/>
      <c r="F462" t="s" s="8"/>
      <c r="G462" t="s" s="8"/>
      <c r="H462" t="s" s="8"/>
      <c r="I462" t="s" s="8"/>
      <c r="J462" t="s" s="8"/>
    </row>
    <row r="463" ht="15.75" customHeight="true">
      <c r="A463" t="s" s="15"/>
      <c r="B463" t="s" s="8"/>
      <c r="C463" t="s" s="8"/>
      <c r="D463" t="s" s="8"/>
      <c r="E463" t="s" s="8"/>
      <c r="F463" t="s" s="8"/>
      <c r="G463" t="s" s="8"/>
      <c r="H463" t="s" s="8"/>
      <c r="I463" t="s" s="8"/>
      <c r="J463" t="s" s="8"/>
    </row>
    <row r="464" ht="15.75" customHeight="true">
      <c r="A464" t="s" s="15"/>
      <c r="B464" t="s" s="8"/>
      <c r="C464" t="s" s="8"/>
      <c r="D464" t="s" s="8"/>
      <c r="E464" t="s" s="8"/>
      <c r="F464" t="s" s="8"/>
      <c r="G464" t="s" s="8"/>
      <c r="H464" t="s" s="8"/>
      <c r="I464" t="s" s="8"/>
      <c r="J464" t="s" s="8"/>
    </row>
    <row r="465" ht="15.75" customHeight="true">
      <c r="A465" t="s" s="15"/>
      <c r="B465" t="s" s="8"/>
      <c r="C465" t="s" s="8"/>
      <c r="D465" t="s" s="8"/>
      <c r="E465" t="s" s="8"/>
      <c r="F465" t="s" s="8"/>
      <c r="G465" t="s" s="8"/>
      <c r="H465" t="s" s="8"/>
      <c r="I465" t="s" s="8"/>
      <c r="J465" t="s" s="8"/>
    </row>
    <row r="466" ht="15.75" customHeight="true">
      <c r="A466" t="s" s="15"/>
      <c r="B466" t="s" s="8"/>
      <c r="C466" t="s" s="8"/>
      <c r="D466" t="s" s="8"/>
      <c r="E466" t="s" s="8"/>
      <c r="F466" t="s" s="8"/>
      <c r="G466" t="s" s="8"/>
      <c r="H466" t="s" s="8"/>
      <c r="I466" t="s" s="8"/>
      <c r="J466" t="s" s="8"/>
    </row>
    <row r="467" ht="15.75" customHeight="true">
      <c r="A467" t="s" s="15"/>
      <c r="B467" t="s" s="8"/>
      <c r="C467" t="s" s="8"/>
      <c r="D467" t="s" s="8"/>
      <c r="E467" t="s" s="8"/>
      <c r="F467" t="s" s="8"/>
      <c r="G467" t="s" s="8"/>
      <c r="H467" t="s" s="8"/>
      <c r="I467" t="s" s="8"/>
      <c r="J467" t="s" s="8"/>
    </row>
    <row r="468" ht="15.75" customHeight="true">
      <c r="A468" t="s" s="15"/>
      <c r="B468" t="s" s="8"/>
      <c r="C468" t="s" s="8"/>
      <c r="D468" t="s" s="8"/>
      <c r="E468" t="s" s="8"/>
      <c r="F468" t="s" s="8"/>
      <c r="G468" t="s" s="8"/>
      <c r="H468" t="s" s="8"/>
      <c r="I468" t="s" s="8"/>
      <c r="J468" t="s" s="8"/>
    </row>
    <row r="469" ht="15.75" customHeight="true">
      <c r="A469" t="s" s="15"/>
      <c r="B469" t="s" s="8"/>
      <c r="C469" t="s" s="8"/>
      <c r="D469" t="s" s="8"/>
      <c r="E469" t="s" s="8"/>
      <c r="F469" t="s" s="8"/>
      <c r="G469" t="s" s="8"/>
      <c r="H469" t="s" s="8"/>
      <c r="I469" t="s" s="8"/>
      <c r="J469" t="s" s="8"/>
    </row>
    <row r="470" ht="15.75" customHeight="true">
      <c r="A470" t="s" s="15"/>
      <c r="B470" t="s" s="8"/>
      <c r="C470" t="s" s="8"/>
      <c r="D470" t="s" s="8"/>
      <c r="E470" t="s" s="8"/>
      <c r="F470" t="s" s="8"/>
      <c r="G470" t="s" s="8"/>
      <c r="H470" t="s" s="8"/>
      <c r="I470" t="s" s="8"/>
      <c r="J470" t="s" s="8"/>
    </row>
    <row r="471" ht="15.75" customHeight="true">
      <c r="A471" t="s" s="15"/>
      <c r="B471" t="s" s="8"/>
      <c r="C471" t="s" s="8"/>
      <c r="D471" t="s" s="8"/>
      <c r="E471" t="s" s="8"/>
      <c r="F471" t="s" s="8"/>
      <c r="G471" t="s" s="8"/>
      <c r="H471" t="s" s="8"/>
      <c r="I471" t="s" s="8"/>
      <c r="J471" t="s" s="8"/>
    </row>
    <row r="472" ht="15.75" customHeight="true">
      <c r="A472" t="s" s="15"/>
      <c r="B472" t="s" s="8"/>
      <c r="C472" t="s" s="8"/>
      <c r="D472" t="s" s="8"/>
      <c r="E472" t="s" s="8"/>
      <c r="F472" t="s" s="8"/>
      <c r="G472" t="s" s="8"/>
      <c r="H472" t="s" s="8"/>
      <c r="I472" t="s" s="8"/>
      <c r="J472" t="s" s="8"/>
    </row>
    <row r="473" ht="15.75" customHeight="true">
      <c r="A473" t="s" s="15"/>
      <c r="B473" t="s" s="8"/>
      <c r="C473" t="s" s="8"/>
      <c r="D473" t="s" s="8"/>
      <c r="E473" t="s" s="8"/>
      <c r="F473" t="s" s="8"/>
      <c r="G473" t="s" s="8"/>
      <c r="H473" t="s" s="8"/>
      <c r="I473" t="s" s="8"/>
      <c r="J473" t="s" s="8"/>
    </row>
    <row r="474" ht="15.75" customHeight="true">
      <c r="A474" t="s" s="15"/>
      <c r="B474" t="s" s="8"/>
      <c r="C474" t="s" s="8"/>
      <c r="D474" t="s" s="8"/>
      <c r="E474" t="s" s="8"/>
      <c r="F474" t="s" s="8"/>
      <c r="G474" t="s" s="8"/>
      <c r="H474" t="s" s="8"/>
      <c r="I474" t="s" s="8"/>
      <c r="J474" t="s" s="8"/>
    </row>
    <row r="475" ht="15.75" customHeight="true">
      <c r="A475" t="s" s="15"/>
      <c r="B475" t="s" s="8"/>
      <c r="C475" t="s" s="8"/>
      <c r="D475" t="s" s="8"/>
      <c r="E475" t="s" s="8"/>
      <c r="F475" t="s" s="8"/>
      <c r="G475" t="s" s="8"/>
      <c r="H475" t="s" s="8"/>
      <c r="I475" t="s" s="8"/>
      <c r="J475" t="s" s="8"/>
    </row>
    <row r="476" ht="15.75" customHeight="true">
      <c r="A476" t="s" s="15"/>
      <c r="B476" t="s" s="8"/>
      <c r="C476" t="s" s="8"/>
      <c r="D476" t="s" s="8"/>
      <c r="E476" t="s" s="8"/>
      <c r="F476" t="s" s="8"/>
      <c r="G476" t="s" s="8"/>
      <c r="H476" t="s" s="8"/>
      <c r="I476" t="s" s="8"/>
      <c r="J476" t="s" s="8"/>
    </row>
    <row r="477" ht="15.75" customHeight="true">
      <c r="A477" t="s" s="15"/>
      <c r="B477" t="s" s="8"/>
      <c r="C477" t="s" s="8"/>
      <c r="D477" t="s" s="8"/>
      <c r="E477" t="s" s="8"/>
      <c r="F477" t="s" s="8"/>
      <c r="G477" t="s" s="8"/>
      <c r="H477" t="s" s="8"/>
      <c r="I477" t="s" s="8"/>
      <c r="J477" t="s" s="8"/>
    </row>
    <row r="478" ht="15.75" customHeight="true">
      <c r="A478" t="s" s="15"/>
      <c r="B478" t="s" s="8"/>
      <c r="C478" t="s" s="8"/>
      <c r="D478" t="s" s="8"/>
      <c r="E478" t="s" s="8"/>
      <c r="F478" t="s" s="8"/>
      <c r="G478" t="s" s="8"/>
      <c r="H478" t="s" s="8"/>
      <c r="I478" t="s" s="8"/>
      <c r="J478" t="s" s="8"/>
    </row>
    <row r="479" ht="15.75" customHeight="true">
      <c r="A479" t="s" s="15"/>
      <c r="B479" t="s" s="8"/>
      <c r="C479" t="s" s="8"/>
      <c r="D479" t="s" s="8"/>
      <c r="E479" t="s" s="8"/>
      <c r="F479" t="s" s="8"/>
      <c r="G479" t="s" s="8"/>
      <c r="H479" t="s" s="8"/>
      <c r="I479" t="s" s="8"/>
      <c r="J479" t="s" s="8"/>
    </row>
    <row r="480" ht="15.75" customHeight="true">
      <c r="A480" t="s" s="15"/>
      <c r="B480" t="s" s="8"/>
      <c r="C480" t="s" s="8"/>
      <c r="D480" t="s" s="8"/>
      <c r="E480" t="s" s="8"/>
      <c r="F480" t="s" s="8"/>
      <c r="G480" t="s" s="8"/>
      <c r="H480" t="s" s="8"/>
      <c r="I480" t="s" s="8"/>
      <c r="J480" t="s" s="8"/>
    </row>
    <row r="481" ht="15.75" customHeight="true">
      <c r="A481" t="s" s="15"/>
      <c r="B481" t="s" s="8"/>
      <c r="C481" t="s" s="8"/>
      <c r="D481" t="s" s="8"/>
      <c r="E481" t="s" s="8"/>
      <c r="F481" t="s" s="8"/>
      <c r="G481" t="s" s="8"/>
      <c r="H481" t="s" s="8"/>
      <c r="I481" t="s" s="8"/>
      <c r="J481" t="s" s="8"/>
    </row>
    <row r="482" ht="15.75" customHeight="true">
      <c r="A482" t="s" s="15"/>
      <c r="B482" t="s" s="8"/>
      <c r="C482" t="s" s="8"/>
      <c r="D482" t="s" s="8"/>
      <c r="E482" t="s" s="8"/>
      <c r="F482" t="s" s="8"/>
      <c r="G482" t="s" s="8"/>
      <c r="H482" t="s" s="8"/>
      <c r="I482" t="s" s="8"/>
      <c r="J482" t="s" s="8"/>
    </row>
    <row r="483" ht="15.75" customHeight="true">
      <c r="A483" t="s" s="15"/>
      <c r="B483" t="s" s="8"/>
      <c r="C483" t="s" s="8"/>
      <c r="D483" t="s" s="8"/>
      <c r="E483" t="s" s="8"/>
      <c r="F483" t="s" s="8"/>
      <c r="G483" t="s" s="8"/>
      <c r="H483" t="s" s="8"/>
      <c r="I483" t="s" s="8"/>
      <c r="J483" t="s" s="8"/>
    </row>
    <row r="484" ht="15.75" customHeight="true">
      <c r="A484" t="s" s="15"/>
      <c r="B484" t="s" s="8"/>
      <c r="C484" t="s" s="8"/>
      <c r="D484" t="s" s="8"/>
      <c r="E484" t="s" s="8"/>
      <c r="F484" t="s" s="8"/>
      <c r="G484" t="s" s="8"/>
      <c r="H484" t="s" s="8"/>
      <c r="I484" t="s" s="8"/>
      <c r="J484" t="s" s="8"/>
    </row>
    <row r="485" ht="15.75" customHeight="true">
      <c r="A485" t="s" s="15"/>
      <c r="B485" t="s" s="8"/>
      <c r="C485" t="s" s="8"/>
      <c r="D485" t="s" s="8"/>
      <c r="E485" t="s" s="8"/>
      <c r="F485" t="s" s="8"/>
      <c r="G485" t="s" s="8"/>
      <c r="H485" t="s" s="8"/>
      <c r="I485" t="s" s="8"/>
      <c r="J485" t="s" s="8"/>
    </row>
    <row r="486" ht="15.75" customHeight="true">
      <c r="A486" t="s" s="15"/>
      <c r="B486" t="s" s="8"/>
      <c r="C486" t="s" s="8"/>
      <c r="D486" t="s" s="8"/>
      <c r="E486" t="s" s="8"/>
      <c r="F486" t="s" s="8"/>
      <c r="G486" t="s" s="8"/>
      <c r="H486" t="s" s="8"/>
      <c r="I486" t="s" s="8"/>
      <c r="J486" t="s" s="8"/>
    </row>
    <row r="487" ht="15.75" customHeight="true">
      <c r="A487" t="s" s="15"/>
      <c r="B487" t="s" s="8"/>
      <c r="C487" t="s" s="8"/>
      <c r="D487" t="s" s="8"/>
      <c r="E487" t="s" s="8"/>
      <c r="F487" t="s" s="8"/>
      <c r="G487" t="s" s="8"/>
      <c r="H487" t="s" s="8"/>
      <c r="I487" t="s" s="8"/>
      <c r="J487" t="s" s="8"/>
    </row>
    <row r="488" ht="15.75" customHeight="true">
      <c r="A488" t="s" s="15"/>
      <c r="B488" t="s" s="8"/>
      <c r="C488" t="s" s="8"/>
      <c r="D488" t="s" s="8"/>
      <c r="E488" t="s" s="8"/>
      <c r="F488" t="s" s="8"/>
      <c r="G488" t="s" s="8"/>
      <c r="H488" t="s" s="8"/>
      <c r="I488" t="s" s="8"/>
      <c r="J488" t="s" s="8"/>
    </row>
    <row r="489" ht="15.75" customHeight="true">
      <c r="A489" t="s" s="15"/>
      <c r="B489" t="s" s="8"/>
      <c r="C489" t="s" s="8"/>
      <c r="D489" t="s" s="8"/>
      <c r="E489" t="s" s="8"/>
      <c r="F489" t="s" s="8"/>
      <c r="G489" t="s" s="8"/>
      <c r="H489" t="s" s="8"/>
      <c r="I489" t="s" s="8"/>
      <c r="J489" t="s" s="8"/>
    </row>
    <row r="490" ht="15.75" customHeight="true">
      <c r="A490" t="s" s="15"/>
      <c r="B490" t="s" s="8"/>
      <c r="C490" t="s" s="8"/>
      <c r="D490" t="s" s="8"/>
      <c r="E490" t="s" s="8"/>
      <c r="F490" t="s" s="8"/>
      <c r="G490" t="s" s="8"/>
      <c r="H490" t="s" s="8"/>
      <c r="I490" t="s" s="8"/>
      <c r="J490" t="s" s="8"/>
    </row>
    <row r="491" ht="15.75" customHeight="true">
      <c r="A491" t="s" s="15"/>
      <c r="B491" t="s" s="8"/>
      <c r="C491" t="s" s="8"/>
      <c r="D491" t="s" s="8"/>
      <c r="E491" t="s" s="8"/>
      <c r="F491" t="s" s="8"/>
      <c r="G491" t="s" s="8"/>
      <c r="H491" t="s" s="8"/>
      <c r="I491" t="s" s="8"/>
      <c r="J491" t="s" s="8"/>
    </row>
    <row r="492" ht="15.75" customHeight="true">
      <c r="A492" t="s" s="15"/>
      <c r="B492" t="s" s="8"/>
      <c r="C492" t="s" s="8"/>
      <c r="D492" t="s" s="8"/>
      <c r="E492" t="s" s="8"/>
      <c r="F492" t="s" s="8"/>
      <c r="G492" t="s" s="8"/>
      <c r="H492" t="s" s="8"/>
      <c r="I492" t="s" s="8"/>
      <c r="J492" t="s" s="8"/>
    </row>
    <row r="493" ht="15.75" customHeight="true">
      <c r="A493" t="s" s="15"/>
      <c r="B493" t="s" s="8"/>
      <c r="C493" t="s" s="8"/>
      <c r="D493" t="s" s="8"/>
      <c r="E493" t="s" s="8"/>
      <c r="F493" t="s" s="8"/>
      <c r="G493" t="s" s="8"/>
      <c r="H493" t="s" s="8"/>
      <c r="I493" t="s" s="8"/>
      <c r="J493" t="s" s="8"/>
    </row>
    <row r="494" ht="15.75" customHeight="true">
      <c r="A494" t="s" s="15"/>
      <c r="B494" t="s" s="8"/>
      <c r="C494" t="s" s="8"/>
      <c r="D494" t="s" s="8"/>
      <c r="E494" t="s" s="8"/>
      <c r="F494" t="s" s="8"/>
      <c r="G494" t="s" s="8"/>
      <c r="H494" t="s" s="8"/>
      <c r="I494" t="s" s="8"/>
      <c r="J494" t="s" s="8"/>
    </row>
    <row r="495" ht="15.75" customHeight="true">
      <c r="A495" t="s" s="15"/>
      <c r="B495" t="s" s="8"/>
      <c r="C495" t="s" s="8"/>
      <c r="D495" t="s" s="8"/>
      <c r="E495" t="s" s="8"/>
      <c r="F495" t="s" s="8"/>
      <c r="G495" t="s" s="8"/>
      <c r="H495" t="s" s="8"/>
      <c r="I495" t="s" s="8"/>
      <c r="J495" t="s" s="8"/>
    </row>
    <row r="496" ht="15.75" customHeight="true">
      <c r="A496" t="s" s="15"/>
      <c r="B496" t="s" s="8"/>
      <c r="C496" t="s" s="8"/>
      <c r="D496" t="s" s="8"/>
      <c r="E496" t="s" s="8"/>
      <c r="F496" t="s" s="8"/>
      <c r="G496" t="s" s="8"/>
      <c r="H496" t="s" s="8"/>
      <c r="I496" t="s" s="8"/>
      <c r="J496" t="s" s="8"/>
    </row>
    <row r="497" ht="15.75" customHeight="true">
      <c r="A497" t="s" s="15"/>
      <c r="B497" t="s" s="8"/>
      <c r="C497" t="s" s="8"/>
      <c r="D497" t="s" s="8"/>
      <c r="E497" t="s" s="8"/>
      <c r="F497" t="s" s="8"/>
      <c r="G497" t="s" s="8"/>
      <c r="H497" t="s" s="8"/>
      <c r="I497" t="s" s="8"/>
      <c r="J497" t="s" s="8"/>
    </row>
    <row r="498" ht="15.75" customHeight="true">
      <c r="A498" t="s" s="15"/>
      <c r="B498" t="s" s="8"/>
      <c r="C498" t="s" s="8"/>
      <c r="D498" t="s" s="8"/>
      <c r="E498" t="s" s="8"/>
      <c r="F498" t="s" s="8"/>
      <c r="G498" t="s" s="8"/>
      <c r="H498" t="s" s="8"/>
      <c r="I498" t="s" s="8"/>
      <c r="J498" t="s" s="8"/>
    </row>
    <row r="499" ht="15.75" customHeight="true">
      <c r="A499" t="s" s="15"/>
      <c r="B499" t="s" s="8"/>
      <c r="C499" t="s" s="8"/>
      <c r="D499" t="s" s="8"/>
      <c r="E499" t="s" s="8"/>
      <c r="F499" t="s" s="8"/>
      <c r="G499" t="s" s="8"/>
      <c r="H499" t="s" s="8"/>
      <c r="I499" t="s" s="8"/>
      <c r="J499" t="s" s="8"/>
    </row>
    <row r="500" ht="15.75" customHeight="true">
      <c r="A500" t="s" s="15"/>
      <c r="B500" t="s" s="8"/>
      <c r="C500" t="s" s="8"/>
      <c r="D500" t="s" s="8"/>
      <c r="E500" t="s" s="8"/>
      <c r="F500" t="s" s="8"/>
      <c r="G500" t="s" s="8"/>
      <c r="H500" t="s" s="8"/>
      <c r="I500" t="s" s="8"/>
      <c r="J500" t="s" s="8"/>
    </row>
    <row r="501" ht="15.75" customHeight="true">
      <c r="A501" t="s" s="15"/>
      <c r="B501" t="s" s="8"/>
      <c r="C501" t="s" s="8"/>
      <c r="D501" t="s" s="8"/>
      <c r="E501" t="s" s="8"/>
      <c r="F501" t="s" s="8"/>
      <c r="G501" t="s" s="8"/>
      <c r="H501" t="s" s="8"/>
      <c r="I501" t="s" s="8"/>
      <c r="J501" t="s" s="8"/>
    </row>
    <row r="502" ht="15.75" customHeight="true">
      <c r="A502" t="s" s="15"/>
      <c r="B502" t="s" s="8"/>
      <c r="C502" t="s" s="8"/>
      <c r="D502" t="s" s="8"/>
      <c r="E502" t="s" s="8"/>
      <c r="F502" t="s" s="8"/>
      <c r="G502" t="s" s="8"/>
      <c r="H502" t="s" s="8"/>
      <c r="I502" t="s" s="8"/>
      <c r="J502" t="s" s="8"/>
    </row>
    <row r="503" ht="15.75" customHeight="true">
      <c r="A503" t="s" s="15"/>
      <c r="B503" t="s" s="8"/>
      <c r="C503" t="s" s="8"/>
      <c r="D503" t="s" s="8"/>
      <c r="E503" t="s" s="8"/>
      <c r="F503" t="s" s="8"/>
      <c r="G503" t="s" s="8"/>
      <c r="H503" t="s" s="8"/>
      <c r="I503" t="s" s="8"/>
      <c r="J503" t="s" s="8"/>
    </row>
    <row r="504" ht="15.75" customHeight="true">
      <c r="A504" t="s" s="15"/>
      <c r="B504" t="s" s="8"/>
      <c r="C504" t="s" s="8"/>
      <c r="D504" t="s" s="8"/>
      <c r="E504" t="s" s="8"/>
      <c r="F504" t="s" s="8"/>
      <c r="G504" t="s" s="8"/>
      <c r="H504" t="s" s="8"/>
      <c r="I504" t="s" s="8"/>
      <c r="J504" t="s" s="8"/>
    </row>
    <row r="505" ht="15.75" customHeight="true">
      <c r="A505" t="s" s="15"/>
      <c r="B505" t="s" s="8"/>
      <c r="C505" t="s" s="8"/>
      <c r="D505" t="s" s="8"/>
      <c r="E505" t="s" s="8"/>
      <c r="F505" t="s" s="8"/>
      <c r="G505" t="s" s="8"/>
      <c r="H505" t="s" s="8"/>
      <c r="I505" t="s" s="8"/>
      <c r="J505" t="s" s="8"/>
    </row>
    <row r="506" ht="15.75" customHeight="true">
      <c r="A506" t="s" s="15"/>
      <c r="B506" t="s" s="8"/>
      <c r="C506" t="s" s="8"/>
      <c r="D506" t="s" s="8"/>
      <c r="E506" t="s" s="8"/>
      <c r="F506" t="s" s="8"/>
      <c r="G506" t="s" s="8"/>
      <c r="H506" t="s" s="8"/>
      <c r="I506" t="s" s="8"/>
      <c r="J506" t="s" s="8"/>
    </row>
    <row r="507" ht="15.75" customHeight="true">
      <c r="A507" t="s" s="15"/>
      <c r="B507" t="s" s="8"/>
      <c r="C507" t="s" s="8"/>
      <c r="D507" t="s" s="8"/>
      <c r="E507" t="s" s="8"/>
      <c r="F507" t="s" s="8"/>
      <c r="G507" t="s" s="8"/>
      <c r="H507" t="s" s="8"/>
      <c r="I507" t="s" s="8"/>
      <c r="J507" t="s" s="8"/>
    </row>
    <row r="508" ht="15.75" customHeight="true">
      <c r="A508" t="s" s="15"/>
      <c r="B508" t="s" s="8"/>
      <c r="C508" t="s" s="8"/>
      <c r="D508" t="s" s="8"/>
      <c r="E508" t="s" s="8"/>
      <c r="F508" t="s" s="8"/>
      <c r="G508" t="s" s="8"/>
      <c r="H508" t="s" s="8"/>
      <c r="I508" t="s" s="8"/>
      <c r="J508" t="s" s="8"/>
    </row>
    <row r="509" ht="15.75" customHeight="true">
      <c r="A509" t="s" s="15"/>
      <c r="B509" t="s" s="8"/>
      <c r="C509" t="s" s="8"/>
      <c r="D509" t="s" s="8"/>
      <c r="E509" t="s" s="8"/>
      <c r="F509" t="s" s="8"/>
      <c r="G509" t="s" s="8"/>
      <c r="H509" t="s" s="8"/>
      <c r="I509" t="s" s="8"/>
      <c r="J509" t="s" s="8"/>
    </row>
    <row r="510" ht="15.75" customHeight="true">
      <c r="A510" t="s" s="15"/>
      <c r="B510" t="s" s="8"/>
      <c r="C510" t="s" s="8"/>
      <c r="D510" t="s" s="8"/>
      <c r="E510" t="s" s="8"/>
      <c r="F510" t="s" s="8"/>
      <c r="G510" t="s" s="8"/>
      <c r="H510" t="s" s="8"/>
      <c r="I510" t="s" s="8"/>
      <c r="J510" t="s" s="8"/>
    </row>
    <row r="511" ht="15.75" customHeight="true">
      <c r="A511" t="s" s="15"/>
      <c r="B511" t="s" s="8"/>
      <c r="C511" t="s" s="8"/>
      <c r="D511" t="s" s="8"/>
      <c r="E511" t="s" s="8"/>
      <c r="F511" t="s" s="8"/>
      <c r="G511" t="s" s="8"/>
      <c r="H511" t="s" s="8"/>
      <c r="I511" t="s" s="8"/>
      <c r="J511" t="s" s="8"/>
    </row>
    <row r="512" ht="15.75" customHeight="true">
      <c r="A512" t="s" s="15"/>
      <c r="B512" t="s" s="8"/>
      <c r="C512" t="s" s="8"/>
      <c r="D512" t="s" s="8"/>
      <c r="E512" t="s" s="8"/>
      <c r="F512" t="s" s="8"/>
      <c r="G512" t="s" s="8"/>
      <c r="H512" t="s" s="8"/>
      <c r="I512" t="s" s="8"/>
      <c r="J512" t="s" s="8"/>
    </row>
    <row r="513" ht="15.75" customHeight="true">
      <c r="A513" t="s" s="15"/>
      <c r="B513" t="s" s="8"/>
      <c r="C513" t="s" s="8"/>
      <c r="D513" t="s" s="8"/>
      <c r="E513" t="s" s="8"/>
      <c r="F513" t="s" s="8"/>
      <c r="G513" t="s" s="8"/>
      <c r="H513" t="s" s="8"/>
      <c r="I513" t="s" s="8"/>
      <c r="J513" t="s" s="8"/>
    </row>
    <row r="514" ht="15.75" customHeight="true">
      <c r="A514" t="s" s="15"/>
      <c r="B514" t="s" s="8"/>
      <c r="C514" t="s" s="8"/>
      <c r="D514" t="s" s="8"/>
      <c r="E514" t="s" s="8"/>
      <c r="F514" t="s" s="8"/>
      <c r="G514" t="s" s="8"/>
      <c r="H514" t="s" s="8"/>
      <c r="I514" t="s" s="8"/>
      <c r="J514" t="s" s="8"/>
    </row>
    <row r="515" ht="15.75" customHeight="true">
      <c r="A515" t="s" s="15"/>
      <c r="B515" t="s" s="8"/>
      <c r="C515" t="s" s="8"/>
      <c r="D515" t="s" s="8"/>
      <c r="E515" t="s" s="8"/>
      <c r="F515" t="s" s="8"/>
      <c r="G515" t="s" s="8"/>
      <c r="H515" t="s" s="8"/>
      <c r="I515" t="s" s="8"/>
      <c r="J515" t="s" s="8"/>
    </row>
    <row r="516" ht="15.75" customHeight="true">
      <c r="A516" t="s" s="15"/>
      <c r="B516" t="s" s="8"/>
      <c r="C516" t="s" s="8"/>
      <c r="D516" t="s" s="8"/>
      <c r="E516" t="s" s="8"/>
      <c r="F516" t="s" s="8"/>
      <c r="G516" t="s" s="8"/>
      <c r="H516" t="s" s="8"/>
      <c r="I516" t="s" s="8"/>
      <c r="J516" t="s" s="8"/>
    </row>
    <row r="517" ht="15.75" customHeight="true">
      <c r="A517" t="s" s="15"/>
      <c r="B517" t="s" s="8"/>
      <c r="C517" t="s" s="8"/>
      <c r="D517" t="s" s="8"/>
      <c r="E517" t="s" s="8"/>
      <c r="F517" t="s" s="8"/>
      <c r="G517" t="s" s="8"/>
      <c r="H517" t="s" s="8"/>
      <c r="I517" t="s" s="8"/>
      <c r="J517" t="s" s="8"/>
    </row>
    <row r="518" ht="15.75" customHeight="true">
      <c r="A518" t="s" s="15"/>
      <c r="B518" t="s" s="8"/>
      <c r="C518" t="s" s="8"/>
      <c r="D518" t="s" s="8"/>
      <c r="E518" t="s" s="8"/>
      <c r="F518" t="s" s="8"/>
      <c r="G518" t="s" s="8"/>
      <c r="H518" t="s" s="8"/>
      <c r="I518" t="s" s="8"/>
      <c r="J518" t="s" s="8"/>
    </row>
    <row r="519" ht="15.75" customHeight="true">
      <c r="A519" t="s" s="15"/>
      <c r="B519" t="s" s="8"/>
      <c r="C519" t="s" s="8"/>
      <c r="D519" t="s" s="8"/>
      <c r="E519" t="s" s="8"/>
      <c r="F519" t="s" s="8"/>
      <c r="G519" t="s" s="8"/>
      <c r="H519" t="s" s="8"/>
      <c r="I519" t="s" s="8"/>
      <c r="J519" t="s" s="8"/>
    </row>
    <row r="520" ht="15.75" customHeight="true">
      <c r="A520" t="s" s="15"/>
      <c r="B520" t="s" s="8"/>
      <c r="C520" t="s" s="8"/>
      <c r="D520" t="s" s="8"/>
      <c r="E520" t="s" s="8"/>
      <c r="F520" t="s" s="8"/>
      <c r="G520" t="s" s="8"/>
      <c r="H520" t="s" s="8"/>
      <c r="I520" t="s" s="8"/>
      <c r="J520" t="s" s="8"/>
    </row>
    <row r="521" ht="15.75" customHeight="true">
      <c r="A521" t="s" s="15"/>
      <c r="B521" t="s" s="8"/>
      <c r="C521" t="s" s="8"/>
      <c r="D521" t="s" s="8"/>
      <c r="E521" t="s" s="8"/>
      <c r="F521" t="s" s="8"/>
      <c r="G521" t="s" s="8"/>
      <c r="H521" t="s" s="8"/>
      <c r="I521" t="s" s="8"/>
      <c r="J521" t="s" s="8"/>
    </row>
    <row r="522" ht="15.75" customHeight="true">
      <c r="A522" t="s" s="15"/>
      <c r="B522" t="s" s="8"/>
      <c r="C522" t="s" s="8"/>
      <c r="D522" t="s" s="8"/>
      <c r="E522" t="s" s="8"/>
      <c r="F522" t="s" s="8"/>
      <c r="G522" t="s" s="8"/>
      <c r="H522" t="s" s="8"/>
      <c r="I522" t="s" s="8"/>
      <c r="J522" t="s" s="8"/>
    </row>
    <row r="523" ht="15.75" customHeight="true">
      <c r="A523" t="s" s="15"/>
      <c r="B523" t="s" s="8"/>
      <c r="C523" t="s" s="8"/>
      <c r="D523" t="s" s="8"/>
      <c r="E523" t="s" s="8"/>
      <c r="F523" t="s" s="8"/>
      <c r="G523" t="s" s="8"/>
      <c r="H523" t="s" s="8"/>
      <c r="I523" t="s" s="8"/>
      <c r="J523" t="s" s="8"/>
    </row>
    <row r="524" ht="15.75" customHeight="true">
      <c r="A524" t="s" s="15"/>
      <c r="B524" t="s" s="8"/>
      <c r="C524" t="s" s="8"/>
      <c r="D524" t="s" s="8"/>
      <c r="E524" t="s" s="8"/>
      <c r="F524" t="s" s="8"/>
      <c r="G524" t="s" s="8"/>
      <c r="H524" t="s" s="8"/>
      <c r="I524" t="s" s="8"/>
      <c r="J524" t="s" s="8"/>
    </row>
    <row r="525" ht="15.75" customHeight="true">
      <c r="A525" t="s" s="15"/>
      <c r="B525" t="s" s="8"/>
      <c r="C525" t="s" s="8"/>
      <c r="D525" t="s" s="8"/>
      <c r="E525" t="s" s="8"/>
      <c r="F525" t="s" s="8"/>
      <c r="G525" t="s" s="8"/>
      <c r="H525" t="s" s="8"/>
      <c r="I525" t="s" s="8"/>
      <c r="J525" t="s" s="8"/>
    </row>
    <row r="526" ht="15.75" customHeight="true">
      <c r="A526" t="s" s="15"/>
      <c r="B526" t="s" s="8"/>
      <c r="C526" t="s" s="8"/>
      <c r="D526" t="s" s="8"/>
      <c r="E526" t="s" s="8"/>
      <c r="F526" t="s" s="8"/>
      <c r="G526" t="s" s="8"/>
      <c r="H526" t="s" s="8"/>
      <c r="I526" t="s" s="8"/>
      <c r="J526" t="s" s="8"/>
    </row>
    <row r="527" ht="15.75" customHeight="true">
      <c r="A527" t="s" s="15"/>
      <c r="B527" t="s" s="8"/>
      <c r="C527" t="s" s="8"/>
      <c r="D527" t="s" s="8"/>
      <c r="E527" t="s" s="8"/>
      <c r="F527" t="s" s="8"/>
      <c r="G527" t="s" s="8"/>
      <c r="H527" t="s" s="8"/>
      <c r="I527" t="s" s="8"/>
      <c r="J527" t="s" s="8"/>
    </row>
    <row r="528" ht="15.75" customHeight="true">
      <c r="A528" t="s" s="15"/>
      <c r="B528" t="s" s="8"/>
      <c r="C528" t="s" s="8"/>
      <c r="D528" t="s" s="8"/>
      <c r="E528" t="s" s="8"/>
      <c r="F528" t="s" s="8"/>
      <c r="G528" t="s" s="8"/>
      <c r="H528" t="s" s="8"/>
      <c r="I528" t="s" s="8"/>
      <c r="J528" t="s" s="8"/>
    </row>
    <row r="529" ht="15.75" customHeight="true">
      <c r="A529" t="s" s="15"/>
      <c r="B529" t="s" s="8"/>
      <c r="C529" t="s" s="8"/>
      <c r="D529" t="s" s="8"/>
      <c r="E529" t="s" s="8"/>
      <c r="F529" t="s" s="8"/>
      <c r="G529" t="s" s="8"/>
      <c r="H529" t="s" s="8"/>
      <c r="I529" t="s" s="8"/>
      <c r="J529" t="s" s="8"/>
    </row>
    <row r="530" ht="15.75" customHeight="true">
      <c r="A530" t="s" s="15"/>
      <c r="B530" t="s" s="8"/>
      <c r="C530" t="s" s="8"/>
      <c r="D530" t="s" s="8"/>
      <c r="E530" t="s" s="8"/>
      <c r="F530" t="s" s="8"/>
      <c r="G530" t="s" s="8"/>
      <c r="H530" t="s" s="8"/>
      <c r="I530" t="s" s="8"/>
      <c r="J530" t="s" s="8"/>
    </row>
    <row r="531" ht="15.75" customHeight="true">
      <c r="A531" t="s" s="15"/>
      <c r="B531" t="s" s="8"/>
      <c r="C531" t="s" s="8"/>
      <c r="D531" t="s" s="8"/>
      <c r="E531" t="s" s="8"/>
      <c r="F531" t="s" s="8"/>
      <c r="G531" t="s" s="8"/>
      <c r="H531" t="s" s="8"/>
      <c r="I531" t="s" s="8"/>
      <c r="J531" t="s" s="8"/>
    </row>
    <row r="532" ht="15.75" customHeight="true">
      <c r="A532" t="s" s="15"/>
      <c r="B532" t="s" s="8"/>
      <c r="C532" t="s" s="8"/>
      <c r="D532" t="s" s="8"/>
      <c r="E532" t="s" s="8"/>
      <c r="F532" t="s" s="8"/>
      <c r="G532" t="s" s="8"/>
      <c r="H532" t="s" s="8"/>
      <c r="I532" t="s" s="8"/>
      <c r="J532" t="s" s="8"/>
    </row>
    <row r="533" ht="15.75" customHeight="true">
      <c r="A533" t="s" s="15"/>
      <c r="B533" t="s" s="8"/>
      <c r="C533" t="s" s="8"/>
      <c r="D533" t="s" s="8"/>
      <c r="E533" t="s" s="8"/>
      <c r="F533" t="s" s="8"/>
      <c r="G533" t="s" s="8"/>
      <c r="H533" t="s" s="8"/>
      <c r="I533" t="s" s="8"/>
      <c r="J533" t="s" s="8"/>
    </row>
    <row r="534" ht="15.75" customHeight="true">
      <c r="A534" t="s" s="15"/>
      <c r="B534" t="s" s="8"/>
      <c r="C534" t="s" s="8"/>
      <c r="D534" t="s" s="8"/>
      <c r="E534" t="s" s="8"/>
      <c r="F534" t="s" s="8"/>
      <c r="G534" t="s" s="8"/>
      <c r="H534" t="s" s="8"/>
      <c r="I534" t="s" s="8"/>
      <c r="J534" t="s" s="8"/>
    </row>
    <row r="535" ht="15.75" customHeight="true">
      <c r="A535" t="s" s="15"/>
      <c r="B535" t="s" s="8"/>
      <c r="C535" t="s" s="8"/>
      <c r="D535" t="s" s="8"/>
      <c r="E535" t="s" s="8"/>
      <c r="F535" t="s" s="8"/>
      <c r="G535" t="s" s="8"/>
      <c r="H535" t="s" s="8"/>
      <c r="I535" t="s" s="8"/>
      <c r="J535" t="s" s="8"/>
    </row>
    <row r="536" ht="15.75" customHeight="true">
      <c r="A536" t="s" s="15"/>
      <c r="B536" t="s" s="8"/>
      <c r="C536" t="s" s="8"/>
      <c r="D536" t="s" s="8"/>
      <c r="E536" t="s" s="8"/>
      <c r="F536" t="s" s="8"/>
      <c r="G536" t="s" s="8"/>
      <c r="H536" t="s" s="8"/>
      <c r="I536" t="s" s="8"/>
      <c r="J536" t="s" s="8"/>
    </row>
    <row r="537" ht="15.75" customHeight="true">
      <c r="A537" t="s" s="15"/>
      <c r="B537" t="s" s="8"/>
      <c r="C537" t="s" s="8"/>
      <c r="D537" t="s" s="8"/>
      <c r="E537" t="s" s="8"/>
      <c r="F537" t="s" s="8"/>
      <c r="G537" t="s" s="8"/>
      <c r="H537" t="s" s="8"/>
      <c r="I537" t="s" s="8"/>
      <c r="J537" t="s" s="8"/>
    </row>
    <row r="538" ht="15.75" customHeight="true">
      <c r="A538" t="s" s="15"/>
      <c r="B538" t="s" s="8"/>
      <c r="C538" t="s" s="8"/>
      <c r="D538" t="s" s="8"/>
      <c r="E538" t="s" s="8"/>
      <c r="F538" t="s" s="8"/>
      <c r="G538" t="s" s="8"/>
      <c r="H538" t="s" s="8"/>
      <c r="I538" t="s" s="8"/>
      <c r="J538" t="s" s="8"/>
    </row>
    <row r="539" ht="15.75" customHeight="true">
      <c r="A539" t="s" s="15"/>
      <c r="B539" t="s" s="8"/>
      <c r="C539" t="s" s="8"/>
      <c r="D539" t="s" s="8"/>
      <c r="E539" t="s" s="8"/>
      <c r="F539" t="s" s="8"/>
      <c r="G539" t="s" s="8"/>
      <c r="H539" t="s" s="8"/>
      <c r="I539" t="s" s="8"/>
      <c r="J539" t="s" s="8"/>
    </row>
    <row r="540" ht="15.75" customHeight="true">
      <c r="A540" t="s" s="15"/>
      <c r="B540" t="s" s="8"/>
      <c r="C540" t="s" s="8"/>
      <c r="D540" t="s" s="8"/>
      <c r="E540" t="s" s="8"/>
      <c r="F540" t="s" s="8"/>
      <c r="G540" t="s" s="8"/>
      <c r="H540" t="s" s="8"/>
      <c r="I540" t="s" s="8"/>
      <c r="J540" t="s" s="8"/>
    </row>
    <row r="541" ht="15.75" customHeight="true">
      <c r="A541" t="s" s="15"/>
      <c r="B541" t="s" s="8"/>
      <c r="C541" t="s" s="8"/>
      <c r="D541" t="s" s="8"/>
      <c r="E541" t="s" s="8"/>
      <c r="F541" t="s" s="8"/>
      <c r="G541" t="s" s="8"/>
      <c r="H541" t="s" s="8"/>
      <c r="I541" t="s" s="8"/>
      <c r="J541" t="s" s="8"/>
    </row>
    <row r="542" ht="15.75" customHeight="true">
      <c r="A542" t="s" s="15"/>
      <c r="B542" t="s" s="8"/>
      <c r="C542" t="s" s="8"/>
      <c r="D542" t="s" s="8"/>
      <c r="E542" t="s" s="8"/>
      <c r="F542" t="s" s="8"/>
      <c r="G542" t="s" s="8"/>
      <c r="H542" t="s" s="8"/>
      <c r="I542" t="s" s="8"/>
      <c r="J542" t="s" s="8"/>
    </row>
    <row r="543" ht="15.75" customHeight="true">
      <c r="A543" t="s" s="15"/>
      <c r="B543" t="s" s="8"/>
      <c r="C543" t="s" s="8"/>
      <c r="D543" t="s" s="8"/>
      <c r="E543" t="s" s="8"/>
      <c r="F543" t="s" s="8"/>
      <c r="G543" t="s" s="8"/>
      <c r="H543" t="s" s="8"/>
      <c r="I543" t="s" s="8"/>
      <c r="J543" t="s" s="8"/>
    </row>
    <row r="544" ht="15.75" customHeight="true">
      <c r="A544" t="s" s="15"/>
      <c r="B544" t="s" s="8"/>
      <c r="C544" t="s" s="8"/>
      <c r="D544" t="s" s="8"/>
      <c r="E544" t="s" s="8"/>
      <c r="F544" t="s" s="8"/>
      <c r="G544" t="s" s="8"/>
      <c r="H544" t="s" s="8"/>
      <c r="I544" t="s" s="8"/>
      <c r="J544" t="s" s="8"/>
    </row>
    <row r="545" ht="15.75" customHeight="true">
      <c r="A545" t="s" s="15"/>
      <c r="B545" t="s" s="8"/>
      <c r="C545" t="s" s="8"/>
      <c r="D545" t="s" s="8"/>
      <c r="E545" t="s" s="8"/>
      <c r="F545" t="s" s="8"/>
      <c r="G545" t="s" s="8"/>
      <c r="H545" t="s" s="8"/>
      <c r="I545" t="s" s="8"/>
      <c r="J545" t="s" s="8"/>
    </row>
    <row r="546" ht="15.75" customHeight="true">
      <c r="A546" t="s" s="15"/>
      <c r="B546" t="s" s="8"/>
      <c r="C546" t="s" s="8"/>
      <c r="D546" t="s" s="8"/>
      <c r="E546" t="s" s="8"/>
      <c r="F546" t="s" s="8"/>
      <c r="G546" t="s" s="8"/>
      <c r="H546" t="s" s="8"/>
      <c r="I546" t="s" s="8"/>
      <c r="J546" t="s" s="8"/>
    </row>
    <row r="547" ht="15.75" customHeight="true">
      <c r="A547" t="s" s="15"/>
      <c r="B547" t="s" s="8"/>
      <c r="C547" t="s" s="8"/>
      <c r="D547" t="s" s="8"/>
      <c r="E547" t="s" s="8"/>
      <c r="F547" t="s" s="8"/>
      <c r="G547" t="s" s="8"/>
      <c r="H547" t="s" s="8"/>
      <c r="I547" t="s" s="8"/>
      <c r="J547" t="s" s="8"/>
    </row>
    <row r="548" ht="15.75" customHeight="true">
      <c r="A548" t="s" s="15"/>
      <c r="B548" t="s" s="8"/>
      <c r="C548" t="s" s="8"/>
      <c r="D548" t="s" s="8"/>
      <c r="E548" t="s" s="8"/>
      <c r="F548" t="s" s="8"/>
      <c r="G548" t="s" s="8"/>
      <c r="H548" t="s" s="8"/>
      <c r="I548" t="s" s="8"/>
      <c r="J548" t="s" s="8"/>
    </row>
    <row r="549" ht="15.75" customHeight="true">
      <c r="A549" t="s" s="15"/>
      <c r="B549" t="s" s="8"/>
      <c r="C549" t="s" s="8"/>
      <c r="D549" t="s" s="8"/>
      <c r="E549" t="s" s="8"/>
      <c r="F549" t="s" s="8"/>
      <c r="G549" t="s" s="8"/>
      <c r="H549" t="s" s="8"/>
      <c r="I549" t="s" s="8"/>
      <c r="J549" t="s" s="8"/>
    </row>
    <row r="550" ht="15.75" customHeight="true">
      <c r="A550" t="s" s="15"/>
      <c r="B550" t="s" s="8"/>
      <c r="C550" t="s" s="8"/>
      <c r="D550" t="s" s="8"/>
      <c r="E550" t="s" s="8"/>
      <c r="F550" t="s" s="8"/>
      <c r="G550" t="s" s="8"/>
      <c r="H550" t="s" s="8"/>
      <c r="I550" t="s" s="8"/>
      <c r="J550" t="s" s="8"/>
    </row>
    <row r="551" ht="15.75" customHeight="true">
      <c r="A551" t="s" s="15"/>
      <c r="B551" t="s" s="8"/>
      <c r="C551" t="s" s="8"/>
      <c r="D551" t="s" s="8"/>
      <c r="E551" t="s" s="8"/>
      <c r="F551" t="s" s="8"/>
      <c r="G551" t="s" s="8"/>
      <c r="H551" t="s" s="8"/>
      <c r="I551" t="s" s="8"/>
      <c r="J551" t="s" s="8"/>
    </row>
    <row r="552" ht="15.75" customHeight="true">
      <c r="A552" t="s" s="15"/>
      <c r="B552" t="s" s="8"/>
      <c r="C552" t="s" s="8"/>
      <c r="D552" t="s" s="8"/>
      <c r="E552" t="s" s="8"/>
      <c r="F552" t="s" s="8"/>
      <c r="G552" t="s" s="8"/>
      <c r="H552" t="s" s="8"/>
      <c r="I552" t="s" s="8"/>
      <c r="J552" t="s" s="8"/>
    </row>
    <row r="553" ht="15.75" customHeight="true">
      <c r="A553" t="s" s="15"/>
      <c r="B553" t="s" s="8"/>
      <c r="C553" t="s" s="8"/>
      <c r="D553" t="s" s="8"/>
      <c r="E553" t="s" s="8"/>
      <c r="F553" t="s" s="8"/>
      <c r="G553" t="s" s="8"/>
      <c r="H553" t="s" s="8"/>
      <c r="I553" t="s" s="8"/>
      <c r="J553" t="s" s="8"/>
    </row>
    <row r="554" ht="15.75" customHeight="true">
      <c r="A554" t="s" s="15"/>
      <c r="B554" t="s" s="8"/>
      <c r="C554" t="s" s="8"/>
      <c r="D554" t="s" s="8"/>
      <c r="E554" t="s" s="8"/>
      <c r="F554" t="s" s="8"/>
      <c r="G554" t="s" s="8"/>
      <c r="H554" t="s" s="8"/>
      <c r="I554" t="s" s="8"/>
      <c r="J554" t="s" s="8"/>
    </row>
    <row r="555" ht="15.75" customHeight="true">
      <c r="A555" t="s" s="15"/>
      <c r="B555" t="s" s="8"/>
      <c r="C555" t="s" s="8"/>
      <c r="D555" t="s" s="8"/>
      <c r="E555" t="s" s="8"/>
      <c r="F555" t="s" s="8"/>
      <c r="G555" t="s" s="8"/>
      <c r="H555" t="s" s="8"/>
      <c r="I555" t="s" s="8"/>
      <c r="J555" t="s" s="8"/>
    </row>
    <row r="556" ht="15.75" customHeight="true">
      <c r="A556" t="s" s="15"/>
      <c r="B556" t="s" s="8"/>
      <c r="C556" t="s" s="8"/>
      <c r="D556" t="s" s="8"/>
      <c r="E556" t="s" s="8"/>
      <c r="F556" t="s" s="8"/>
      <c r="G556" t="s" s="8"/>
      <c r="H556" t="s" s="8"/>
      <c r="I556" t="s" s="8"/>
      <c r="J556" t="s" s="8"/>
    </row>
    <row r="557" ht="15.75" customHeight="true">
      <c r="A557" t="s" s="15"/>
      <c r="B557" t="s" s="8"/>
      <c r="C557" t="s" s="8"/>
      <c r="D557" t="s" s="8"/>
      <c r="E557" t="s" s="8"/>
      <c r="F557" t="s" s="8"/>
      <c r="G557" t="s" s="8"/>
      <c r="H557" t="s" s="8"/>
      <c r="I557" t="s" s="8"/>
      <c r="J557" t="s" s="8"/>
    </row>
    <row r="558" ht="15.75" customHeight="true">
      <c r="A558" t="s" s="15"/>
      <c r="B558" t="s" s="8"/>
      <c r="C558" t="s" s="8"/>
      <c r="D558" t="s" s="8"/>
      <c r="E558" t="s" s="8"/>
      <c r="F558" t="s" s="8"/>
      <c r="G558" t="s" s="8"/>
      <c r="H558" t="s" s="8"/>
      <c r="I558" t="s" s="8"/>
      <c r="J558" t="s" s="8"/>
    </row>
    <row r="559" ht="15.75" customHeight="true">
      <c r="A559" t="s" s="15"/>
      <c r="B559" t="s" s="8"/>
      <c r="C559" t="s" s="8"/>
      <c r="D559" t="s" s="8"/>
      <c r="E559" t="s" s="8"/>
      <c r="F559" t="s" s="8"/>
      <c r="G559" t="s" s="8"/>
      <c r="H559" t="s" s="8"/>
      <c r="I559" t="s" s="8"/>
      <c r="J559" t="s" s="8"/>
    </row>
    <row r="560" ht="15.75" customHeight="true">
      <c r="A560" t="s" s="15"/>
      <c r="B560" t="s" s="8"/>
      <c r="C560" t="s" s="8"/>
      <c r="D560" t="s" s="8"/>
      <c r="E560" t="s" s="8"/>
      <c r="F560" t="s" s="8"/>
      <c r="G560" t="s" s="8"/>
      <c r="H560" t="s" s="8"/>
      <c r="I560" t="s" s="8"/>
      <c r="J560" t="s" s="8"/>
    </row>
    <row r="561" ht="15.75" customHeight="true">
      <c r="A561" t="s" s="15"/>
      <c r="B561" t="s" s="8"/>
      <c r="C561" t="s" s="8"/>
      <c r="D561" t="s" s="8"/>
      <c r="E561" t="s" s="8"/>
      <c r="F561" t="s" s="8"/>
      <c r="G561" t="s" s="8"/>
      <c r="H561" t="s" s="8"/>
      <c r="I561" t="s" s="8"/>
      <c r="J561" t="s" s="8"/>
    </row>
    <row r="562" ht="15.75" customHeight="true">
      <c r="A562" t="s" s="15"/>
      <c r="B562" t="s" s="8"/>
      <c r="C562" t="s" s="8"/>
      <c r="D562" t="s" s="8"/>
      <c r="E562" t="s" s="8"/>
      <c r="F562" t="s" s="8"/>
      <c r="G562" t="s" s="8"/>
      <c r="H562" t="s" s="8"/>
      <c r="I562" t="s" s="8"/>
      <c r="J562" t="s" s="8"/>
    </row>
    <row r="563" ht="15.75" customHeight="true">
      <c r="A563" t="s" s="15"/>
      <c r="B563" t="s" s="8"/>
      <c r="C563" t="s" s="8"/>
      <c r="D563" t="s" s="8"/>
      <c r="E563" t="s" s="8"/>
      <c r="F563" t="s" s="8"/>
      <c r="G563" t="s" s="8"/>
      <c r="H563" t="s" s="8"/>
      <c r="I563" t="s" s="8"/>
      <c r="J563" t="s" s="8"/>
    </row>
    <row r="564" ht="15.75" customHeight="true">
      <c r="A564" t="s" s="15"/>
      <c r="B564" t="s" s="8"/>
      <c r="C564" t="s" s="8"/>
      <c r="D564" t="s" s="8"/>
      <c r="E564" t="s" s="8"/>
      <c r="F564" t="s" s="8"/>
      <c r="G564" t="s" s="8"/>
      <c r="H564" t="s" s="8"/>
      <c r="I564" t="s" s="8"/>
      <c r="J564" t="s" s="8"/>
    </row>
    <row r="565" ht="15.75" customHeight="true">
      <c r="A565" t="s" s="15"/>
      <c r="B565" t="s" s="8"/>
      <c r="C565" t="s" s="8"/>
      <c r="D565" t="s" s="8"/>
      <c r="E565" t="s" s="8"/>
      <c r="F565" t="s" s="8"/>
      <c r="G565" t="s" s="8"/>
      <c r="H565" t="s" s="8"/>
      <c r="I565" t="s" s="8"/>
      <c r="J565" t="s" s="8"/>
    </row>
    <row r="566" ht="15.75" customHeight="true">
      <c r="A566" t="s" s="15"/>
      <c r="B566" t="s" s="8"/>
      <c r="C566" t="s" s="8"/>
      <c r="D566" t="s" s="8"/>
      <c r="E566" t="s" s="8"/>
      <c r="F566" t="s" s="8"/>
      <c r="G566" t="s" s="8"/>
      <c r="H566" t="s" s="8"/>
      <c r="I566" t="s" s="8"/>
      <c r="J566" t="s" s="8"/>
    </row>
    <row r="567" ht="15.75" customHeight="true">
      <c r="A567" t="s" s="15"/>
      <c r="B567" t="s" s="8"/>
      <c r="C567" t="s" s="8"/>
      <c r="D567" t="s" s="8"/>
      <c r="E567" t="s" s="8"/>
      <c r="F567" t="s" s="8"/>
      <c r="G567" t="s" s="8"/>
      <c r="H567" t="s" s="8"/>
      <c r="I567" t="s" s="8"/>
      <c r="J567" t="s" s="8"/>
    </row>
    <row r="568" ht="15.75" customHeight="true">
      <c r="A568" t="s" s="15"/>
      <c r="B568" t="s" s="8"/>
      <c r="C568" t="s" s="8"/>
      <c r="D568" t="s" s="8"/>
      <c r="E568" t="s" s="8"/>
      <c r="F568" t="s" s="8"/>
      <c r="G568" t="s" s="8"/>
      <c r="H568" t="s" s="8"/>
      <c r="I568" t="s" s="8"/>
      <c r="J568" t="s" s="8"/>
    </row>
    <row r="569" ht="15.75" customHeight="true">
      <c r="A569" t="s" s="15"/>
      <c r="B569" t="s" s="8"/>
      <c r="C569" t="s" s="8"/>
      <c r="D569" t="s" s="8"/>
      <c r="E569" t="s" s="8"/>
      <c r="F569" t="s" s="8"/>
      <c r="G569" t="s" s="8"/>
      <c r="H569" t="s" s="8"/>
      <c r="I569" t="s" s="8"/>
      <c r="J569" t="s" s="8"/>
    </row>
    <row r="570" ht="15.75" customHeight="true">
      <c r="A570" t="s" s="15"/>
      <c r="B570" t="s" s="8"/>
      <c r="C570" t="s" s="8"/>
      <c r="D570" t="s" s="8"/>
      <c r="E570" t="s" s="8"/>
      <c r="F570" t="s" s="8"/>
      <c r="G570" t="s" s="8"/>
      <c r="H570" t="s" s="8"/>
      <c r="I570" t="s" s="8"/>
      <c r="J570" t="s" s="8"/>
    </row>
    <row r="571" ht="15.75" customHeight="true">
      <c r="A571" t="s" s="15"/>
      <c r="B571" t="s" s="8"/>
      <c r="C571" t="s" s="8"/>
      <c r="D571" t="s" s="8"/>
      <c r="E571" t="s" s="8"/>
      <c r="F571" t="s" s="8"/>
      <c r="G571" t="s" s="8"/>
      <c r="H571" t="s" s="8"/>
      <c r="I571" t="s" s="8"/>
      <c r="J571" t="s" s="8"/>
    </row>
    <row r="572" ht="15.75" customHeight="true">
      <c r="A572" t="s" s="15"/>
      <c r="B572" t="s" s="8"/>
      <c r="C572" t="s" s="8"/>
      <c r="D572" t="s" s="8"/>
      <c r="E572" t="s" s="8"/>
      <c r="F572" t="s" s="8"/>
      <c r="G572" t="s" s="8"/>
      <c r="H572" t="s" s="8"/>
      <c r="I572" t="s" s="8"/>
      <c r="J572" t="s" s="8"/>
    </row>
    <row r="573" ht="15.75" customHeight="true">
      <c r="A573" t="s" s="15"/>
      <c r="B573" t="s" s="8"/>
      <c r="C573" t="s" s="8"/>
      <c r="D573" t="s" s="8"/>
      <c r="E573" t="s" s="8"/>
      <c r="F573" t="s" s="8"/>
      <c r="G573" t="s" s="8"/>
      <c r="H573" t="s" s="8"/>
      <c r="I573" t="s" s="8"/>
      <c r="J573" t="s" s="8"/>
    </row>
    <row r="574" ht="15.75" customHeight="true">
      <c r="A574" t="s" s="15"/>
      <c r="B574" t="s" s="8"/>
      <c r="C574" t="s" s="8"/>
      <c r="D574" t="s" s="8"/>
      <c r="E574" t="s" s="8"/>
      <c r="F574" t="s" s="8"/>
      <c r="G574" t="s" s="8"/>
      <c r="H574" t="s" s="8"/>
      <c r="I574" t="s" s="8"/>
      <c r="J574" t="s" s="8"/>
    </row>
    <row r="575" ht="15.75" customHeight="true">
      <c r="A575" t="s" s="15"/>
      <c r="B575" t="s" s="8"/>
      <c r="C575" t="s" s="8"/>
      <c r="D575" t="s" s="8"/>
      <c r="E575" t="s" s="8"/>
      <c r="F575" t="s" s="8"/>
      <c r="G575" t="s" s="8"/>
      <c r="H575" t="s" s="8"/>
      <c r="I575" t="s" s="8"/>
      <c r="J575" t="s" s="8"/>
    </row>
    <row r="576" ht="15.75" customHeight="true">
      <c r="A576" t="s" s="15"/>
      <c r="B576" t="s" s="8"/>
      <c r="C576" t="s" s="8"/>
      <c r="D576" t="s" s="8"/>
      <c r="E576" t="s" s="8"/>
      <c r="F576" t="s" s="8"/>
      <c r="G576" t="s" s="8"/>
      <c r="H576" t="s" s="8"/>
      <c r="I576" t="s" s="8"/>
      <c r="J576" t="s" s="8"/>
    </row>
    <row r="577" ht="15.75" customHeight="true">
      <c r="A577" t="s" s="15"/>
      <c r="B577" t="s" s="8"/>
      <c r="C577" t="s" s="8"/>
      <c r="D577" t="s" s="8"/>
      <c r="E577" t="s" s="8"/>
      <c r="F577" t="s" s="8"/>
      <c r="G577" t="s" s="8"/>
      <c r="H577" t="s" s="8"/>
      <c r="I577" t="s" s="8"/>
      <c r="J577" t="s" s="8"/>
    </row>
    <row r="578" ht="15.75" customHeight="true">
      <c r="A578" t="s" s="15"/>
      <c r="B578" t="s" s="8"/>
      <c r="C578" t="s" s="8"/>
      <c r="D578" t="s" s="8"/>
      <c r="E578" t="s" s="8"/>
      <c r="F578" t="s" s="8"/>
      <c r="G578" t="s" s="8"/>
      <c r="H578" t="s" s="8"/>
      <c r="I578" t="s" s="8"/>
      <c r="J578" t="s" s="8"/>
    </row>
    <row r="579" ht="15.75" customHeight="true">
      <c r="A579" t="s" s="15"/>
      <c r="B579" t="s" s="8"/>
      <c r="C579" t="s" s="8"/>
      <c r="D579" t="s" s="8"/>
      <c r="E579" t="s" s="8"/>
      <c r="F579" t="s" s="8"/>
      <c r="G579" t="s" s="8"/>
      <c r="H579" t="s" s="8"/>
      <c r="I579" t="s" s="8"/>
      <c r="J579" t="s" s="8"/>
    </row>
    <row r="580" ht="15.75" customHeight="true">
      <c r="A580" t="s" s="15"/>
      <c r="B580" t="s" s="8"/>
      <c r="C580" t="s" s="8"/>
      <c r="D580" t="s" s="8"/>
      <c r="E580" t="s" s="8"/>
      <c r="F580" t="s" s="8"/>
      <c r="G580" t="s" s="8"/>
      <c r="H580" t="s" s="8"/>
      <c r="I580" t="s" s="8"/>
      <c r="J580" t="s" s="8"/>
    </row>
    <row r="581" ht="15.75" customHeight="true">
      <c r="A581" t="s" s="15"/>
      <c r="B581" t="s" s="8"/>
      <c r="C581" t="s" s="8"/>
      <c r="D581" t="s" s="8"/>
      <c r="E581" t="s" s="8"/>
      <c r="F581" t="s" s="8"/>
      <c r="G581" t="s" s="8"/>
      <c r="H581" t="s" s="8"/>
      <c r="I581" t="s" s="8"/>
      <c r="J581" t="s" s="8"/>
    </row>
    <row r="582" ht="15.75" customHeight="true">
      <c r="A582" t="s" s="15"/>
      <c r="B582" t="s" s="8"/>
      <c r="C582" t="s" s="8"/>
      <c r="D582" t="s" s="8"/>
      <c r="E582" t="s" s="8"/>
      <c r="F582" t="s" s="8"/>
      <c r="G582" t="s" s="8"/>
      <c r="H582" t="s" s="8"/>
      <c r="I582" t="s" s="8"/>
      <c r="J582" t="s" s="8"/>
    </row>
    <row r="583" ht="15.75" customHeight="true">
      <c r="A583" t="s" s="15"/>
      <c r="B583" t="s" s="8"/>
      <c r="C583" t="s" s="8"/>
      <c r="D583" t="s" s="8"/>
      <c r="E583" t="s" s="8"/>
      <c r="F583" t="s" s="8"/>
      <c r="G583" t="s" s="8"/>
      <c r="H583" t="s" s="8"/>
      <c r="I583" t="s" s="8"/>
      <c r="J583" t="s" s="8"/>
    </row>
    <row r="584" ht="15.75" customHeight="true">
      <c r="A584" t="s" s="15"/>
      <c r="B584" t="s" s="8"/>
      <c r="C584" t="s" s="8"/>
      <c r="D584" t="s" s="8"/>
      <c r="E584" t="s" s="8"/>
      <c r="F584" t="s" s="8"/>
      <c r="G584" t="s" s="8"/>
      <c r="H584" t="s" s="8"/>
      <c r="I584" t="s" s="8"/>
      <c r="J584" t="s" s="8"/>
    </row>
    <row r="585" ht="15.75" customHeight="true">
      <c r="A585" t="s" s="15"/>
      <c r="B585" t="s" s="8"/>
      <c r="C585" t="s" s="8"/>
      <c r="D585" t="s" s="8"/>
      <c r="E585" t="s" s="8"/>
      <c r="F585" t="s" s="8"/>
      <c r="G585" t="s" s="8"/>
      <c r="H585" t="s" s="8"/>
      <c r="I585" t="s" s="8"/>
      <c r="J585" t="s" s="8"/>
    </row>
    <row r="586" ht="15.75" customHeight="true">
      <c r="A586" t="s" s="15"/>
      <c r="B586" t="s" s="8"/>
      <c r="C586" t="s" s="8"/>
      <c r="D586" t="s" s="8"/>
      <c r="E586" t="s" s="8"/>
      <c r="F586" t="s" s="8"/>
      <c r="G586" t="s" s="8"/>
      <c r="H586" t="s" s="8"/>
      <c r="I586" t="s" s="8"/>
      <c r="J586" t="s" s="8"/>
    </row>
    <row r="587" ht="15.75" customHeight="true">
      <c r="A587" t="s" s="15"/>
      <c r="B587" t="s" s="8"/>
      <c r="C587" t="s" s="8"/>
      <c r="D587" t="s" s="8"/>
      <c r="E587" t="s" s="8"/>
      <c r="F587" t="s" s="8"/>
      <c r="G587" t="s" s="8"/>
      <c r="H587" t="s" s="8"/>
      <c r="I587" t="s" s="8"/>
      <c r="J587" t="s" s="8"/>
    </row>
    <row r="588" ht="15.75" customHeight="true">
      <c r="A588" t="s" s="15"/>
      <c r="B588" t="s" s="8"/>
      <c r="C588" t="s" s="8"/>
      <c r="D588" t="s" s="8"/>
      <c r="E588" t="s" s="8"/>
      <c r="F588" t="s" s="8"/>
      <c r="G588" t="s" s="8"/>
      <c r="H588" t="s" s="8"/>
      <c r="I588" t="s" s="8"/>
      <c r="J588" t="s" s="8"/>
    </row>
    <row r="589" ht="15.75" customHeight="true">
      <c r="A589" t="s" s="15"/>
      <c r="B589" t="s" s="8"/>
      <c r="C589" t="s" s="8"/>
      <c r="D589" t="s" s="8"/>
      <c r="E589" t="s" s="8"/>
      <c r="F589" t="s" s="8"/>
      <c r="G589" t="s" s="8"/>
      <c r="H589" t="s" s="8"/>
      <c r="I589" t="s" s="8"/>
      <c r="J589" t="s" s="8"/>
    </row>
    <row r="590" ht="15.75" customHeight="true">
      <c r="A590" t="s" s="15"/>
      <c r="B590" t="s" s="8"/>
      <c r="C590" t="s" s="8"/>
      <c r="D590" t="s" s="8"/>
      <c r="E590" t="s" s="8"/>
      <c r="F590" t="s" s="8"/>
      <c r="G590" t="s" s="8"/>
      <c r="H590" t="s" s="8"/>
      <c r="I590" t="s" s="8"/>
      <c r="J590" t="s" s="8"/>
    </row>
    <row r="591" ht="15.75" customHeight="true">
      <c r="A591" t="s" s="15"/>
      <c r="B591" t="s" s="8"/>
      <c r="C591" t="s" s="8"/>
      <c r="D591" t="s" s="8"/>
      <c r="E591" t="s" s="8"/>
      <c r="F591" t="s" s="8"/>
      <c r="G591" t="s" s="8"/>
      <c r="H591" t="s" s="8"/>
      <c r="I591" t="s" s="8"/>
      <c r="J591" t="s" s="8"/>
    </row>
    <row r="592" ht="15.75" customHeight="true">
      <c r="A592" t="s" s="15"/>
      <c r="B592" t="s" s="8"/>
      <c r="C592" t="s" s="8"/>
      <c r="D592" t="s" s="8"/>
      <c r="E592" t="s" s="8"/>
      <c r="F592" t="s" s="8"/>
      <c r="G592" t="s" s="8"/>
      <c r="H592" t="s" s="8"/>
      <c r="I592" t="s" s="8"/>
      <c r="J592" t="s" s="8"/>
    </row>
    <row r="593" ht="15.75" customHeight="true">
      <c r="A593" t="s" s="15"/>
      <c r="B593" t="s" s="8"/>
      <c r="C593" t="s" s="8"/>
      <c r="D593" t="s" s="8"/>
      <c r="E593" t="s" s="8"/>
      <c r="F593" t="s" s="8"/>
      <c r="G593" t="s" s="8"/>
      <c r="H593" t="s" s="8"/>
      <c r="I593" t="s" s="8"/>
      <c r="J593" t="s" s="8"/>
    </row>
    <row r="594" ht="15.75" customHeight="true">
      <c r="A594" t="s" s="15"/>
      <c r="B594" t="s" s="8"/>
      <c r="C594" t="s" s="8"/>
      <c r="D594" t="s" s="8"/>
      <c r="E594" t="s" s="8"/>
      <c r="F594" t="s" s="8"/>
      <c r="G594" t="s" s="8"/>
      <c r="H594" t="s" s="8"/>
      <c r="I594" t="s" s="8"/>
      <c r="J594" t="s" s="8"/>
    </row>
    <row r="595" ht="15.75" customHeight="true">
      <c r="A595" t="s" s="15"/>
      <c r="B595" t="s" s="8"/>
      <c r="C595" t="s" s="8"/>
      <c r="D595" t="s" s="8"/>
      <c r="E595" t="s" s="8"/>
      <c r="F595" t="s" s="8"/>
      <c r="G595" t="s" s="8"/>
      <c r="H595" t="s" s="8"/>
      <c r="I595" t="s" s="8"/>
      <c r="J595" t="s" s="8"/>
    </row>
    <row r="596" ht="15.75" customHeight="true">
      <c r="A596" t="s" s="15"/>
      <c r="B596" t="s" s="8"/>
      <c r="C596" t="s" s="8"/>
      <c r="D596" t="s" s="8"/>
      <c r="E596" t="s" s="8"/>
      <c r="F596" t="s" s="8"/>
      <c r="G596" t="s" s="8"/>
      <c r="H596" t="s" s="8"/>
      <c r="I596" t="s" s="8"/>
      <c r="J596" t="s" s="8"/>
    </row>
    <row r="597" ht="15.75" customHeight="true">
      <c r="A597" t="s" s="15"/>
      <c r="B597" t="s" s="8"/>
      <c r="C597" t="s" s="8"/>
      <c r="D597" t="s" s="8"/>
      <c r="E597" t="s" s="8"/>
      <c r="F597" t="s" s="8"/>
      <c r="G597" t="s" s="8"/>
      <c r="H597" t="s" s="8"/>
      <c r="I597" t="s" s="8"/>
      <c r="J597" t="s" s="8"/>
    </row>
    <row r="598" ht="15.75" customHeight="true">
      <c r="A598" t="s" s="15"/>
      <c r="B598" t="s" s="8"/>
      <c r="C598" t="s" s="8"/>
      <c r="D598" t="s" s="8"/>
      <c r="E598" t="s" s="8"/>
      <c r="F598" t="s" s="8"/>
      <c r="G598" t="s" s="8"/>
      <c r="H598" t="s" s="8"/>
      <c r="I598" t="s" s="8"/>
      <c r="J598" t="s" s="8"/>
    </row>
    <row r="599" ht="15.75" customHeight="true">
      <c r="A599" t="s" s="15"/>
      <c r="B599" t="s" s="8"/>
      <c r="C599" t="s" s="8"/>
      <c r="D599" t="s" s="8"/>
      <c r="E599" t="s" s="8"/>
      <c r="F599" t="s" s="8"/>
      <c r="G599" t="s" s="8"/>
      <c r="H599" t="s" s="8"/>
      <c r="I599" t="s" s="8"/>
      <c r="J599" t="s" s="8"/>
    </row>
    <row r="600" ht="15.75" customHeight="true">
      <c r="A600" t="s" s="15"/>
      <c r="B600" t="s" s="8"/>
      <c r="C600" t="s" s="8"/>
      <c r="D600" t="s" s="8"/>
      <c r="E600" t="s" s="8"/>
      <c r="F600" t="s" s="8"/>
      <c r="G600" t="s" s="8"/>
      <c r="H600" t="s" s="8"/>
      <c r="I600" t="s" s="8"/>
      <c r="J600" t="s" s="8"/>
    </row>
    <row r="601" ht="15.75" customHeight="true">
      <c r="A601" t="s" s="15"/>
      <c r="B601" t="s" s="8"/>
      <c r="C601" t="s" s="8"/>
      <c r="D601" t="s" s="8"/>
      <c r="E601" t="s" s="8"/>
      <c r="F601" t="s" s="8"/>
      <c r="G601" t="s" s="8"/>
      <c r="H601" t="s" s="8"/>
      <c r="I601" t="s" s="8"/>
      <c r="J601" t="s" s="8"/>
    </row>
    <row r="602" ht="15.75" customHeight="true">
      <c r="A602" t="s" s="15"/>
      <c r="B602" t="s" s="8"/>
      <c r="C602" t="s" s="8"/>
      <c r="D602" t="s" s="8"/>
      <c r="E602" t="s" s="8"/>
      <c r="F602" t="s" s="8"/>
      <c r="G602" t="s" s="8"/>
      <c r="H602" t="s" s="8"/>
      <c r="I602" t="s" s="8"/>
      <c r="J602" t="s" s="8"/>
    </row>
    <row r="603" ht="15.75" customHeight="true">
      <c r="A603" t="s" s="15"/>
      <c r="B603" t="s" s="8"/>
      <c r="C603" t="s" s="8"/>
      <c r="D603" t="s" s="8"/>
      <c r="E603" t="s" s="8"/>
      <c r="F603" t="s" s="8"/>
      <c r="G603" t="s" s="8"/>
      <c r="H603" t="s" s="8"/>
      <c r="I603" t="s" s="8"/>
      <c r="J603" t="s" s="8"/>
    </row>
    <row r="604" ht="15.75" customHeight="true">
      <c r="A604" t="s" s="15"/>
      <c r="B604" t="s" s="8"/>
      <c r="C604" t="s" s="8"/>
      <c r="D604" t="s" s="8"/>
      <c r="E604" t="s" s="8"/>
      <c r="F604" t="s" s="8"/>
      <c r="G604" t="s" s="8"/>
      <c r="H604" t="s" s="8"/>
      <c r="I604" t="s" s="8"/>
      <c r="J604" t="s" s="8"/>
    </row>
    <row r="605" ht="15.75" customHeight="true">
      <c r="A605" t="s" s="15"/>
      <c r="B605" t="s" s="8"/>
      <c r="C605" t="s" s="8"/>
      <c r="D605" t="s" s="8"/>
      <c r="E605" t="s" s="8"/>
      <c r="F605" t="s" s="8"/>
      <c r="G605" t="s" s="8"/>
      <c r="H605" t="s" s="8"/>
      <c r="I605" t="s" s="8"/>
      <c r="J605" t="s" s="8"/>
    </row>
    <row r="606" ht="15.75" customHeight="true">
      <c r="A606" t="s" s="15"/>
      <c r="B606" t="s" s="8"/>
      <c r="C606" t="s" s="8"/>
      <c r="D606" t="s" s="8"/>
      <c r="E606" t="s" s="8"/>
      <c r="F606" t="s" s="8"/>
      <c r="G606" t="s" s="8"/>
      <c r="H606" t="s" s="8"/>
      <c r="I606" t="s" s="8"/>
      <c r="J606" t="s" s="8"/>
    </row>
    <row r="607" ht="15.75" customHeight="true">
      <c r="A607" t="s" s="15"/>
      <c r="B607" t="s" s="8"/>
      <c r="C607" t="s" s="8"/>
      <c r="D607" t="s" s="8"/>
      <c r="E607" t="s" s="8"/>
      <c r="F607" t="s" s="8"/>
      <c r="G607" t="s" s="8"/>
      <c r="H607" t="s" s="8"/>
      <c r="I607" t="s" s="8"/>
      <c r="J607" t="s" s="8"/>
    </row>
    <row r="608" ht="15.75" customHeight="true">
      <c r="A608" t="s" s="15"/>
      <c r="B608" t="s" s="8"/>
      <c r="C608" t="s" s="8"/>
      <c r="D608" t="s" s="8"/>
      <c r="E608" t="s" s="8"/>
      <c r="F608" t="s" s="8"/>
      <c r="G608" t="s" s="8"/>
      <c r="H608" t="s" s="8"/>
      <c r="I608" t="s" s="8"/>
      <c r="J608" t="s" s="8"/>
    </row>
    <row r="609" ht="15.75" customHeight="true">
      <c r="A609" t="s" s="15"/>
      <c r="B609" t="s" s="8"/>
      <c r="C609" t="s" s="8"/>
      <c r="D609" t="s" s="8"/>
      <c r="E609" t="s" s="8"/>
      <c r="F609" t="s" s="8"/>
      <c r="G609" t="s" s="8"/>
      <c r="H609" t="s" s="8"/>
      <c r="I609" t="s" s="8"/>
      <c r="J609" t="s" s="8"/>
    </row>
    <row r="610" ht="15.75" customHeight="true">
      <c r="A610" t="s" s="15"/>
      <c r="B610" t="s" s="8"/>
      <c r="C610" t="s" s="8"/>
      <c r="D610" t="s" s="8"/>
      <c r="E610" t="s" s="8"/>
      <c r="F610" t="s" s="8"/>
      <c r="G610" t="s" s="8"/>
      <c r="H610" t="s" s="8"/>
      <c r="I610" t="s" s="8"/>
      <c r="J610" t="s" s="8"/>
    </row>
    <row r="611" ht="15.75" customHeight="true">
      <c r="A611" t="s" s="15"/>
      <c r="B611" t="s" s="8"/>
      <c r="C611" t="s" s="8"/>
      <c r="D611" t="s" s="8"/>
      <c r="E611" t="s" s="8"/>
      <c r="F611" t="s" s="8"/>
      <c r="G611" t="s" s="8"/>
      <c r="H611" t="s" s="8"/>
      <c r="I611" t="s" s="8"/>
      <c r="J611" t="s" s="8"/>
    </row>
    <row r="612" ht="15.75" customHeight="true">
      <c r="A612" t="s" s="15"/>
      <c r="B612" t="s" s="8"/>
      <c r="C612" t="s" s="8"/>
      <c r="D612" t="s" s="8"/>
      <c r="E612" t="s" s="8"/>
      <c r="F612" t="s" s="8"/>
      <c r="G612" t="s" s="8"/>
      <c r="H612" t="s" s="8"/>
      <c r="I612" t="s" s="8"/>
      <c r="J612" t="s" s="8"/>
    </row>
    <row r="613" ht="15.75" customHeight="true">
      <c r="A613" t="s" s="15"/>
      <c r="B613" t="s" s="8"/>
      <c r="C613" t="s" s="8"/>
      <c r="D613" t="s" s="8"/>
      <c r="E613" t="s" s="8"/>
      <c r="F613" t="s" s="8"/>
      <c r="G613" t="s" s="8"/>
      <c r="H613" t="s" s="8"/>
      <c r="I613" t="s" s="8"/>
      <c r="J613" t="s" s="8"/>
    </row>
    <row r="614" ht="15.75" customHeight="true">
      <c r="A614" t="s" s="15"/>
      <c r="B614" t="s" s="8"/>
      <c r="C614" t="s" s="8"/>
      <c r="D614" t="s" s="8"/>
      <c r="E614" t="s" s="8"/>
      <c r="F614" t="s" s="8"/>
      <c r="G614" t="s" s="8"/>
      <c r="H614" t="s" s="8"/>
      <c r="I614" t="s" s="8"/>
      <c r="J614" t="s" s="8"/>
    </row>
    <row r="615" ht="15.75" customHeight="true">
      <c r="A615" t="s" s="15"/>
      <c r="B615" t="s" s="8"/>
      <c r="C615" t="s" s="8"/>
      <c r="D615" t="s" s="8"/>
      <c r="E615" t="s" s="8"/>
      <c r="F615" t="s" s="8"/>
      <c r="G615" t="s" s="8"/>
      <c r="H615" t="s" s="8"/>
      <c r="I615" t="s" s="8"/>
      <c r="J615" t="s" s="8"/>
    </row>
    <row r="616" ht="15.75" customHeight="true">
      <c r="A616" t="s" s="15"/>
      <c r="B616" t="s" s="8"/>
      <c r="C616" t="s" s="8"/>
      <c r="D616" t="s" s="8"/>
      <c r="E616" t="s" s="8"/>
      <c r="F616" t="s" s="8"/>
      <c r="G616" t="s" s="8"/>
      <c r="H616" t="s" s="8"/>
      <c r="I616" t="s" s="8"/>
      <c r="J616" t="s" s="8"/>
    </row>
    <row r="617" ht="15.75" customHeight="true">
      <c r="A617" t="s" s="15"/>
      <c r="B617" t="s" s="8"/>
      <c r="C617" t="s" s="8"/>
      <c r="D617" t="s" s="8"/>
      <c r="E617" t="s" s="8"/>
      <c r="F617" t="s" s="8"/>
      <c r="G617" t="s" s="8"/>
      <c r="H617" t="s" s="8"/>
      <c r="I617" t="s" s="8"/>
      <c r="J617" t="s" s="8"/>
    </row>
    <row r="618" ht="15.75" customHeight="true">
      <c r="A618" t="s" s="15"/>
      <c r="B618" t="s" s="8"/>
      <c r="C618" t="s" s="8"/>
      <c r="D618" t="s" s="8"/>
      <c r="E618" t="s" s="8"/>
      <c r="F618" t="s" s="8"/>
      <c r="G618" t="s" s="8"/>
      <c r="H618" t="s" s="8"/>
      <c r="I618" t="s" s="8"/>
      <c r="J618" t="s" s="8"/>
    </row>
    <row r="619" ht="15.75" customHeight="true">
      <c r="A619" t="s" s="15"/>
      <c r="B619" t="s" s="8"/>
      <c r="C619" t="s" s="8"/>
      <c r="D619" t="s" s="8"/>
      <c r="E619" t="s" s="8"/>
      <c r="F619" t="s" s="8"/>
      <c r="G619" t="s" s="8"/>
      <c r="H619" t="s" s="8"/>
      <c r="I619" t="s" s="8"/>
      <c r="J619" t="s" s="8"/>
    </row>
    <row r="620" ht="15.75" customHeight="true">
      <c r="A620" t="s" s="15"/>
      <c r="B620" t="s" s="8"/>
      <c r="C620" t="s" s="8"/>
      <c r="D620" t="s" s="8"/>
      <c r="E620" t="s" s="8"/>
      <c r="F620" t="s" s="8"/>
      <c r="G620" t="s" s="8"/>
      <c r="H620" t="s" s="8"/>
      <c r="I620" t="s" s="8"/>
      <c r="J620" t="s" s="8"/>
    </row>
    <row r="621" ht="15.75" customHeight="true">
      <c r="A621" t="s" s="15"/>
      <c r="B621" t="s" s="8"/>
      <c r="C621" t="s" s="8"/>
      <c r="D621" t="s" s="8"/>
      <c r="E621" t="s" s="8"/>
      <c r="F621" t="s" s="8"/>
      <c r="G621" t="s" s="8"/>
      <c r="H621" t="s" s="8"/>
      <c r="I621" t="s" s="8"/>
      <c r="J621" t="s" s="8"/>
    </row>
    <row r="622" ht="15.75" customHeight="true">
      <c r="A622" t="s" s="15"/>
      <c r="B622" t="s" s="8"/>
      <c r="C622" t="s" s="8"/>
      <c r="D622" t="s" s="8"/>
      <c r="E622" t="s" s="8"/>
      <c r="F622" t="s" s="8"/>
      <c r="G622" t="s" s="8"/>
      <c r="H622" t="s" s="8"/>
      <c r="I622" t="s" s="8"/>
      <c r="J622" t="s" s="8"/>
    </row>
    <row r="623" ht="15.75" customHeight="true">
      <c r="A623" t="s" s="15"/>
      <c r="B623" t="s" s="8"/>
      <c r="C623" t="s" s="8"/>
      <c r="D623" t="s" s="8"/>
      <c r="E623" t="s" s="8"/>
      <c r="F623" t="s" s="8"/>
      <c r="G623" t="s" s="8"/>
      <c r="H623" t="s" s="8"/>
      <c r="I623" t="s" s="8"/>
      <c r="J623" t="s" s="8"/>
    </row>
    <row r="624" ht="15.75" customHeight="true">
      <c r="A624" t="s" s="15"/>
      <c r="B624" t="s" s="8"/>
      <c r="C624" t="s" s="8"/>
      <c r="D624" t="s" s="8"/>
      <c r="E624" t="s" s="8"/>
      <c r="F624" t="s" s="8"/>
      <c r="G624" t="s" s="8"/>
      <c r="H624" t="s" s="8"/>
      <c r="I624" t="s" s="8"/>
      <c r="J624" t="s" s="8"/>
    </row>
    <row r="625" ht="15.75" customHeight="true">
      <c r="A625" t="s" s="15"/>
      <c r="B625" t="s" s="8"/>
      <c r="C625" t="s" s="8"/>
      <c r="D625" t="s" s="8"/>
      <c r="E625" t="s" s="8"/>
      <c r="F625" t="s" s="8"/>
      <c r="G625" t="s" s="8"/>
      <c r="H625" t="s" s="8"/>
      <c r="I625" t="s" s="8"/>
      <c r="J625" t="s" s="8"/>
    </row>
    <row r="626" ht="15.75" customHeight="true">
      <c r="A626" t="s" s="15"/>
      <c r="B626" t="s" s="8"/>
      <c r="C626" t="s" s="8"/>
      <c r="D626" t="s" s="8"/>
      <c r="E626" t="s" s="8"/>
      <c r="F626" t="s" s="8"/>
      <c r="G626" t="s" s="8"/>
      <c r="H626" t="s" s="8"/>
      <c r="I626" t="s" s="8"/>
      <c r="J626" t="s" s="8"/>
    </row>
    <row r="627" ht="15.75" customHeight="true">
      <c r="A627" t="s" s="15"/>
      <c r="B627" t="s" s="8"/>
      <c r="C627" t="s" s="8"/>
      <c r="D627" t="s" s="8"/>
      <c r="E627" t="s" s="8"/>
      <c r="F627" t="s" s="8"/>
      <c r="G627" t="s" s="8"/>
      <c r="H627" t="s" s="8"/>
      <c r="I627" t="s" s="8"/>
      <c r="J627" t="s" s="8"/>
    </row>
    <row r="628" ht="15.75" customHeight="true">
      <c r="A628" t="s" s="15"/>
      <c r="B628" t="s" s="8"/>
      <c r="C628" t="s" s="8"/>
      <c r="D628" t="s" s="8"/>
      <c r="E628" t="s" s="8"/>
      <c r="F628" t="s" s="8"/>
      <c r="G628" t="s" s="8"/>
      <c r="H628" t="s" s="8"/>
      <c r="I628" t="s" s="8"/>
      <c r="J628" t="s" s="8"/>
    </row>
    <row r="629" ht="15.75" customHeight="true">
      <c r="A629" t="s" s="15"/>
      <c r="B629" t="s" s="8"/>
      <c r="C629" t="s" s="8"/>
      <c r="D629" t="s" s="8"/>
      <c r="E629" t="s" s="8"/>
      <c r="F629" t="s" s="8"/>
      <c r="G629" t="s" s="8"/>
      <c r="H629" t="s" s="8"/>
      <c r="I629" t="s" s="8"/>
      <c r="J629" t="s" s="8"/>
    </row>
    <row r="630" ht="15.75" customHeight="true">
      <c r="A630" t="s" s="15"/>
      <c r="B630" t="s" s="8"/>
      <c r="C630" t="s" s="8"/>
      <c r="D630" t="s" s="8"/>
      <c r="E630" t="s" s="8"/>
      <c r="F630" t="s" s="8"/>
      <c r="G630" t="s" s="8"/>
      <c r="H630" t="s" s="8"/>
      <c r="I630" t="s" s="8"/>
      <c r="J630" t="s" s="8"/>
    </row>
    <row r="631" ht="15.75" customHeight="true">
      <c r="A631" t="s" s="15"/>
      <c r="B631" t="s" s="8"/>
      <c r="C631" t="s" s="8"/>
      <c r="D631" t="s" s="8"/>
      <c r="E631" t="s" s="8"/>
      <c r="F631" t="s" s="8"/>
      <c r="G631" t="s" s="8"/>
      <c r="H631" t="s" s="8"/>
      <c r="I631" t="s" s="8"/>
      <c r="J631" t="s" s="8"/>
    </row>
    <row r="632" ht="15.75" customHeight="true">
      <c r="A632" t="s" s="15"/>
      <c r="B632" t="s" s="8"/>
      <c r="C632" t="s" s="8"/>
      <c r="D632" t="s" s="8"/>
      <c r="E632" t="s" s="8"/>
      <c r="F632" t="s" s="8"/>
      <c r="G632" t="s" s="8"/>
      <c r="H632" t="s" s="8"/>
      <c r="I632" t="s" s="8"/>
      <c r="J632" t="s" s="8"/>
    </row>
    <row r="633" ht="15.75" customHeight="true">
      <c r="A633" t="s" s="15"/>
      <c r="B633" t="s" s="8"/>
      <c r="C633" t="s" s="8"/>
      <c r="D633" t="s" s="8"/>
      <c r="E633" t="s" s="8"/>
      <c r="F633" t="s" s="8"/>
      <c r="G633" t="s" s="8"/>
      <c r="H633" t="s" s="8"/>
      <c r="I633" t="s" s="8"/>
      <c r="J633" t="s" s="8"/>
    </row>
    <row r="634" ht="15.75" customHeight="true">
      <c r="A634" t="s" s="15"/>
      <c r="B634" t="s" s="8"/>
      <c r="C634" t="s" s="8"/>
      <c r="D634" t="s" s="8"/>
      <c r="E634" t="s" s="8"/>
      <c r="F634" t="s" s="8"/>
      <c r="G634" t="s" s="8"/>
      <c r="H634" t="s" s="8"/>
      <c r="I634" t="s" s="8"/>
      <c r="J634" t="s" s="8"/>
    </row>
    <row r="635" ht="15.75" customHeight="true">
      <c r="A635" t="s" s="15"/>
      <c r="B635" t="s" s="8"/>
      <c r="C635" t="s" s="8"/>
      <c r="D635" t="s" s="8"/>
      <c r="E635" t="s" s="8"/>
      <c r="F635" t="s" s="8"/>
      <c r="G635" t="s" s="8"/>
      <c r="H635" t="s" s="8"/>
      <c r="I635" t="s" s="8"/>
      <c r="J635" t="s" s="8"/>
    </row>
    <row r="636" ht="15.75" customHeight="true">
      <c r="A636" t="s" s="15"/>
      <c r="B636" t="s" s="8"/>
      <c r="C636" t="s" s="8"/>
      <c r="D636" t="s" s="8"/>
      <c r="E636" t="s" s="8"/>
      <c r="F636" t="s" s="8"/>
      <c r="G636" t="s" s="8"/>
      <c r="H636" t="s" s="8"/>
      <c r="I636" t="s" s="8"/>
      <c r="J636" t="s" s="8"/>
    </row>
    <row r="637" ht="15.75" customHeight="true">
      <c r="A637" t="s" s="15"/>
      <c r="B637" t="s" s="8"/>
      <c r="C637" t="s" s="8"/>
      <c r="D637" t="s" s="8"/>
      <c r="E637" t="s" s="8"/>
      <c r="F637" t="s" s="8"/>
      <c r="G637" t="s" s="8"/>
      <c r="H637" t="s" s="8"/>
      <c r="I637" t="s" s="8"/>
      <c r="J637" t="s" s="8"/>
    </row>
    <row r="638" ht="15.75" customHeight="true">
      <c r="A638" t="s" s="15"/>
      <c r="B638" t="s" s="8"/>
      <c r="C638" t="s" s="8"/>
      <c r="D638" t="s" s="8"/>
      <c r="E638" t="s" s="8"/>
      <c r="F638" t="s" s="8"/>
      <c r="G638" t="s" s="8"/>
      <c r="H638" t="s" s="8"/>
      <c r="I638" t="s" s="8"/>
      <c r="J638" t="s" s="8"/>
    </row>
    <row r="639" ht="15.75" customHeight="true">
      <c r="A639" t="s" s="15"/>
      <c r="B639" t="s" s="8"/>
      <c r="C639" t="s" s="8"/>
      <c r="D639" t="s" s="8"/>
      <c r="E639" t="s" s="8"/>
      <c r="F639" t="s" s="8"/>
      <c r="G639" t="s" s="8"/>
      <c r="H639" t="s" s="8"/>
      <c r="I639" t="s" s="8"/>
      <c r="J639" t="s" s="8"/>
    </row>
    <row r="640" ht="15.75" customHeight="true">
      <c r="A640" t="s" s="15"/>
      <c r="B640" t="s" s="8"/>
      <c r="C640" t="s" s="8"/>
      <c r="D640" t="s" s="8"/>
      <c r="E640" t="s" s="8"/>
      <c r="F640" t="s" s="8"/>
      <c r="G640" t="s" s="8"/>
      <c r="H640" t="s" s="8"/>
      <c r="I640" t="s" s="8"/>
      <c r="J640" t="s" s="8"/>
    </row>
    <row r="641" ht="15.75" customHeight="true">
      <c r="A641" t="s" s="15"/>
      <c r="B641" t="s" s="8"/>
      <c r="C641" t="s" s="8"/>
      <c r="D641" t="s" s="8"/>
      <c r="E641" t="s" s="8"/>
      <c r="F641" t="s" s="8"/>
      <c r="G641" t="s" s="8"/>
      <c r="H641" t="s" s="8"/>
      <c r="I641" t="s" s="8"/>
      <c r="J641" t="s" s="8"/>
    </row>
    <row r="642" ht="15.75" customHeight="true">
      <c r="A642" t="s" s="15"/>
      <c r="B642" t="s" s="8"/>
      <c r="C642" t="s" s="8"/>
      <c r="D642" t="s" s="8"/>
      <c r="E642" t="s" s="8"/>
      <c r="F642" t="s" s="8"/>
      <c r="G642" t="s" s="8"/>
      <c r="H642" t="s" s="8"/>
      <c r="I642" t="s" s="8"/>
      <c r="J642" t="s" s="8"/>
    </row>
    <row r="643" ht="15.75" customHeight="true">
      <c r="A643" t="s" s="15"/>
      <c r="B643" t="s" s="8"/>
      <c r="C643" t="s" s="8"/>
      <c r="D643" t="s" s="8"/>
      <c r="E643" t="s" s="8"/>
      <c r="F643" t="s" s="8"/>
      <c r="G643" t="s" s="8"/>
      <c r="H643" t="s" s="8"/>
      <c r="I643" t="s" s="8"/>
      <c r="J643" t="s" s="8"/>
    </row>
    <row r="644" ht="15.75" customHeight="true">
      <c r="A644" t="s" s="15"/>
      <c r="B644" t="s" s="8"/>
      <c r="C644" t="s" s="8"/>
      <c r="D644" t="s" s="8"/>
      <c r="E644" t="s" s="8"/>
      <c r="F644" t="s" s="8"/>
      <c r="G644" t="s" s="8"/>
      <c r="H644" t="s" s="8"/>
      <c r="I644" t="s" s="8"/>
      <c r="J644" t="s" s="8"/>
    </row>
    <row r="645" ht="15.75" customHeight="true">
      <c r="A645" t="s" s="15"/>
      <c r="B645" t="s" s="8"/>
      <c r="C645" t="s" s="8"/>
      <c r="D645" t="s" s="8"/>
      <c r="E645" t="s" s="8"/>
      <c r="F645" t="s" s="8"/>
      <c r="G645" t="s" s="8"/>
      <c r="H645" t="s" s="8"/>
      <c r="I645" t="s" s="8"/>
      <c r="J645" t="s" s="8"/>
    </row>
    <row r="646" ht="15.75" customHeight="true">
      <c r="A646" t="s" s="15"/>
      <c r="B646" t="s" s="8"/>
      <c r="C646" t="s" s="8"/>
      <c r="D646" t="s" s="8"/>
      <c r="E646" t="s" s="8"/>
      <c r="F646" t="s" s="8"/>
      <c r="G646" t="s" s="8"/>
      <c r="H646" t="s" s="8"/>
      <c r="I646" t="s" s="8"/>
      <c r="J646" t="s" s="8"/>
    </row>
    <row r="647" ht="15.75" customHeight="true">
      <c r="A647" t="s" s="15"/>
      <c r="B647" t="s" s="8"/>
      <c r="C647" t="s" s="8"/>
      <c r="D647" t="s" s="8"/>
      <c r="E647" t="s" s="8"/>
      <c r="F647" t="s" s="8"/>
      <c r="G647" t="s" s="8"/>
      <c r="H647" t="s" s="8"/>
      <c r="I647" t="s" s="8"/>
      <c r="J647" t="s" s="8"/>
    </row>
    <row r="648" ht="15.75" customHeight="true">
      <c r="A648" t="s" s="15"/>
      <c r="B648" t="s" s="8"/>
      <c r="C648" t="s" s="8"/>
      <c r="D648" t="s" s="8"/>
      <c r="E648" t="s" s="8"/>
      <c r="F648" t="s" s="8"/>
      <c r="G648" t="s" s="8"/>
      <c r="H648" t="s" s="8"/>
      <c r="I648" t="s" s="8"/>
      <c r="J648" t="s" s="8"/>
    </row>
    <row r="649" ht="15.75" customHeight="true">
      <c r="A649" t="s" s="15"/>
      <c r="B649" t="s" s="8"/>
      <c r="C649" t="s" s="8"/>
      <c r="D649" t="s" s="8"/>
      <c r="E649" t="s" s="8"/>
      <c r="F649" t="s" s="8"/>
      <c r="G649" t="s" s="8"/>
      <c r="H649" t="s" s="8"/>
      <c r="I649" t="s" s="8"/>
      <c r="J649" t="s" s="8"/>
    </row>
    <row r="650" ht="15.75" customHeight="true">
      <c r="A650" t="s" s="15"/>
      <c r="B650" t="s" s="8"/>
      <c r="C650" t="s" s="8"/>
      <c r="D650" t="s" s="8"/>
      <c r="E650" t="s" s="8"/>
      <c r="F650" t="s" s="8"/>
      <c r="G650" t="s" s="8"/>
      <c r="H650" t="s" s="8"/>
      <c r="I650" t="s" s="8"/>
      <c r="J650" t="s" s="8"/>
    </row>
    <row r="651" ht="15.75" customHeight="true">
      <c r="A651" t="s" s="15"/>
      <c r="B651" t="s" s="8"/>
      <c r="C651" t="s" s="8"/>
      <c r="D651" t="s" s="8"/>
      <c r="E651" t="s" s="8"/>
      <c r="F651" t="s" s="8"/>
      <c r="G651" t="s" s="8"/>
      <c r="H651" t="s" s="8"/>
      <c r="I651" t="s" s="8"/>
      <c r="J651" t="s" s="8"/>
    </row>
    <row r="652" ht="15.75" customHeight="true">
      <c r="A652" t="s" s="15"/>
      <c r="B652" t="s" s="8"/>
      <c r="C652" t="s" s="8"/>
      <c r="D652" t="s" s="8"/>
      <c r="E652" t="s" s="8"/>
      <c r="F652" t="s" s="8"/>
      <c r="G652" t="s" s="8"/>
      <c r="H652" t="s" s="8"/>
      <c r="I652" t="s" s="8"/>
      <c r="J652" t="s" s="8"/>
    </row>
    <row r="653" ht="15.75" customHeight="true">
      <c r="A653" t="s" s="15"/>
      <c r="B653" t="s" s="8"/>
      <c r="C653" t="s" s="8"/>
      <c r="D653" t="s" s="8"/>
      <c r="E653" t="s" s="8"/>
      <c r="F653" t="s" s="8"/>
      <c r="G653" t="s" s="8"/>
      <c r="H653" t="s" s="8"/>
      <c r="I653" t="s" s="8"/>
      <c r="J653" t="s" s="8"/>
    </row>
    <row r="654" ht="15.75" customHeight="true">
      <c r="A654" t="s" s="15"/>
      <c r="B654" t="s" s="8"/>
      <c r="C654" t="s" s="8"/>
      <c r="D654" t="s" s="8"/>
      <c r="E654" t="s" s="8"/>
      <c r="F654" t="s" s="8"/>
      <c r="G654" t="s" s="8"/>
      <c r="H654" t="s" s="8"/>
      <c r="I654" t="s" s="8"/>
      <c r="J654" t="s" s="8"/>
    </row>
    <row r="655" ht="15.75" customHeight="true">
      <c r="A655" t="s" s="15"/>
      <c r="B655" t="s" s="8"/>
      <c r="C655" t="s" s="8"/>
      <c r="D655" t="s" s="8"/>
      <c r="E655" t="s" s="8"/>
      <c r="F655" t="s" s="8"/>
      <c r="G655" t="s" s="8"/>
      <c r="H655" t="s" s="8"/>
      <c r="I655" t="s" s="8"/>
      <c r="J655" t="s" s="8"/>
    </row>
    <row r="656" ht="15.75" customHeight="true">
      <c r="A656" t="s" s="15"/>
      <c r="B656" t="s" s="8"/>
      <c r="C656" t="s" s="8"/>
      <c r="D656" t="s" s="8"/>
      <c r="E656" t="s" s="8"/>
      <c r="F656" t="s" s="8"/>
      <c r="G656" t="s" s="8"/>
      <c r="H656" t="s" s="8"/>
      <c r="I656" t="s" s="8"/>
      <c r="J656" t="s" s="8"/>
    </row>
    <row r="657" ht="15.75" customHeight="true">
      <c r="A657" t="s" s="15"/>
      <c r="B657" t="s" s="8"/>
      <c r="C657" t="s" s="8"/>
      <c r="D657" t="s" s="8"/>
      <c r="E657" t="s" s="8"/>
      <c r="F657" t="s" s="8"/>
      <c r="G657" t="s" s="8"/>
      <c r="H657" t="s" s="8"/>
      <c r="I657" t="s" s="8"/>
      <c r="J657" t="s" s="8"/>
    </row>
    <row r="658" ht="15.75" customHeight="true">
      <c r="A658" t="s" s="15"/>
      <c r="B658" t="s" s="8"/>
      <c r="C658" t="s" s="8"/>
      <c r="D658" t="s" s="8"/>
      <c r="E658" t="s" s="8"/>
      <c r="F658" t="s" s="8"/>
      <c r="G658" t="s" s="8"/>
      <c r="H658" t="s" s="8"/>
      <c r="I658" t="s" s="8"/>
      <c r="J658" t="s" s="8"/>
    </row>
    <row r="659" ht="15.75" customHeight="true">
      <c r="A659" t="s" s="15"/>
      <c r="B659" t="s" s="8"/>
      <c r="C659" t="s" s="8"/>
      <c r="D659" t="s" s="8"/>
      <c r="E659" t="s" s="8"/>
      <c r="F659" t="s" s="8"/>
      <c r="G659" t="s" s="8"/>
      <c r="H659" t="s" s="8"/>
      <c r="I659" t="s" s="8"/>
      <c r="J659" t="s" s="8"/>
    </row>
    <row r="660" ht="15.75" customHeight="true">
      <c r="A660" t="s" s="15"/>
      <c r="B660" t="s" s="8"/>
      <c r="C660" t="s" s="8"/>
      <c r="D660" t="s" s="8"/>
      <c r="E660" t="s" s="8"/>
      <c r="F660" t="s" s="8"/>
      <c r="G660" t="s" s="8"/>
      <c r="H660" t="s" s="8"/>
      <c r="I660" t="s" s="8"/>
      <c r="J660" t="s" s="8"/>
    </row>
    <row r="661" ht="15.75" customHeight="true">
      <c r="A661" t="s" s="15"/>
      <c r="B661" t="s" s="8"/>
      <c r="C661" t="s" s="8"/>
      <c r="D661" t="s" s="8"/>
      <c r="E661" t="s" s="8"/>
      <c r="F661" t="s" s="8"/>
      <c r="G661" t="s" s="8"/>
      <c r="H661" t="s" s="8"/>
      <c r="I661" t="s" s="8"/>
      <c r="J661" t="s" s="8"/>
    </row>
    <row r="662" ht="15.75" customHeight="true">
      <c r="A662" t="s" s="15"/>
      <c r="B662" t="s" s="8"/>
      <c r="C662" t="s" s="8"/>
      <c r="D662" t="s" s="8"/>
      <c r="E662" t="s" s="8"/>
      <c r="F662" t="s" s="8"/>
      <c r="G662" t="s" s="8"/>
      <c r="H662" t="s" s="8"/>
      <c r="I662" t="s" s="8"/>
      <c r="J662" t="s" s="8"/>
    </row>
    <row r="663" ht="15.75" customHeight="true">
      <c r="A663" t="s" s="15"/>
      <c r="B663" t="s" s="8"/>
      <c r="C663" t="s" s="8"/>
      <c r="D663" t="s" s="8"/>
      <c r="E663" t="s" s="8"/>
      <c r="F663" t="s" s="8"/>
      <c r="G663" t="s" s="8"/>
      <c r="H663" t="s" s="8"/>
      <c r="I663" t="s" s="8"/>
      <c r="J663" t="s" s="8"/>
    </row>
    <row r="664" ht="15.75" customHeight="true">
      <c r="A664" t="s" s="15"/>
      <c r="B664" t="s" s="8"/>
      <c r="C664" t="s" s="8"/>
      <c r="D664" t="s" s="8"/>
      <c r="E664" t="s" s="8"/>
      <c r="F664" t="s" s="8"/>
      <c r="G664" t="s" s="8"/>
      <c r="H664" t="s" s="8"/>
      <c r="I664" t="s" s="8"/>
      <c r="J664" t="s" s="8"/>
    </row>
    <row r="665" ht="15.75" customHeight="true">
      <c r="A665" t="s" s="15"/>
      <c r="B665" t="s" s="8"/>
      <c r="C665" t="s" s="8"/>
      <c r="D665" t="s" s="8"/>
      <c r="E665" t="s" s="8"/>
      <c r="F665" t="s" s="8"/>
      <c r="G665" t="s" s="8"/>
      <c r="H665" t="s" s="8"/>
      <c r="I665" t="s" s="8"/>
      <c r="J665" t="s" s="8"/>
    </row>
    <row r="666" ht="15.75" customHeight="true">
      <c r="A666" t="s" s="15"/>
      <c r="B666" t="s" s="8"/>
      <c r="C666" t="s" s="8"/>
      <c r="D666" t="s" s="8"/>
      <c r="E666" t="s" s="8"/>
      <c r="F666" t="s" s="8"/>
      <c r="G666" t="s" s="8"/>
      <c r="H666" t="s" s="8"/>
      <c r="I666" t="s" s="8"/>
      <c r="J666" t="s" s="8"/>
    </row>
    <row r="667" ht="15.75" customHeight="true">
      <c r="A667" t="s" s="15"/>
      <c r="B667" t="s" s="8"/>
      <c r="C667" t="s" s="8"/>
      <c r="D667" t="s" s="8"/>
      <c r="E667" t="s" s="8"/>
      <c r="F667" t="s" s="8"/>
      <c r="G667" t="s" s="8"/>
      <c r="H667" t="s" s="8"/>
      <c r="I667" t="s" s="8"/>
      <c r="J667" t="s" s="8"/>
    </row>
    <row r="668" ht="15.75" customHeight="true">
      <c r="A668" t="s" s="15"/>
      <c r="B668" t="s" s="8"/>
      <c r="C668" t="s" s="8"/>
      <c r="D668" t="s" s="8"/>
      <c r="E668" t="s" s="8"/>
      <c r="F668" t="s" s="8"/>
      <c r="G668" t="s" s="8"/>
      <c r="H668" t="s" s="8"/>
      <c r="I668" t="s" s="8"/>
      <c r="J668" t="s" s="8"/>
    </row>
    <row r="669" ht="15.75" customHeight="true">
      <c r="A669" t="s" s="15"/>
      <c r="B669" t="s" s="8"/>
      <c r="C669" t="s" s="8"/>
      <c r="D669" t="s" s="8"/>
      <c r="E669" t="s" s="8"/>
      <c r="F669" t="s" s="8"/>
      <c r="G669" t="s" s="8"/>
      <c r="H669" t="s" s="8"/>
      <c r="I669" t="s" s="8"/>
      <c r="J669" t="s" s="8"/>
    </row>
    <row r="670" ht="15.75" customHeight="true">
      <c r="A670" t="s" s="15"/>
      <c r="B670" t="s" s="8"/>
      <c r="C670" t="s" s="8"/>
      <c r="D670" t="s" s="8"/>
      <c r="E670" t="s" s="8"/>
      <c r="F670" t="s" s="8"/>
      <c r="G670" t="s" s="8"/>
      <c r="H670" t="s" s="8"/>
      <c r="I670" t="s" s="8"/>
      <c r="J670" t="s" s="8"/>
    </row>
    <row r="671" ht="15.75" customHeight="true">
      <c r="A671" t="s" s="15"/>
      <c r="B671" t="s" s="8"/>
      <c r="C671" t="s" s="8"/>
      <c r="D671" t="s" s="8"/>
      <c r="E671" t="s" s="8"/>
      <c r="F671" t="s" s="8"/>
      <c r="G671" t="s" s="8"/>
      <c r="H671" t="s" s="8"/>
      <c r="I671" t="s" s="8"/>
      <c r="J671" t="s" s="8"/>
    </row>
    <row r="672" ht="15.75" customHeight="true">
      <c r="A672" t="s" s="15"/>
      <c r="B672" t="s" s="8"/>
      <c r="C672" t="s" s="8"/>
      <c r="D672" t="s" s="8"/>
      <c r="E672" t="s" s="8"/>
      <c r="F672" t="s" s="8"/>
      <c r="G672" t="s" s="8"/>
      <c r="H672" t="s" s="8"/>
      <c r="I672" t="s" s="8"/>
      <c r="J672" t="s" s="8"/>
    </row>
    <row r="673" ht="15.75" customHeight="true">
      <c r="A673" t="s" s="15"/>
      <c r="B673" t="s" s="8"/>
      <c r="C673" t="s" s="8"/>
      <c r="D673" t="s" s="8"/>
      <c r="E673" t="s" s="8"/>
      <c r="F673" t="s" s="8"/>
      <c r="G673" t="s" s="8"/>
      <c r="H673" t="s" s="8"/>
      <c r="I673" t="s" s="8"/>
      <c r="J673" t="s" s="8"/>
    </row>
    <row r="674" ht="15.75" customHeight="true">
      <c r="A674" t="s" s="15"/>
      <c r="B674" t="s" s="8"/>
      <c r="C674" t="s" s="8"/>
      <c r="D674" t="s" s="8"/>
      <c r="E674" t="s" s="8"/>
      <c r="F674" t="s" s="8"/>
      <c r="G674" t="s" s="8"/>
      <c r="H674" t="s" s="8"/>
      <c r="I674" t="s" s="8"/>
      <c r="J674" t="s" s="8"/>
    </row>
    <row r="675" ht="15.75" customHeight="true">
      <c r="A675" t="s" s="15"/>
      <c r="B675" t="s" s="8"/>
      <c r="C675" t="s" s="8"/>
      <c r="D675" t="s" s="8"/>
      <c r="E675" t="s" s="8"/>
      <c r="F675" t="s" s="8"/>
      <c r="G675" t="s" s="8"/>
      <c r="H675" t="s" s="8"/>
      <c r="I675" t="s" s="8"/>
      <c r="J675" t="s" s="8"/>
    </row>
    <row r="676" ht="15.75" customHeight="true">
      <c r="A676" t="s" s="15"/>
      <c r="B676" t="s" s="8"/>
      <c r="C676" t="s" s="8"/>
      <c r="D676" t="s" s="8"/>
      <c r="E676" t="s" s="8"/>
      <c r="F676" t="s" s="8"/>
      <c r="G676" t="s" s="8"/>
      <c r="H676" t="s" s="8"/>
      <c r="I676" t="s" s="8"/>
      <c r="J676" t="s" s="8"/>
    </row>
    <row r="677" ht="15.75" customHeight="true">
      <c r="A677" t="s" s="15"/>
      <c r="B677" t="s" s="8"/>
      <c r="C677" t="s" s="8"/>
      <c r="D677" t="s" s="8"/>
      <c r="E677" t="s" s="8"/>
      <c r="F677" t="s" s="8"/>
      <c r="G677" t="s" s="8"/>
      <c r="H677" t="s" s="8"/>
      <c r="I677" t="s" s="8"/>
      <c r="J677" t="s" s="8"/>
    </row>
    <row r="678" ht="15.75" customHeight="true">
      <c r="A678" t="s" s="15"/>
      <c r="B678" t="s" s="8"/>
      <c r="C678" t="s" s="8"/>
      <c r="D678" t="s" s="8"/>
      <c r="E678" t="s" s="8"/>
      <c r="F678" t="s" s="8"/>
      <c r="G678" t="s" s="8"/>
      <c r="H678" t="s" s="8"/>
      <c r="I678" t="s" s="8"/>
      <c r="J678" t="s" s="8"/>
    </row>
    <row r="679" ht="15.75" customHeight="true">
      <c r="A679" t="s" s="15"/>
      <c r="B679" t="s" s="8"/>
      <c r="C679" t="s" s="8"/>
      <c r="D679" t="s" s="8"/>
      <c r="E679" t="s" s="8"/>
      <c r="F679" t="s" s="8"/>
      <c r="G679" t="s" s="8"/>
      <c r="H679" t="s" s="8"/>
      <c r="I679" t="s" s="8"/>
      <c r="J679" t="s" s="8"/>
    </row>
    <row r="680" ht="15.75" customHeight="true">
      <c r="A680" t="s" s="15"/>
      <c r="B680" t="s" s="8"/>
      <c r="C680" t="s" s="8"/>
      <c r="D680" t="s" s="8"/>
      <c r="E680" t="s" s="8"/>
      <c r="F680" t="s" s="8"/>
      <c r="G680" t="s" s="8"/>
      <c r="H680" t="s" s="8"/>
      <c r="I680" t="s" s="8"/>
      <c r="J680" t="s" s="8"/>
    </row>
    <row r="681" ht="15.75" customHeight="true">
      <c r="A681" t="s" s="15"/>
      <c r="B681" t="s" s="8"/>
      <c r="C681" t="s" s="8"/>
      <c r="D681" t="s" s="8"/>
      <c r="E681" t="s" s="8"/>
      <c r="F681" t="s" s="8"/>
      <c r="G681" t="s" s="8"/>
      <c r="H681" t="s" s="8"/>
      <c r="I681" t="s" s="8"/>
      <c r="J681" t="s" s="8"/>
    </row>
    <row r="682" ht="15.75" customHeight="true">
      <c r="A682" t="s" s="15"/>
      <c r="B682" t="s" s="8"/>
      <c r="C682" t="s" s="8"/>
      <c r="D682" t="s" s="8"/>
      <c r="E682" t="s" s="8"/>
      <c r="F682" t="s" s="8"/>
      <c r="G682" t="s" s="8"/>
      <c r="H682" t="s" s="8"/>
      <c r="I682" t="s" s="8"/>
      <c r="J682" t="s" s="8"/>
    </row>
    <row r="683" ht="15.75" customHeight="true">
      <c r="A683" t="s" s="15"/>
      <c r="B683" t="s" s="8"/>
      <c r="C683" t="s" s="8"/>
      <c r="D683" t="s" s="8"/>
      <c r="E683" t="s" s="8"/>
      <c r="F683" t="s" s="8"/>
      <c r="G683" t="s" s="8"/>
      <c r="H683" t="s" s="8"/>
      <c r="I683" t="s" s="8"/>
      <c r="J683" t="s" s="8"/>
    </row>
    <row r="684" ht="15.75" customHeight="true">
      <c r="A684" t="s" s="15"/>
      <c r="B684" t="s" s="8"/>
      <c r="C684" t="s" s="8"/>
      <c r="D684" t="s" s="8"/>
      <c r="E684" t="s" s="8"/>
      <c r="F684" t="s" s="8"/>
      <c r="G684" t="s" s="8"/>
      <c r="H684" t="s" s="8"/>
      <c r="I684" t="s" s="8"/>
      <c r="J684" t="s" s="8"/>
    </row>
    <row r="685" ht="15.75" customHeight="true">
      <c r="A685" t="s" s="15"/>
      <c r="B685" t="s" s="8"/>
      <c r="C685" t="s" s="8"/>
      <c r="D685" t="s" s="8"/>
      <c r="E685" t="s" s="8"/>
      <c r="F685" t="s" s="8"/>
      <c r="G685" t="s" s="8"/>
      <c r="H685" t="s" s="8"/>
      <c r="I685" t="s" s="8"/>
      <c r="J685" t="s" s="8"/>
    </row>
    <row r="686" ht="15.75" customHeight="true">
      <c r="A686" t="s" s="15"/>
      <c r="B686" t="s" s="8"/>
      <c r="C686" t="s" s="8"/>
      <c r="D686" t="s" s="8"/>
      <c r="E686" t="s" s="8"/>
      <c r="F686" t="s" s="8"/>
      <c r="G686" t="s" s="8"/>
      <c r="H686" t="s" s="8"/>
      <c r="I686" t="s" s="8"/>
      <c r="J686" t="s" s="8"/>
    </row>
    <row r="687" ht="15.75" customHeight="true">
      <c r="A687" t="s" s="15"/>
      <c r="B687" t="s" s="8"/>
      <c r="C687" t="s" s="8"/>
      <c r="D687" t="s" s="8"/>
      <c r="E687" t="s" s="8"/>
      <c r="F687" t="s" s="8"/>
      <c r="G687" t="s" s="8"/>
      <c r="H687" t="s" s="8"/>
      <c r="I687" t="s" s="8"/>
      <c r="J687" t="s" s="8"/>
    </row>
    <row r="688" ht="15.75" customHeight="true">
      <c r="A688" t="s" s="15"/>
      <c r="B688" t="s" s="8"/>
      <c r="C688" t="s" s="8"/>
      <c r="D688" t="s" s="8"/>
      <c r="E688" t="s" s="8"/>
      <c r="F688" t="s" s="8"/>
      <c r="G688" t="s" s="8"/>
      <c r="H688" t="s" s="8"/>
      <c r="I688" t="s" s="8"/>
      <c r="J688" t="s" s="8"/>
    </row>
    <row r="689" ht="15.75" customHeight="true">
      <c r="A689" t="s" s="15"/>
      <c r="B689" t="s" s="8"/>
      <c r="C689" t="s" s="8"/>
      <c r="D689" t="s" s="8"/>
      <c r="E689" t="s" s="8"/>
      <c r="F689" t="s" s="8"/>
      <c r="G689" t="s" s="8"/>
      <c r="H689" t="s" s="8"/>
      <c r="I689" t="s" s="8"/>
      <c r="J689" t="s" s="8"/>
    </row>
    <row r="690" ht="15.75" customHeight="true">
      <c r="A690" t="s" s="15"/>
      <c r="B690" t="s" s="8"/>
      <c r="C690" t="s" s="8"/>
      <c r="D690" t="s" s="8"/>
      <c r="E690" t="s" s="8"/>
      <c r="F690" t="s" s="8"/>
      <c r="G690" t="s" s="8"/>
      <c r="H690" t="s" s="8"/>
      <c r="I690" t="s" s="8"/>
      <c r="J690" t="s" s="8"/>
    </row>
    <row r="691" ht="15.75" customHeight="true">
      <c r="A691" t="s" s="15"/>
      <c r="B691" t="s" s="8"/>
      <c r="C691" t="s" s="8"/>
      <c r="D691" t="s" s="8"/>
      <c r="E691" t="s" s="8"/>
      <c r="F691" t="s" s="8"/>
      <c r="G691" t="s" s="8"/>
      <c r="H691" t="s" s="8"/>
      <c r="I691" t="s" s="8"/>
      <c r="J691" t="s" s="8"/>
    </row>
    <row r="692" ht="15.75" customHeight="true">
      <c r="A692" t="s" s="15"/>
      <c r="B692" t="s" s="8"/>
      <c r="C692" t="s" s="8"/>
      <c r="D692" t="s" s="8"/>
      <c r="E692" t="s" s="8"/>
      <c r="F692" t="s" s="8"/>
      <c r="G692" t="s" s="8"/>
      <c r="H692" t="s" s="8"/>
      <c r="I692" t="s" s="8"/>
      <c r="J692" t="s" s="8"/>
    </row>
    <row r="693" ht="15.75" customHeight="true">
      <c r="A693" t="s" s="15"/>
      <c r="B693" t="s" s="8"/>
      <c r="C693" t="s" s="8"/>
      <c r="D693" t="s" s="8"/>
      <c r="E693" t="s" s="8"/>
      <c r="F693" t="s" s="8"/>
      <c r="G693" t="s" s="8"/>
      <c r="H693" t="s" s="8"/>
      <c r="I693" t="s" s="8"/>
      <c r="J693" t="s" s="8"/>
    </row>
    <row r="694" ht="15.75" customHeight="true">
      <c r="A694" t="s" s="15"/>
      <c r="B694" t="s" s="8"/>
      <c r="C694" t="s" s="8"/>
      <c r="D694" t="s" s="8"/>
      <c r="E694" t="s" s="8"/>
      <c r="F694" t="s" s="8"/>
      <c r="G694" t="s" s="8"/>
      <c r="H694" t="s" s="8"/>
      <c r="I694" t="s" s="8"/>
      <c r="J694" t="s" s="8"/>
    </row>
    <row r="695" ht="15.75" customHeight="true">
      <c r="A695" t="s" s="15"/>
      <c r="B695" t="s" s="8"/>
      <c r="C695" t="s" s="8"/>
      <c r="D695" t="s" s="8"/>
      <c r="E695" t="s" s="8"/>
      <c r="F695" t="s" s="8"/>
      <c r="G695" t="s" s="8"/>
      <c r="H695" t="s" s="8"/>
      <c r="I695" t="s" s="8"/>
      <c r="J695" t="s" s="8"/>
    </row>
    <row r="696" ht="15.75" customHeight="true">
      <c r="A696" t="s" s="15"/>
      <c r="B696" t="s" s="8"/>
      <c r="C696" t="s" s="8"/>
      <c r="D696" t="s" s="8"/>
      <c r="E696" t="s" s="8"/>
      <c r="F696" t="s" s="8"/>
      <c r="G696" t="s" s="8"/>
      <c r="H696" t="s" s="8"/>
      <c r="I696" t="s" s="8"/>
      <c r="J696" t="s" s="8"/>
    </row>
    <row r="697" ht="15.75" customHeight="true">
      <c r="A697" t="s" s="15"/>
      <c r="B697" t="s" s="8"/>
      <c r="C697" t="s" s="8"/>
      <c r="D697" t="s" s="8"/>
      <c r="E697" t="s" s="8"/>
      <c r="F697" t="s" s="8"/>
      <c r="G697" t="s" s="8"/>
      <c r="H697" t="s" s="8"/>
      <c r="I697" t="s" s="8"/>
      <c r="J697" t="s" s="8"/>
    </row>
    <row r="698" ht="15.75" customHeight="true">
      <c r="A698" t="s" s="15"/>
      <c r="B698" t="s" s="8"/>
      <c r="C698" t="s" s="8"/>
      <c r="D698" t="s" s="8"/>
      <c r="E698" t="s" s="8"/>
      <c r="F698" t="s" s="8"/>
      <c r="G698" t="s" s="8"/>
      <c r="H698" t="s" s="8"/>
      <c r="I698" t="s" s="8"/>
      <c r="J698" t="s" s="8"/>
    </row>
    <row r="699" ht="15.75" customHeight="true">
      <c r="A699" t="s" s="15"/>
      <c r="B699" t="s" s="8"/>
      <c r="C699" t="s" s="8"/>
      <c r="D699" t="s" s="8"/>
      <c r="E699" t="s" s="8"/>
      <c r="F699" t="s" s="8"/>
      <c r="G699" t="s" s="8"/>
      <c r="H699" t="s" s="8"/>
      <c r="I699" t="s" s="8"/>
      <c r="J699" t="s" s="8"/>
    </row>
    <row r="700" ht="15.75" customHeight="true">
      <c r="A700" t="s" s="15"/>
      <c r="B700" t="s" s="8"/>
      <c r="C700" t="s" s="8"/>
      <c r="D700" t="s" s="8"/>
      <c r="E700" t="s" s="8"/>
      <c r="F700" t="s" s="8"/>
      <c r="G700" t="s" s="8"/>
      <c r="H700" t="s" s="8"/>
      <c r="I700" t="s" s="8"/>
      <c r="J700" t="s" s="8"/>
    </row>
    <row r="701" ht="15.75" customHeight="true">
      <c r="A701" t="s" s="15"/>
      <c r="B701" t="s" s="8"/>
      <c r="C701" t="s" s="8"/>
      <c r="D701" t="s" s="8"/>
      <c r="E701" t="s" s="8"/>
      <c r="F701" t="s" s="8"/>
      <c r="G701" t="s" s="8"/>
      <c r="H701" t="s" s="8"/>
      <c r="I701" t="s" s="8"/>
      <c r="J701" t="s" s="8"/>
    </row>
    <row r="702" ht="15.75" customHeight="true">
      <c r="A702" t="s" s="15"/>
      <c r="B702" t="s" s="8"/>
      <c r="C702" t="s" s="8"/>
      <c r="D702" t="s" s="8"/>
      <c r="E702" t="s" s="8"/>
      <c r="F702" t="s" s="8"/>
      <c r="G702" t="s" s="8"/>
      <c r="H702" t="s" s="8"/>
      <c r="I702" t="s" s="8"/>
      <c r="J702" t="s" s="8"/>
    </row>
    <row r="703" ht="15.75" customHeight="true">
      <c r="A703" t="s" s="15"/>
      <c r="B703" t="s" s="8"/>
      <c r="C703" t="s" s="8"/>
      <c r="D703" t="s" s="8"/>
      <c r="E703" t="s" s="8"/>
      <c r="F703" t="s" s="8"/>
      <c r="G703" t="s" s="8"/>
      <c r="H703" t="s" s="8"/>
      <c r="I703" t="s" s="8"/>
      <c r="J703" t="s" s="8"/>
    </row>
    <row r="704" ht="15.75" customHeight="true">
      <c r="A704" t="s" s="15"/>
      <c r="B704" t="s" s="8"/>
      <c r="C704" t="s" s="8"/>
      <c r="D704" t="s" s="8"/>
      <c r="E704" t="s" s="8"/>
      <c r="F704" t="s" s="8"/>
      <c r="G704" t="s" s="8"/>
      <c r="H704" t="s" s="8"/>
      <c r="I704" t="s" s="8"/>
      <c r="J704" t="s" s="8"/>
    </row>
    <row r="705" ht="15.75" customHeight="true">
      <c r="A705" t="s" s="15"/>
      <c r="B705" t="s" s="8"/>
      <c r="C705" t="s" s="8"/>
      <c r="D705" t="s" s="8"/>
      <c r="E705" t="s" s="8"/>
      <c r="F705" t="s" s="8"/>
      <c r="G705" t="s" s="8"/>
      <c r="H705" t="s" s="8"/>
      <c r="I705" t="s" s="8"/>
      <c r="J705" t="s" s="8"/>
    </row>
    <row r="706" ht="15.75" customHeight="true">
      <c r="A706" t="s" s="15"/>
      <c r="B706" t="s" s="8"/>
      <c r="C706" t="s" s="8"/>
      <c r="D706" t="s" s="8"/>
      <c r="E706" t="s" s="8"/>
      <c r="F706" t="s" s="8"/>
      <c r="G706" t="s" s="8"/>
      <c r="H706" t="s" s="8"/>
      <c r="I706" t="s" s="8"/>
      <c r="J706" t="s" s="8"/>
    </row>
    <row r="707" ht="15.75" customHeight="true">
      <c r="A707" t="s" s="15"/>
      <c r="B707" t="s" s="8"/>
      <c r="C707" t="s" s="8"/>
      <c r="D707" t="s" s="8"/>
      <c r="E707" t="s" s="8"/>
      <c r="F707" t="s" s="8"/>
      <c r="G707" t="s" s="8"/>
      <c r="H707" t="s" s="8"/>
      <c r="I707" t="s" s="8"/>
      <c r="J707" t="s" s="8"/>
    </row>
    <row r="708" ht="15.75" customHeight="true">
      <c r="A708" t="s" s="15"/>
      <c r="B708" t="s" s="8"/>
      <c r="C708" t="s" s="8"/>
      <c r="D708" t="s" s="8"/>
      <c r="E708" t="s" s="8"/>
      <c r="F708" t="s" s="8"/>
      <c r="G708" t="s" s="8"/>
      <c r="H708" t="s" s="8"/>
      <c r="I708" t="s" s="8"/>
      <c r="J708" t="s" s="8"/>
    </row>
    <row r="709" ht="15.75" customHeight="true">
      <c r="A709" t="s" s="15"/>
      <c r="B709" t="s" s="8"/>
      <c r="C709" t="s" s="8"/>
      <c r="D709" t="s" s="8"/>
      <c r="E709" t="s" s="8"/>
      <c r="F709" t="s" s="8"/>
      <c r="G709" t="s" s="8"/>
      <c r="H709" t="s" s="8"/>
      <c r="I709" t="s" s="8"/>
      <c r="J709" t="s" s="8"/>
    </row>
    <row r="710" ht="15.75" customHeight="true">
      <c r="A710" t="s" s="15"/>
      <c r="B710" t="s" s="8"/>
      <c r="C710" t="s" s="8"/>
      <c r="D710" t="s" s="8"/>
      <c r="E710" t="s" s="8"/>
      <c r="F710" t="s" s="8"/>
      <c r="G710" t="s" s="8"/>
      <c r="H710" t="s" s="8"/>
      <c r="I710" t="s" s="8"/>
      <c r="J710" t="s" s="8"/>
    </row>
    <row r="711" ht="15.75" customHeight="true">
      <c r="A711" t="s" s="15"/>
      <c r="B711" t="s" s="8"/>
      <c r="C711" t="s" s="8"/>
      <c r="D711" t="s" s="8"/>
      <c r="E711" t="s" s="8"/>
      <c r="F711" t="s" s="8"/>
      <c r="G711" t="s" s="8"/>
      <c r="H711" t="s" s="8"/>
      <c r="I711" t="s" s="8"/>
      <c r="J711" t="s" s="8"/>
    </row>
    <row r="712" ht="15.75" customHeight="true">
      <c r="A712" t="s" s="15"/>
      <c r="B712" t="s" s="8"/>
      <c r="C712" t="s" s="8"/>
      <c r="D712" t="s" s="8"/>
      <c r="E712" t="s" s="8"/>
      <c r="F712" t="s" s="8"/>
      <c r="G712" t="s" s="8"/>
      <c r="H712" t="s" s="8"/>
      <c r="I712" t="s" s="8"/>
      <c r="J712" t="s" s="8"/>
    </row>
    <row r="713" ht="15.75" customHeight="true">
      <c r="A713" t="s" s="15"/>
      <c r="B713" t="s" s="8"/>
      <c r="C713" t="s" s="8"/>
      <c r="D713" t="s" s="8"/>
      <c r="E713" t="s" s="8"/>
      <c r="F713" t="s" s="8"/>
      <c r="G713" t="s" s="8"/>
      <c r="H713" t="s" s="8"/>
      <c r="I713" t="s" s="8"/>
      <c r="J713" t="s" s="8"/>
    </row>
    <row r="714" ht="15.75" customHeight="true">
      <c r="A714" t="s" s="15"/>
      <c r="B714" t="s" s="8"/>
      <c r="C714" t="s" s="8"/>
      <c r="D714" t="s" s="8"/>
      <c r="E714" t="s" s="8"/>
      <c r="F714" t="s" s="8"/>
      <c r="G714" t="s" s="8"/>
      <c r="H714" t="s" s="8"/>
      <c r="I714" t="s" s="8"/>
      <c r="J714" t="s" s="8"/>
    </row>
    <row r="715" ht="15.75" customHeight="true">
      <c r="A715" t="s" s="15"/>
      <c r="B715" t="s" s="8"/>
      <c r="C715" t="s" s="8"/>
      <c r="D715" t="s" s="8"/>
      <c r="E715" t="s" s="8"/>
      <c r="F715" t="s" s="8"/>
      <c r="G715" t="s" s="8"/>
      <c r="H715" t="s" s="8"/>
      <c r="I715" t="s" s="8"/>
      <c r="J715" t="s" s="8"/>
    </row>
    <row r="716" ht="15.75" customHeight="true">
      <c r="A716" t="s" s="15"/>
      <c r="B716" t="s" s="8"/>
      <c r="C716" t="s" s="8"/>
      <c r="D716" t="s" s="8"/>
      <c r="E716" t="s" s="8"/>
      <c r="F716" t="s" s="8"/>
      <c r="G716" t="s" s="8"/>
      <c r="H716" t="s" s="8"/>
      <c r="I716" t="s" s="8"/>
      <c r="J716" t="s" s="8"/>
    </row>
    <row r="717" ht="15.75" customHeight="true">
      <c r="A717" t="s" s="15"/>
      <c r="B717" t="s" s="8"/>
      <c r="C717" t="s" s="8"/>
      <c r="D717" t="s" s="8"/>
      <c r="E717" t="s" s="8"/>
      <c r="F717" t="s" s="8"/>
      <c r="G717" t="s" s="8"/>
      <c r="H717" t="s" s="8"/>
      <c r="I717" t="s" s="8"/>
      <c r="J717" t="s" s="8"/>
    </row>
    <row r="718" ht="15.75" customHeight="true">
      <c r="A718" t="s" s="15"/>
      <c r="B718" t="s" s="8"/>
      <c r="C718" t="s" s="8"/>
      <c r="D718" t="s" s="8"/>
      <c r="E718" t="s" s="8"/>
      <c r="F718" t="s" s="8"/>
      <c r="G718" t="s" s="8"/>
      <c r="H718" t="s" s="8"/>
      <c r="I718" t="s" s="8"/>
      <c r="J718" t="s" s="8"/>
    </row>
    <row r="719" ht="15.75" customHeight="true">
      <c r="A719" t="s" s="15"/>
      <c r="B719" t="s" s="8"/>
      <c r="C719" t="s" s="8"/>
      <c r="D719" t="s" s="8"/>
      <c r="E719" t="s" s="8"/>
      <c r="F719" t="s" s="8"/>
      <c r="G719" t="s" s="8"/>
      <c r="H719" t="s" s="8"/>
      <c r="I719" t="s" s="8"/>
      <c r="J719" t="s" s="8"/>
    </row>
    <row r="720" ht="15.75" customHeight="true">
      <c r="A720" t="s" s="15"/>
      <c r="B720" t="s" s="8"/>
      <c r="C720" t="s" s="8"/>
      <c r="D720" t="s" s="8"/>
      <c r="E720" t="s" s="8"/>
      <c r="F720" t="s" s="8"/>
      <c r="G720" t="s" s="8"/>
      <c r="H720" t="s" s="8"/>
      <c r="I720" t="s" s="8"/>
      <c r="J720" t="s" s="8"/>
    </row>
    <row r="721" ht="15.75" customHeight="true">
      <c r="A721" t="s" s="15"/>
      <c r="B721" t="s" s="8"/>
      <c r="C721" t="s" s="8"/>
      <c r="D721" t="s" s="8"/>
      <c r="E721" t="s" s="8"/>
      <c r="F721" t="s" s="8"/>
      <c r="G721" t="s" s="8"/>
      <c r="H721" t="s" s="8"/>
      <c r="I721" t="s" s="8"/>
      <c r="J721" t="s" s="8"/>
    </row>
    <row r="722" ht="15.75" customHeight="true">
      <c r="A722" t="s" s="15"/>
      <c r="B722" t="s" s="8"/>
      <c r="C722" t="s" s="8"/>
      <c r="D722" t="s" s="8"/>
      <c r="E722" t="s" s="8"/>
      <c r="F722" t="s" s="8"/>
      <c r="G722" t="s" s="8"/>
      <c r="H722" t="s" s="8"/>
      <c r="I722" t="s" s="8"/>
      <c r="J722" t="s" s="8"/>
    </row>
    <row r="723" ht="15.75" customHeight="true">
      <c r="A723" t="s" s="15"/>
      <c r="B723" t="s" s="8"/>
      <c r="C723" t="s" s="8"/>
      <c r="D723" t="s" s="8"/>
      <c r="E723" t="s" s="8"/>
      <c r="F723" t="s" s="8"/>
      <c r="G723" t="s" s="8"/>
      <c r="H723" t="s" s="8"/>
      <c r="I723" t="s" s="8"/>
      <c r="J723" t="s" s="8"/>
    </row>
    <row r="724" ht="15.75" customHeight="true">
      <c r="A724" t="s" s="15"/>
      <c r="B724" t="s" s="8"/>
      <c r="C724" t="s" s="8"/>
      <c r="D724" t="s" s="8"/>
      <c r="E724" t="s" s="8"/>
      <c r="F724" t="s" s="8"/>
      <c r="G724" t="s" s="8"/>
      <c r="H724" t="s" s="8"/>
      <c r="I724" t="s" s="8"/>
      <c r="J724" t="s" s="8"/>
    </row>
    <row r="725" ht="15.75" customHeight="true">
      <c r="A725" t="s" s="15"/>
      <c r="B725" t="s" s="8"/>
      <c r="C725" t="s" s="8"/>
      <c r="D725" t="s" s="8"/>
      <c r="E725" t="s" s="8"/>
      <c r="F725" t="s" s="8"/>
      <c r="G725" t="s" s="8"/>
      <c r="H725" t="s" s="8"/>
      <c r="I725" t="s" s="8"/>
      <c r="J725" t="s" s="8"/>
    </row>
    <row r="726" ht="15.75" customHeight="true">
      <c r="A726" t="s" s="15"/>
      <c r="B726" t="s" s="8"/>
      <c r="C726" t="s" s="8"/>
      <c r="D726" t="s" s="8"/>
      <c r="E726" t="s" s="8"/>
      <c r="F726" t="s" s="8"/>
      <c r="G726" t="s" s="8"/>
      <c r="H726" t="s" s="8"/>
      <c r="I726" t="s" s="8"/>
      <c r="J726" t="s" s="8"/>
    </row>
    <row r="727" ht="15.75" customHeight="true">
      <c r="A727" t="s" s="15"/>
      <c r="B727" t="s" s="8"/>
      <c r="C727" t="s" s="8"/>
      <c r="D727" t="s" s="8"/>
      <c r="E727" t="s" s="8"/>
      <c r="F727" t="s" s="8"/>
      <c r="G727" t="s" s="8"/>
      <c r="H727" t="s" s="8"/>
      <c r="I727" t="s" s="8"/>
      <c r="J727" t="s" s="8"/>
    </row>
    <row r="728" ht="15.75" customHeight="true">
      <c r="A728" t="s" s="15"/>
      <c r="B728" t="s" s="8"/>
      <c r="C728" t="s" s="8"/>
      <c r="D728" t="s" s="8"/>
      <c r="E728" t="s" s="8"/>
      <c r="F728" t="s" s="8"/>
      <c r="G728" t="s" s="8"/>
      <c r="H728" t="s" s="8"/>
      <c r="I728" t="s" s="8"/>
      <c r="J728" t="s" s="8"/>
    </row>
    <row r="729" ht="15.75" customHeight="true">
      <c r="A729" t="s" s="15"/>
      <c r="B729" t="s" s="8"/>
      <c r="C729" t="s" s="8"/>
      <c r="D729" t="s" s="8"/>
      <c r="E729" t="s" s="8"/>
      <c r="F729" t="s" s="8"/>
      <c r="G729" t="s" s="8"/>
      <c r="H729" t="s" s="8"/>
      <c r="I729" t="s" s="8"/>
      <c r="J729" t="s" s="8"/>
    </row>
    <row r="730" ht="15.75" customHeight="true">
      <c r="A730" t="s" s="15"/>
      <c r="B730" t="s" s="8"/>
      <c r="C730" t="s" s="8"/>
      <c r="D730" t="s" s="8"/>
      <c r="E730" t="s" s="8"/>
      <c r="F730" t="s" s="8"/>
      <c r="G730" t="s" s="8"/>
      <c r="H730" t="s" s="8"/>
      <c r="I730" t="s" s="8"/>
      <c r="J730" t="s" s="8"/>
    </row>
    <row r="731" ht="15.75" customHeight="true">
      <c r="A731" t="s" s="15"/>
      <c r="B731" t="s" s="8"/>
      <c r="C731" t="s" s="8"/>
      <c r="D731" t="s" s="8"/>
      <c r="E731" t="s" s="8"/>
      <c r="F731" t="s" s="8"/>
      <c r="G731" t="s" s="8"/>
      <c r="H731" t="s" s="8"/>
      <c r="I731" t="s" s="8"/>
      <c r="J731" t="s" s="8"/>
    </row>
    <row r="732" ht="15.75" customHeight="true">
      <c r="A732" t="s" s="15"/>
      <c r="B732" t="s" s="8"/>
      <c r="C732" t="s" s="8"/>
      <c r="D732" t="s" s="8"/>
      <c r="E732" t="s" s="8"/>
      <c r="F732" t="s" s="8"/>
      <c r="G732" t="s" s="8"/>
      <c r="H732" t="s" s="8"/>
      <c r="I732" t="s" s="8"/>
      <c r="J732" t="s" s="8"/>
    </row>
    <row r="733" ht="15.75" customHeight="true">
      <c r="A733" t="s" s="15"/>
      <c r="B733" t="s" s="8"/>
      <c r="C733" t="s" s="8"/>
      <c r="D733" t="s" s="8"/>
      <c r="E733" t="s" s="8"/>
      <c r="F733" t="s" s="8"/>
      <c r="G733" t="s" s="8"/>
      <c r="H733" t="s" s="8"/>
      <c r="I733" t="s" s="8"/>
      <c r="J733" t="s" s="8"/>
    </row>
    <row r="734" ht="15.75" customHeight="true">
      <c r="A734" t="s" s="15"/>
      <c r="B734" t="s" s="8"/>
      <c r="C734" t="s" s="8"/>
      <c r="D734" t="s" s="8"/>
      <c r="E734" t="s" s="8"/>
      <c r="F734" t="s" s="8"/>
      <c r="G734" t="s" s="8"/>
      <c r="H734" t="s" s="8"/>
      <c r="I734" t="s" s="8"/>
      <c r="J734" t="s" s="8"/>
    </row>
    <row r="735" ht="15.75" customHeight="true">
      <c r="A735" t="s" s="15"/>
      <c r="B735" t="s" s="8"/>
      <c r="C735" t="s" s="8"/>
      <c r="D735" t="s" s="8"/>
      <c r="E735" t="s" s="8"/>
      <c r="F735" t="s" s="8"/>
      <c r="G735" t="s" s="8"/>
      <c r="H735" t="s" s="8"/>
      <c r="I735" t="s" s="8"/>
      <c r="J735" t="s" s="8"/>
    </row>
    <row r="736" ht="15.75" customHeight="true">
      <c r="A736" t="s" s="15"/>
      <c r="B736" t="s" s="8"/>
      <c r="C736" t="s" s="8"/>
      <c r="D736" t="s" s="8"/>
      <c r="E736" t="s" s="8"/>
      <c r="F736" t="s" s="8"/>
      <c r="G736" t="s" s="8"/>
      <c r="H736" t="s" s="8"/>
      <c r="I736" t="s" s="8"/>
      <c r="J736" t="s" s="8"/>
    </row>
    <row r="737" ht="15.75" customHeight="true">
      <c r="A737" t="s" s="15"/>
      <c r="B737" t="s" s="8"/>
      <c r="C737" t="s" s="8"/>
      <c r="D737" t="s" s="8"/>
      <c r="E737" t="s" s="8"/>
      <c r="F737" t="s" s="8"/>
      <c r="G737" t="s" s="8"/>
      <c r="H737" t="s" s="8"/>
      <c r="I737" t="s" s="8"/>
      <c r="J737" t="s" s="8"/>
    </row>
    <row r="738" ht="15.75" customHeight="true">
      <c r="A738" t="s" s="15"/>
      <c r="B738" t="s" s="8"/>
      <c r="C738" t="s" s="8"/>
      <c r="D738" t="s" s="8"/>
      <c r="E738" t="s" s="8"/>
      <c r="F738" t="s" s="8"/>
      <c r="G738" t="s" s="8"/>
      <c r="H738" t="s" s="8"/>
      <c r="I738" t="s" s="8"/>
      <c r="J738" t="s" s="8"/>
    </row>
    <row r="739" ht="15.75" customHeight="true">
      <c r="A739" t="s" s="15"/>
      <c r="B739" t="s" s="8"/>
      <c r="C739" t="s" s="8"/>
      <c r="D739" t="s" s="8"/>
      <c r="E739" t="s" s="8"/>
      <c r="F739" t="s" s="8"/>
      <c r="G739" t="s" s="8"/>
      <c r="H739" t="s" s="8"/>
      <c r="I739" t="s" s="8"/>
      <c r="J739" t="s" s="8"/>
    </row>
    <row r="740" ht="15.75" customHeight="true">
      <c r="A740" t="s" s="15"/>
      <c r="B740" t="s" s="8"/>
      <c r="C740" t="s" s="8"/>
      <c r="D740" t="s" s="8"/>
      <c r="E740" t="s" s="8"/>
      <c r="F740" t="s" s="8"/>
      <c r="G740" t="s" s="8"/>
      <c r="H740" t="s" s="8"/>
      <c r="I740" t="s" s="8"/>
      <c r="J740" t="s" s="8"/>
    </row>
    <row r="741" ht="15.75" customHeight="true">
      <c r="A741" t="s" s="15"/>
      <c r="B741" t="s" s="8"/>
      <c r="C741" t="s" s="8"/>
      <c r="D741" t="s" s="8"/>
      <c r="E741" t="s" s="8"/>
      <c r="F741" t="s" s="8"/>
      <c r="G741" t="s" s="8"/>
      <c r="H741" t="s" s="8"/>
      <c r="I741" t="s" s="8"/>
      <c r="J741" t="s" s="8"/>
    </row>
    <row r="742" ht="15.75" customHeight="true">
      <c r="A742" t="s" s="15"/>
      <c r="B742" t="s" s="8"/>
      <c r="C742" t="s" s="8"/>
      <c r="D742" t="s" s="8"/>
      <c r="E742" t="s" s="8"/>
      <c r="F742" t="s" s="8"/>
      <c r="G742" t="s" s="8"/>
      <c r="H742" t="s" s="8"/>
      <c r="I742" t="s" s="8"/>
      <c r="J742" t="s" s="8"/>
    </row>
    <row r="743" ht="15.75" customHeight="true">
      <c r="A743" t="s" s="15"/>
      <c r="B743" t="s" s="8"/>
      <c r="C743" t="s" s="8"/>
      <c r="D743" t="s" s="8"/>
      <c r="E743" t="s" s="8"/>
      <c r="F743" t="s" s="8"/>
      <c r="G743" t="s" s="8"/>
      <c r="H743" t="s" s="8"/>
      <c r="I743" t="s" s="8"/>
      <c r="J743" t="s" s="8"/>
    </row>
    <row r="744" ht="15.75" customHeight="true">
      <c r="A744" t="s" s="15"/>
      <c r="B744" t="s" s="8"/>
      <c r="C744" t="s" s="8"/>
      <c r="D744" t="s" s="8"/>
      <c r="E744" t="s" s="8"/>
      <c r="F744" t="s" s="8"/>
      <c r="G744" t="s" s="8"/>
      <c r="H744" t="s" s="8"/>
      <c r="I744" t="s" s="8"/>
      <c r="J744" t="s" s="8"/>
    </row>
    <row r="745" ht="15.75" customHeight="true">
      <c r="A745" t="s" s="15"/>
      <c r="B745" t="s" s="8"/>
      <c r="C745" t="s" s="8"/>
      <c r="D745" t="s" s="8"/>
      <c r="E745" t="s" s="8"/>
      <c r="F745" t="s" s="8"/>
      <c r="G745" t="s" s="8"/>
      <c r="H745" t="s" s="8"/>
      <c r="I745" t="s" s="8"/>
      <c r="J745" t="s" s="8"/>
    </row>
    <row r="746" ht="15.75" customHeight="true">
      <c r="A746" t="s" s="15"/>
      <c r="B746" t="s" s="8"/>
      <c r="C746" t="s" s="8"/>
      <c r="D746" t="s" s="8"/>
      <c r="E746" t="s" s="8"/>
      <c r="F746" t="s" s="8"/>
      <c r="G746" t="s" s="8"/>
      <c r="H746" t="s" s="8"/>
      <c r="I746" t="s" s="8"/>
      <c r="J746" t="s" s="8"/>
    </row>
    <row r="747" ht="15.75" customHeight="true">
      <c r="A747" t="s" s="15"/>
      <c r="B747" t="s" s="8"/>
      <c r="C747" t="s" s="8"/>
      <c r="D747" t="s" s="8"/>
      <c r="E747" t="s" s="8"/>
      <c r="F747" t="s" s="8"/>
      <c r="G747" t="s" s="8"/>
      <c r="H747" t="s" s="8"/>
      <c r="I747" t="s" s="8"/>
      <c r="J747" t="s" s="8"/>
    </row>
    <row r="748" ht="15.75" customHeight="true">
      <c r="A748" t="s" s="15"/>
      <c r="B748" t="s" s="8"/>
      <c r="C748" t="s" s="8"/>
      <c r="D748" t="s" s="8"/>
      <c r="E748" t="s" s="8"/>
      <c r="F748" t="s" s="8"/>
      <c r="G748" t="s" s="8"/>
      <c r="H748" t="s" s="8"/>
      <c r="I748" t="s" s="8"/>
      <c r="J748" t="s" s="8"/>
    </row>
    <row r="749" ht="15.75" customHeight="true">
      <c r="A749" t="s" s="15"/>
      <c r="B749" t="s" s="8"/>
      <c r="C749" t="s" s="8"/>
      <c r="D749" t="s" s="8"/>
      <c r="E749" t="s" s="8"/>
      <c r="F749" t="s" s="8"/>
      <c r="G749" t="s" s="8"/>
      <c r="H749" t="s" s="8"/>
      <c r="I749" t="s" s="8"/>
      <c r="J749" t="s" s="8"/>
    </row>
    <row r="750" ht="15.75" customHeight="true">
      <c r="A750" t="s" s="15"/>
      <c r="B750" t="s" s="8"/>
      <c r="C750" t="s" s="8"/>
      <c r="D750" t="s" s="8"/>
      <c r="E750" t="s" s="8"/>
      <c r="F750" t="s" s="8"/>
      <c r="G750" t="s" s="8"/>
      <c r="H750" t="s" s="8"/>
      <c r="I750" t="s" s="8"/>
      <c r="J750" t="s" s="8"/>
    </row>
    <row r="751" ht="15.75" customHeight="true">
      <c r="A751" t="s" s="15"/>
      <c r="B751" t="s" s="8"/>
      <c r="C751" t="s" s="8"/>
      <c r="D751" t="s" s="8"/>
      <c r="E751" t="s" s="8"/>
      <c r="F751" t="s" s="8"/>
      <c r="G751" t="s" s="8"/>
      <c r="H751" t="s" s="8"/>
      <c r="I751" t="s" s="8"/>
      <c r="J751" t="s" s="8"/>
    </row>
    <row r="752" ht="15.75" customHeight="true">
      <c r="A752" t="s" s="15"/>
      <c r="B752" t="s" s="8"/>
      <c r="C752" t="s" s="8"/>
      <c r="D752" t="s" s="8"/>
      <c r="E752" t="s" s="8"/>
      <c r="F752" t="s" s="8"/>
      <c r="G752" t="s" s="8"/>
      <c r="H752" t="s" s="8"/>
      <c r="I752" t="s" s="8"/>
      <c r="J752" t="s" s="8"/>
    </row>
    <row r="753" ht="15.75" customHeight="true">
      <c r="A753" t="s" s="15"/>
      <c r="B753" t="s" s="8"/>
      <c r="C753" t="s" s="8"/>
      <c r="D753" t="s" s="8"/>
      <c r="E753" t="s" s="8"/>
      <c r="F753" t="s" s="8"/>
      <c r="G753" t="s" s="8"/>
      <c r="H753" t="s" s="8"/>
      <c r="I753" t="s" s="8"/>
      <c r="J753" t="s" s="8"/>
    </row>
    <row r="754" ht="15.75" customHeight="true">
      <c r="A754" t="s" s="15"/>
      <c r="B754" t="s" s="8"/>
      <c r="C754" t="s" s="8"/>
      <c r="D754" t="s" s="8"/>
      <c r="E754" t="s" s="8"/>
      <c r="F754" t="s" s="8"/>
      <c r="G754" t="s" s="8"/>
      <c r="H754" t="s" s="8"/>
      <c r="I754" t="s" s="8"/>
      <c r="J754" t="s" s="8"/>
    </row>
    <row r="755" ht="15.75" customHeight="true">
      <c r="A755" t="s" s="15"/>
      <c r="B755" t="s" s="8"/>
      <c r="C755" t="s" s="8"/>
      <c r="D755" t="s" s="8"/>
      <c r="E755" t="s" s="8"/>
      <c r="F755" t="s" s="8"/>
      <c r="G755" t="s" s="8"/>
      <c r="H755" t="s" s="8"/>
      <c r="I755" t="s" s="8"/>
      <c r="J755" t="s" s="8"/>
    </row>
    <row r="756" ht="15.75" customHeight="true">
      <c r="A756" t="s" s="15"/>
      <c r="B756" t="s" s="8"/>
      <c r="C756" t="s" s="8"/>
      <c r="D756" t="s" s="8"/>
      <c r="E756" t="s" s="8"/>
      <c r="F756" t="s" s="8"/>
      <c r="G756" t="s" s="8"/>
      <c r="H756" t="s" s="8"/>
      <c r="I756" t="s" s="8"/>
      <c r="J756" t="s" s="8"/>
    </row>
    <row r="757" ht="15.75" customHeight="true">
      <c r="A757" t="s" s="15"/>
      <c r="B757" t="s" s="8"/>
      <c r="C757" t="s" s="8"/>
      <c r="D757" t="s" s="8"/>
      <c r="E757" t="s" s="8"/>
      <c r="F757" t="s" s="8"/>
      <c r="G757" t="s" s="8"/>
      <c r="H757" t="s" s="8"/>
      <c r="I757" t="s" s="8"/>
      <c r="J757" t="s" s="8"/>
    </row>
    <row r="758" ht="15.75" customHeight="true">
      <c r="A758" t="s" s="15"/>
      <c r="B758" t="s" s="8"/>
      <c r="C758" t="s" s="8"/>
      <c r="D758" t="s" s="8"/>
      <c r="E758" t="s" s="8"/>
      <c r="F758" t="s" s="8"/>
      <c r="G758" t="s" s="8"/>
      <c r="H758" t="s" s="8"/>
      <c r="I758" t="s" s="8"/>
      <c r="J758" t="s" s="8"/>
    </row>
    <row r="759" ht="15.75" customHeight="true">
      <c r="A759" t="s" s="15"/>
      <c r="B759" t="s" s="8"/>
      <c r="C759" t="s" s="8"/>
      <c r="D759" t="s" s="8"/>
      <c r="E759" t="s" s="8"/>
      <c r="F759" t="s" s="8"/>
      <c r="G759" t="s" s="8"/>
      <c r="H759" t="s" s="8"/>
      <c r="I759" t="s" s="8"/>
      <c r="J759" t="s" s="8"/>
    </row>
    <row r="760" ht="15.75" customHeight="true">
      <c r="A760" t="s" s="15"/>
      <c r="B760" t="s" s="8"/>
      <c r="C760" t="s" s="8"/>
      <c r="D760" t="s" s="8"/>
      <c r="E760" t="s" s="8"/>
      <c r="F760" t="s" s="8"/>
      <c r="G760" t="s" s="8"/>
      <c r="H760" t="s" s="8"/>
      <c r="I760" t="s" s="8"/>
      <c r="J760" t="s" s="8"/>
    </row>
    <row r="761" ht="15.75" customHeight="true">
      <c r="A761" t="s" s="15"/>
      <c r="B761" t="s" s="8"/>
      <c r="C761" t="s" s="8"/>
      <c r="D761" t="s" s="8"/>
      <c r="E761" t="s" s="8"/>
      <c r="F761" t="s" s="8"/>
      <c r="G761" t="s" s="8"/>
      <c r="H761" t="s" s="8"/>
      <c r="I761" t="s" s="8"/>
      <c r="J761" t="s" s="8"/>
    </row>
    <row r="762" ht="15.75" customHeight="true">
      <c r="A762" t="s" s="15"/>
      <c r="B762" t="s" s="8"/>
      <c r="C762" t="s" s="8"/>
      <c r="D762" t="s" s="8"/>
      <c r="E762" t="s" s="8"/>
      <c r="F762" t="s" s="8"/>
      <c r="G762" t="s" s="8"/>
      <c r="H762" t="s" s="8"/>
      <c r="I762" t="s" s="8"/>
      <c r="J762" t="s" s="8"/>
    </row>
    <row r="763" ht="15.75" customHeight="true">
      <c r="A763" t="s" s="15"/>
      <c r="B763" t="s" s="8"/>
      <c r="C763" t="s" s="8"/>
      <c r="D763" t="s" s="8"/>
      <c r="E763" t="s" s="8"/>
      <c r="F763" t="s" s="8"/>
      <c r="G763" t="s" s="8"/>
      <c r="H763" t="s" s="8"/>
      <c r="I763" t="s" s="8"/>
      <c r="J763" t="s" s="8"/>
    </row>
    <row r="764" ht="15.75" customHeight="true">
      <c r="A764" t="s" s="15"/>
      <c r="B764" t="s" s="8"/>
      <c r="C764" t="s" s="8"/>
      <c r="D764" t="s" s="8"/>
      <c r="E764" t="s" s="8"/>
      <c r="F764" t="s" s="8"/>
      <c r="G764" t="s" s="8"/>
      <c r="H764" t="s" s="8"/>
      <c r="I764" t="s" s="8"/>
      <c r="J764" t="s" s="8"/>
    </row>
    <row r="765" ht="15.75" customHeight="true">
      <c r="A765" t="s" s="15"/>
      <c r="B765" t="s" s="8"/>
      <c r="C765" t="s" s="8"/>
      <c r="D765" t="s" s="8"/>
      <c r="E765" t="s" s="8"/>
      <c r="F765" t="s" s="8"/>
      <c r="G765" t="s" s="8"/>
      <c r="H765" t="s" s="8"/>
      <c r="I765" t="s" s="8"/>
      <c r="J765" t="s" s="8"/>
    </row>
    <row r="766" ht="15.75" customHeight="true">
      <c r="A766" t="s" s="15"/>
      <c r="B766" t="s" s="8"/>
      <c r="C766" t="s" s="8"/>
      <c r="D766" t="s" s="8"/>
      <c r="E766" t="s" s="8"/>
      <c r="F766" t="s" s="8"/>
      <c r="G766" t="s" s="8"/>
      <c r="H766" t="s" s="8"/>
      <c r="I766" t="s" s="8"/>
      <c r="J766" t="s" s="8"/>
    </row>
    <row r="767" ht="15.75" customHeight="true">
      <c r="A767" t="s" s="15"/>
      <c r="B767" t="s" s="8"/>
      <c r="C767" t="s" s="8"/>
      <c r="D767" t="s" s="8"/>
      <c r="E767" t="s" s="8"/>
      <c r="F767" t="s" s="8"/>
      <c r="G767" t="s" s="8"/>
      <c r="H767" t="s" s="8"/>
      <c r="I767" t="s" s="8"/>
      <c r="J767" t="s" s="8"/>
    </row>
    <row r="768" ht="15.75" customHeight="true">
      <c r="A768" t="s" s="15"/>
      <c r="B768" t="s" s="8"/>
      <c r="C768" t="s" s="8"/>
      <c r="D768" t="s" s="8"/>
      <c r="E768" t="s" s="8"/>
      <c r="F768" t="s" s="8"/>
      <c r="G768" t="s" s="8"/>
      <c r="H768" t="s" s="8"/>
      <c r="I768" t="s" s="8"/>
      <c r="J768" t="s" s="8"/>
    </row>
    <row r="769" ht="15.75" customHeight="true">
      <c r="A769" t="s" s="15"/>
      <c r="B769" t="s" s="8"/>
      <c r="C769" t="s" s="8"/>
      <c r="D769" t="s" s="8"/>
      <c r="E769" t="s" s="8"/>
      <c r="F769" t="s" s="8"/>
      <c r="G769" t="s" s="8"/>
      <c r="H769" t="s" s="8"/>
      <c r="I769" t="s" s="8"/>
      <c r="J769" t="s" s="8"/>
    </row>
    <row r="770" ht="15.75" customHeight="true">
      <c r="A770" t="s" s="15"/>
      <c r="B770" t="s" s="8"/>
      <c r="C770" t="s" s="8"/>
      <c r="D770" t="s" s="8"/>
      <c r="E770" t="s" s="8"/>
      <c r="F770" t="s" s="8"/>
      <c r="G770" t="s" s="8"/>
      <c r="H770" t="s" s="8"/>
      <c r="I770" t="s" s="8"/>
      <c r="J770" t="s" s="8"/>
    </row>
    <row r="771" ht="15.75" customHeight="true">
      <c r="A771" t="s" s="15"/>
      <c r="B771" t="s" s="8"/>
      <c r="C771" t="s" s="8"/>
      <c r="D771" t="s" s="8"/>
      <c r="E771" t="s" s="8"/>
      <c r="F771" t="s" s="8"/>
      <c r="G771" t="s" s="8"/>
      <c r="H771" t="s" s="8"/>
      <c r="I771" t="s" s="8"/>
      <c r="J771" t="s" s="8"/>
    </row>
    <row r="772" ht="15.75" customHeight="true">
      <c r="A772" t="s" s="15"/>
      <c r="B772" t="s" s="8"/>
      <c r="C772" t="s" s="8"/>
      <c r="D772" t="s" s="8"/>
      <c r="E772" t="s" s="8"/>
      <c r="F772" t="s" s="8"/>
      <c r="G772" t="s" s="8"/>
      <c r="H772" t="s" s="8"/>
      <c r="I772" t="s" s="8"/>
      <c r="J772" t="s" s="8"/>
    </row>
    <row r="773" ht="15.75" customHeight="true">
      <c r="A773" t="s" s="15"/>
      <c r="B773" t="s" s="8"/>
      <c r="C773" t="s" s="8"/>
      <c r="D773" t="s" s="8"/>
      <c r="E773" t="s" s="8"/>
      <c r="F773" t="s" s="8"/>
      <c r="G773" t="s" s="8"/>
      <c r="H773" t="s" s="8"/>
      <c r="I773" t="s" s="8"/>
      <c r="J773" t="s" s="8"/>
    </row>
    <row r="774" ht="15.75" customHeight="true">
      <c r="A774" t="s" s="15"/>
      <c r="B774" t="s" s="8"/>
      <c r="C774" t="s" s="8"/>
      <c r="D774" t="s" s="8"/>
      <c r="E774" t="s" s="8"/>
      <c r="F774" t="s" s="8"/>
      <c r="G774" t="s" s="8"/>
      <c r="H774" t="s" s="8"/>
      <c r="I774" t="s" s="8"/>
      <c r="J774" t="s" s="8"/>
    </row>
    <row r="775" ht="15.75" customHeight="true">
      <c r="A775" t="s" s="15"/>
      <c r="B775" t="s" s="8"/>
      <c r="C775" t="s" s="8"/>
      <c r="D775" t="s" s="8"/>
      <c r="E775" t="s" s="8"/>
      <c r="F775" t="s" s="8"/>
      <c r="G775" t="s" s="8"/>
      <c r="H775" t="s" s="8"/>
      <c r="I775" t="s" s="8"/>
      <c r="J775" t="s" s="8"/>
    </row>
    <row r="776" ht="15.75" customHeight="true">
      <c r="A776" t="s" s="15"/>
      <c r="B776" t="s" s="8"/>
      <c r="C776" t="s" s="8"/>
      <c r="D776" t="s" s="8"/>
      <c r="E776" t="s" s="8"/>
      <c r="F776" t="s" s="8"/>
      <c r="G776" t="s" s="8"/>
      <c r="H776" t="s" s="8"/>
      <c r="I776" t="s" s="8"/>
      <c r="J776" t="s" s="8"/>
    </row>
    <row r="777" ht="15.75" customHeight="true">
      <c r="A777" t="s" s="15"/>
      <c r="B777" t="s" s="8"/>
      <c r="C777" t="s" s="8"/>
      <c r="D777" t="s" s="8"/>
      <c r="E777" t="s" s="8"/>
      <c r="F777" t="s" s="8"/>
      <c r="G777" t="s" s="8"/>
      <c r="H777" t="s" s="8"/>
      <c r="I777" t="s" s="8"/>
      <c r="J777" t="s" s="8"/>
    </row>
    <row r="778" ht="15.75" customHeight="true">
      <c r="A778" t="s" s="15"/>
      <c r="B778" t="s" s="8"/>
      <c r="C778" t="s" s="8"/>
      <c r="D778" t="s" s="8"/>
      <c r="E778" t="s" s="8"/>
      <c r="F778" t="s" s="8"/>
      <c r="G778" t="s" s="8"/>
      <c r="H778" t="s" s="8"/>
      <c r="I778" t="s" s="8"/>
      <c r="J778" t="s" s="8"/>
    </row>
    <row r="779" ht="15.75" customHeight="true">
      <c r="A779" t="s" s="15"/>
      <c r="B779" t="s" s="8"/>
      <c r="C779" t="s" s="8"/>
      <c r="D779" t="s" s="8"/>
      <c r="E779" t="s" s="8"/>
      <c r="F779" t="s" s="8"/>
      <c r="G779" t="s" s="8"/>
      <c r="H779" t="s" s="8"/>
      <c r="I779" t="s" s="8"/>
      <c r="J779" t="s" s="8"/>
    </row>
    <row r="780" ht="15.75" customHeight="true">
      <c r="A780" t="s" s="15"/>
      <c r="B780" t="s" s="8"/>
      <c r="C780" t="s" s="8"/>
      <c r="D780" t="s" s="8"/>
      <c r="E780" t="s" s="8"/>
      <c r="F780" t="s" s="8"/>
      <c r="G780" t="s" s="8"/>
      <c r="H780" t="s" s="8"/>
      <c r="I780" t="s" s="8"/>
      <c r="J780" t="s" s="8"/>
    </row>
    <row r="781" ht="15.75" customHeight="true">
      <c r="A781" t="s" s="15"/>
      <c r="B781" t="s" s="8"/>
      <c r="C781" t="s" s="8"/>
      <c r="D781" t="s" s="8"/>
      <c r="E781" t="s" s="8"/>
      <c r="F781" t="s" s="8"/>
      <c r="G781" t="s" s="8"/>
      <c r="H781" t="s" s="8"/>
      <c r="I781" t="s" s="8"/>
      <c r="J781" t="s" s="8"/>
    </row>
    <row r="782" ht="15.75" customHeight="true">
      <c r="A782" t="s" s="15"/>
      <c r="B782" t="s" s="8"/>
      <c r="C782" t="s" s="8"/>
      <c r="D782" t="s" s="8"/>
      <c r="E782" t="s" s="8"/>
      <c r="F782" t="s" s="8"/>
      <c r="G782" t="s" s="8"/>
      <c r="H782" t="s" s="8"/>
      <c r="I782" t="s" s="8"/>
      <c r="J782" t="s" s="8"/>
    </row>
    <row r="783" ht="15.75" customHeight="true">
      <c r="A783" t="s" s="15"/>
      <c r="B783" t="s" s="8"/>
      <c r="C783" t="s" s="8"/>
      <c r="D783" t="s" s="8"/>
      <c r="E783" t="s" s="8"/>
      <c r="F783" t="s" s="8"/>
      <c r="G783" t="s" s="8"/>
      <c r="H783" t="s" s="8"/>
      <c r="I783" t="s" s="8"/>
      <c r="J783" t="s" s="8"/>
    </row>
    <row r="784" ht="15.75" customHeight="true">
      <c r="A784" t="s" s="15"/>
      <c r="B784" t="s" s="8"/>
      <c r="C784" t="s" s="8"/>
      <c r="D784" t="s" s="8"/>
      <c r="E784" t="s" s="8"/>
      <c r="F784" t="s" s="8"/>
      <c r="G784" t="s" s="8"/>
      <c r="H784" t="s" s="8"/>
      <c r="I784" t="s" s="8"/>
      <c r="J784" t="s" s="8"/>
    </row>
    <row r="785" ht="15.75" customHeight="true">
      <c r="A785" t="s" s="15"/>
      <c r="B785" t="s" s="8"/>
      <c r="C785" t="s" s="8"/>
      <c r="D785" t="s" s="8"/>
      <c r="E785" t="s" s="8"/>
      <c r="F785" t="s" s="8"/>
      <c r="G785" t="s" s="8"/>
      <c r="H785" t="s" s="8"/>
      <c r="I785" t="s" s="8"/>
      <c r="J785" t="s" s="8"/>
    </row>
    <row r="786" ht="15.75" customHeight="true">
      <c r="A786" t="s" s="15"/>
      <c r="B786" t="s" s="8"/>
      <c r="C786" t="s" s="8"/>
      <c r="D786" t="s" s="8"/>
      <c r="E786" t="s" s="8"/>
      <c r="F786" t="s" s="8"/>
      <c r="G786" t="s" s="8"/>
      <c r="H786" t="s" s="8"/>
      <c r="I786" t="s" s="8"/>
      <c r="J786" t="s" s="8"/>
    </row>
    <row r="787" ht="15.75" customHeight="true">
      <c r="A787" t="s" s="15"/>
      <c r="B787" t="s" s="8"/>
      <c r="C787" t="s" s="8"/>
      <c r="D787" t="s" s="8"/>
      <c r="E787" t="s" s="8"/>
      <c r="F787" t="s" s="8"/>
      <c r="G787" t="s" s="8"/>
      <c r="H787" t="s" s="8"/>
      <c r="I787" t="s" s="8"/>
      <c r="J787" t="s" s="8"/>
    </row>
    <row r="788" ht="15.75" customHeight="true">
      <c r="A788" t="s" s="15"/>
      <c r="B788" t="s" s="8"/>
      <c r="C788" t="s" s="8"/>
      <c r="D788" t="s" s="8"/>
      <c r="E788" t="s" s="8"/>
      <c r="F788" t="s" s="8"/>
      <c r="G788" t="s" s="8"/>
      <c r="H788" t="s" s="8"/>
      <c r="I788" t="s" s="8"/>
      <c r="J788" t="s" s="8"/>
    </row>
    <row r="789" ht="15.75" customHeight="true">
      <c r="A789" t="s" s="15"/>
      <c r="B789" t="s" s="8"/>
      <c r="C789" t="s" s="8"/>
      <c r="D789" t="s" s="8"/>
      <c r="E789" t="s" s="8"/>
      <c r="F789" t="s" s="8"/>
      <c r="G789" t="s" s="8"/>
      <c r="H789" t="s" s="8"/>
      <c r="I789" t="s" s="8"/>
      <c r="J789" t="s" s="8"/>
    </row>
    <row r="790" ht="15.75" customHeight="true">
      <c r="A790" t="s" s="15"/>
      <c r="B790" t="s" s="8"/>
      <c r="C790" t="s" s="8"/>
      <c r="D790" t="s" s="8"/>
      <c r="E790" t="s" s="8"/>
      <c r="F790" t="s" s="8"/>
      <c r="G790" t="s" s="8"/>
      <c r="H790" t="s" s="8"/>
      <c r="I790" t="s" s="8"/>
      <c r="J790" t="s" s="8"/>
    </row>
    <row r="791" ht="15.75" customHeight="true">
      <c r="A791" t="s" s="15"/>
      <c r="B791" t="s" s="8"/>
      <c r="C791" t="s" s="8"/>
      <c r="D791" t="s" s="8"/>
      <c r="E791" t="s" s="8"/>
      <c r="F791" t="s" s="8"/>
      <c r="G791" t="s" s="8"/>
      <c r="H791" t="s" s="8"/>
      <c r="I791" t="s" s="8"/>
      <c r="J791" t="s" s="8"/>
    </row>
    <row r="792" ht="15.75" customHeight="true">
      <c r="A792" t="s" s="15"/>
      <c r="B792" t="s" s="8"/>
      <c r="C792" t="s" s="8"/>
      <c r="D792" t="s" s="8"/>
      <c r="E792" t="s" s="8"/>
      <c r="F792" t="s" s="8"/>
      <c r="G792" t="s" s="8"/>
      <c r="H792" t="s" s="8"/>
      <c r="I792" t="s" s="8"/>
      <c r="J792" t="s" s="8"/>
    </row>
    <row r="793" ht="15.75" customHeight="true">
      <c r="A793" t="s" s="15"/>
      <c r="B793" t="s" s="8"/>
      <c r="C793" t="s" s="8"/>
      <c r="D793" t="s" s="8"/>
      <c r="E793" t="s" s="8"/>
      <c r="F793" t="s" s="8"/>
      <c r="G793" t="s" s="8"/>
      <c r="H793" t="s" s="8"/>
      <c r="I793" t="s" s="8"/>
      <c r="J793" t="s" s="8"/>
    </row>
    <row r="794" ht="15.75" customHeight="true">
      <c r="A794" t="s" s="15"/>
      <c r="B794" t="s" s="8"/>
      <c r="C794" t="s" s="8"/>
      <c r="D794" t="s" s="8"/>
      <c r="E794" t="s" s="8"/>
      <c r="F794" t="s" s="8"/>
      <c r="G794" t="s" s="8"/>
      <c r="H794" t="s" s="8"/>
      <c r="I794" t="s" s="8"/>
      <c r="J794" t="s" s="8"/>
    </row>
    <row r="795" ht="15.75" customHeight="true">
      <c r="A795" t="s" s="15"/>
      <c r="B795" t="s" s="8"/>
      <c r="C795" t="s" s="8"/>
      <c r="D795" t="s" s="8"/>
      <c r="E795" t="s" s="8"/>
      <c r="F795" t="s" s="8"/>
      <c r="G795" t="s" s="8"/>
      <c r="H795" t="s" s="8"/>
      <c r="I795" t="s" s="8"/>
      <c r="J795" t="s" s="8"/>
    </row>
    <row r="796" ht="15.75" customHeight="true">
      <c r="A796" t="s" s="15"/>
      <c r="B796" t="s" s="8"/>
      <c r="C796" t="s" s="8"/>
      <c r="D796" t="s" s="8"/>
      <c r="E796" t="s" s="8"/>
      <c r="F796" t="s" s="8"/>
      <c r="G796" t="s" s="8"/>
      <c r="H796" t="s" s="8"/>
      <c r="I796" t="s" s="8"/>
      <c r="J796" t="s" s="8"/>
    </row>
    <row r="797" ht="15.75" customHeight="true">
      <c r="A797" t="s" s="15"/>
      <c r="B797" t="s" s="8"/>
      <c r="C797" t="s" s="8"/>
      <c r="D797" t="s" s="8"/>
      <c r="E797" t="s" s="8"/>
      <c r="F797" t="s" s="8"/>
      <c r="G797" t="s" s="8"/>
      <c r="H797" t="s" s="8"/>
      <c r="I797" t="s" s="8"/>
      <c r="J797" t="s" s="8"/>
    </row>
    <row r="798" ht="15.75" customHeight="true">
      <c r="A798" t="s" s="15"/>
      <c r="B798" t="s" s="8"/>
      <c r="C798" t="s" s="8"/>
      <c r="D798" t="s" s="8"/>
      <c r="E798" t="s" s="8"/>
      <c r="F798" t="s" s="8"/>
      <c r="G798" t="s" s="8"/>
      <c r="H798" t="s" s="8"/>
      <c r="I798" t="s" s="8"/>
      <c r="J798" t="s" s="8"/>
    </row>
    <row r="799" ht="15.75" customHeight="true">
      <c r="A799" t="s" s="15"/>
      <c r="B799" t="s" s="8"/>
      <c r="C799" t="s" s="8"/>
      <c r="D799" t="s" s="8"/>
      <c r="E799" t="s" s="8"/>
      <c r="F799" t="s" s="8"/>
      <c r="G799" t="s" s="8"/>
      <c r="H799" t="s" s="8"/>
      <c r="I799" t="s" s="8"/>
      <c r="J799" t="s" s="8"/>
    </row>
    <row r="800" ht="15.75" customHeight="true">
      <c r="A800" t="s" s="15"/>
      <c r="B800" t="s" s="8"/>
      <c r="C800" t="s" s="8"/>
      <c r="D800" t="s" s="8"/>
      <c r="E800" t="s" s="8"/>
      <c r="F800" t="s" s="8"/>
      <c r="G800" t="s" s="8"/>
      <c r="H800" t="s" s="8"/>
      <c r="I800" t="s" s="8"/>
      <c r="J800" t="s" s="8"/>
    </row>
    <row r="801" ht="15.75" customHeight="true">
      <c r="A801" t="s" s="15"/>
      <c r="B801" t="s" s="8"/>
      <c r="C801" t="s" s="8"/>
      <c r="D801" t="s" s="8"/>
      <c r="E801" t="s" s="8"/>
      <c r="F801" t="s" s="8"/>
      <c r="G801" t="s" s="8"/>
      <c r="H801" t="s" s="8"/>
      <c r="I801" t="s" s="8"/>
      <c r="J801" t="s" s="8"/>
    </row>
    <row r="802" ht="15.75" customHeight="true">
      <c r="A802" t="s" s="15"/>
      <c r="B802" t="s" s="8"/>
      <c r="C802" t="s" s="8"/>
      <c r="D802" t="s" s="8"/>
      <c r="E802" t="s" s="8"/>
      <c r="F802" t="s" s="8"/>
      <c r="G802" t="s" s="8"/>
      <c r="H802" t="s" s="8"/>
      <c r="I802" t="s" s="8"/>
      <c r="J802" t="s" s="8"/>
    </row>
    <row r="803" ht="15.75" customHeight="true">
      <c r="A803" t="s" s="15"/>
      <c r="B803" t="s" s="8"/>
      <c r="C803" t="s" s="8"/>
      <c r="D803" t="s" s="8"/>
      <c r="E803" t="s" s="8"/>
      <c r="F803" t="s" s="8"/>
      <c r="G803" t="s" s="8"/>
      <c r="H803" t="s" s="8"/>
      <c r="I803" t="s" s="8"/>
      <c r="J803" t="s" s="8"/>
    </row>
    <row r="804" ht="15.75" customHeight="true">
      <c r="A804" t="s" s="15"/>
      <c r="B804" t="s" s="8"/>
      <c r="C804" t="s" s="8"/>
      <c r="D804" t="s" s="8"/>
      <c r="E804" t="s" s="8"/>
      <c r="F804" t="s" s="8"/>
      <c r="G804" t="s" s="8"/>
      <c r="H804" t="s" s="8"/>
      <c r="I804" t="s" s="8"/>
      <c r="J804" t="s" s="8"/>
    </row>
    <row r="805" ht="15.75" customHeight="true">
      <c r="A805" t="s" s="15"/>
      <c r="B805" t="s" s="8"/>
      <c r="C805" t="s" s="8"/>
      <c r="D805" t="s" s="8"/>
      <c r="E805" t="s" s="8"/>
      <c r="F805" t="s" s="8"/>
      <c r="G805" t="s" s="8"/>
      <c r="H805" t="s" s="8"/>
      <c r="I805" t="s" s="8"/>
      <c r="J805" t="s" s="8"/>
    </row>
    <row r="806" ht="15.75" customHeight="true">
      <c r="A806" t="s" s="15"/>
      <c r="B806" t="s" s="8"/>
      <c r="C806" t="s" s="8"/>
      <c r="D806" t="s" s="8"/>
      <c r="E806" t="s" s="8"/>
      <c r="F806" t="s" s="8"/>
      <c r="G806" t="s" s="8"/>
      <c r="H806" t="s" s="8"/>
      <c r="I806" t="s" s="8"/>
      <c r="J806" t="s" s="8"/>
    </row>
    <row r="807" ht="15.75" customHeight="true">
      <c r="A807" t="s" s="15"/>
      <c r="B807" t="s" s="8"/>
      <c r="C807" t="s" s="8"/>
      <c r="D807" t="s" s="8"/>
      <c r="E807" t="s" s="8"/>
      <c r="F807" t="s" s="8"/>
      <c r="G807" t="s" s="8"/>
      <c r="H807" t="s" s="8"/>
      <c r="I807" t="s" s="8"/>
      <c r="J807" t="s" s="8"/>
    </row>
    <row r="808" ht="15.75" customHeight="true">
      <c r="A808" t="s" s="15"/>
      <c r="B808" t="s" s="8"/>
      <c r="C808" t="s" s="8"/>
      <c r="D808" t="s" s="8"/>
      <c r="E808" t="s" s="8"/>
      <c r="F808" t="s" s="8"/>
      <c r="G808" t="s" s="8"/>
      <c r="H808" t="s" s="8"/>
      <c r="I808" t="s" s="8"/>
      <c r="J808" t="s" s="8"/>
    </row>
    <row r="809" ht="15.75" customHeight="true">
      <c r="A809" t="s" s="15"/>
      <c r="B809" t="s" s="8"/>
      <c r="C809" t="s" s="8"/>
      <c r="D809" t="s" s="8"/>
      <c r="E809" t="s" s="8"/>
      <c r="F809" t="s" s="8"/>
      <c r="G809" t="s" s="8"/>
      <c r="H809" t="s" s="8"/>
      <c r="I809" t="s" s="8"/>
      <c r="J809" t="s" s="8"/>
    </row>
    <row r="810" ht="15.75" customHeight="true">
      <c r="A810" t="s" s="15"/>
      <c r="B810" t="s" s="8"/>
      <c r="C810" t="s" s="8"/>
      <c r="D810" t="s" s="8"/>
      <c r="E810" t="s" s="8"/>
      <c r="F810" t="s" s="8"/>
      <c r="G810" t="s" s="8"/>
      <c r="H810" t="s" s="8"/>
      <c r="I810" t="s" s="8"/>
      <c r="J810" t="s" s="8"/>
    </row>
    <row r="811" ht="15.75" customHeight="true">
      <c r="A811" t="s" s="15"/>
      <c r="B811" t="s" s="8"/>
      <c r="C811" t="s" s="8"/>
      <c r="D811" t="s" s="8"/>
      <c r="E811" t="s" s="8"/>
      <c r="F811" t="s" s="8"/>
      <c r="G811" t="s" s="8"/>
      <c r="H811" t="s" s="8"/>
      <c r="I811" t="s" s="8"/>
      <c r="J811" t="s" s="8"/>
    </row>
    <row r="812" ht="15.75" customHeight="true">
      <c r="A812" t="s" s="15"/>
      <c r="B812" t="s" s="8"/>
      <c r="C812" t="s" s="8"/>
      <c r="D812" t="s" s="8"/>
      <c r="E812" t="s" s="8"/>
      <c r="F812" t="s" s="8"/>
      <c r="G812" t="s" s="8"/>
      <c r="H812" t="s" s="8"/>
      <c r="I812" t="s" s="8"/>
      <c r="J812" t="s" s="8"/>
    </row>
    <row r="813" ht="15.75" customHeight="true">
      <c r="A813" t="s" s="15"/>
      <c r="B813" t="s" s="8"/>
      <c r="C813" t="s" s="8"/>
      <c r="D813" t="s" s="8"/>
      <c r="E813" t="s" s="8"/>
      <c r="F813" t="s" s="8"/>
      <c r="G813" t="s" s="8"/>
      <c r="H813" t="s" s="8"/>
      <c r="I813" t="s" s="8"/>
      <c r="J813" t="s" s="8"/>
    </row>
    <row r="814" ht="15.75" customHeight="true">
      <c r="A814" t="s" s="15"/>
      <c r="B814" t="s" s="8"/>
      <c r="C814" t="s" s="8"/>
      <c r="D814" t="s" s="8"/>
      <c r="E814" t="s" s="8"/>
      <c r="F814" t="s" s="8"/>
      <c r="G814" t="s" s="8"/>
      <c r="H814" t="s" s="8"/>
      <c r="I814" t="s" s="8"/>
      <c r="J814" t="s" s="8"/>
    </row>
    <row r="815" ht="15.75" customHeight="true">
      <c r="A815" t="s" s="15"/>
      <c r="B815" t="s" s="8"/>
      <c r="C815" t="s" s="8"/>
      <c r="D815" t="s" s="8"/>
      <c r="E815" t="s" s="8"/>
      <c r="F815" t="s" s="8"/>
      <c r="G815" t="s" s="8"/>
      <c r="H815" t="s" s="8"/>
      <c r="I815" t="s" s="8"/>
      <c r="J815" t="s" s="8"/>
    </row>
    <row r="816" ht="15.75" customHeight="true">
      <c r="A816" t="s" s="15"/>
      <c r="B816" t="s" s="8"/>
      <c r="C816" t="s" s="8"/>
      <c r="D816" t="s" s="8"/>
      <c r="E816" t="s" s="8"/>
      <c r="F816" t="s" s="8"/>
      <c r="G816" t="s" s="8"/>
      <c r="H816" t="s" s="8"/>
      <c r="I816" t="s" s="8"/>
      <c r="J816" t="s" s="8"/>
    </row>
    <row r="817" ht="15.75" customHeight="true">
      <c r="A817" t="s" s="15"/>
      <c r="B817" t="s" s="8"/>
      <c r="C817" t="s" s="8"/>
      <c r="D817" t="s" s="8"/>
      <c r="E817" t="s" s="8"/>
      <c r="F817" t="s" s="8"/>
      <c r="G817" t="s" s="8"/>
      <c r="H817" t="s" s="8"/>
      <c r="I817" t="s" s="8"/>
      <c r="J817" t="s" s="8"/>
    </row>
    <row r="818" ht="15.75" customHeight="true">
      <c r="A818" t="s" s="15"/>
      <c r="B818" t="s" s="8"/>
      <c r="C818" t="s" s="8"/>
      <c r="D818" t="s" s="8"/>
      <c r="E818" t="s" s="8"/>
      <c r="F818" t="s" s="8"/>
      <c r="G818" t="s" s="8"/>
      <c r="H818" t="s" s="8"/>
      <c r="I818" t="s" s="8"/>
      <c r="J818" t="s" s="8"/>
    </row>
    <row r="819" ht="15.75" customHeight="true">
      <c r="A819" t="s" s="15"/>
      <c r="B819" t="s" s="8"/>
      <c r="C819" t="s" s="8"/>
      <c r="D819" t="s" s="8"/>
      <c r="E819" t="s" s="8"/>
      <c r="F819" t="s" s="8"/>
      <c r="G819" t="s" s="8"/>
      <c r="H819" t="s" s="8"/>
      <c r="I819" t="s" s="8"/>
      <c r="J819" t="s" s="8"/>
    </row>
    <row r="820" ht="15.75" customHeight="true">
      <c r="A820" t="s" s="15"/>
      <c r="B820" t="s" s="8"/>
      <c r="C820" t="s" s="8"/>
      <c r="D820" t="s" s="8"/>
      <c r="E820" t="s" s="8"/>
      <c r="F820" t="s" s="8"/>
      <c r="G820" t="s" s="8"/>
      <c r="H820" t="s" s="8"/>
      <c r="I820" t="s" s="8"/>
      <c r="J820" t="s" s="8"/>
    </row>
    <row r="821" ht="15.75" customHeight="true">
      <c r="A821" t="s" s="15"/>
      <c r="B821" t="s" s="8"/>
      <c r="C821" t="s" s="8"/>
      <c r="D821" t="s" s="8"/>
      <c r="E821" t="s" s="8"/>
      <c r="F821" t="s" s="8"/>
      <c r="G821" t="s" s="8"/>
      <c r="H821" t="s" s="8"/>
      <c r="I821" t="s" s="8"/>
      <c r="J821" t="s" s="8"/>
    </row>
    <row r="822" ht="15.75" customHeight="true">
      <c r="A822" t="s" s="15"/>
      <c r="B822" t="s" s="8"/>
      <c r="C822" t="s" s="8"/>
      <c r="D822" t="s" s="8"/>
      <c r="E822" t="s" s="8"/>
      <c r="F822" t="s" s="8"/>
      <c r="G822" t="s" s="8"/>
      <c r="H822" t="s" s="8"/>
      <c r="I822" t="s" s="8"/>
      <c r="J822" t="s" s="8"/>
    </row>
    <row r="823" ht="15.75" customHeight="true">
      <c r="A823" t="s" s="15"/>
      <c r="B823" t="s" s="8"/>
      <c r="C823" t="s" s="8"/>
      <c r="D823" t="s" s="8"/>
      <c r="E823" t="s" s="8"/>
      <c r="F823" t="s" s="8"/>
      <c r="G823" t="s" s="8"/>
      <c r="H823" t="s" s="8"/>
      <c r="I823" t="s" s="8"/>
      <c r="J823" t="s" s="8"/>
    </row>
    <row r="824" ht="15.75" customHeight="true">
      <c r="A824" t="s" s="15"/>
      <c r="B824" t="s" s="8"/>
      <c r="C824" t="s" s="8"/>
      <c r="D824" t="s" s="8"/>
      <c r="E824" t="s" s="8"/>
      <c r="F824" t="s" s="8"/>
      <c r="G824" t="s" s="8"/>
      <c r="H824" t="s" s="8"/>
      <c r="I824" t="s" s="8"/>
      <c r="J824" t="s" s="8"/>
    </row>
    <row r="825" ht="15.75" customHeight="true">
      <c r="A825" t="s" s="15"/>
      <c r="B825" t="s" s="8"/>
      <c r="C825" t="s" s="8"/>
      <c r="D825" t="s" s="8"/>
      <c r="E825" t="s" s="8"/>
      <c r="F825" t="s" s="8"/>
      <c r="G825" t="s" s="8"/>
      <c r="H825" t="s" s="8"/>
      <c r="I825" t="s" s="8"/>
      <c r="J825" t="s" s="8"/>
    </row>
    <row r="826" ht="15.75" customHeight="true">
      <c r="A826" t="s" s="15"/>
      <c r="B826" t="s" s="8"/>
      <c r="C826" t="s" s="8"/>
      <c r="D826" t="s" s="8"/>
      <c r="E826" t="s" s="8"/>
      <c r="F826" t="s" s="8"/>
      <c r="G826" t="s" s="8"/>
      <c r="H826" t="s" s="8"/>
      <c r="I826" t="s" s="8"/>
      <c r="J826" t="s" s="8"/>
    </row>
    <row r="827" ht="15.75" customHeight="true">
      <c r="A827" t="s" s="15"/>
      <c r="B827" t="s" s="8"/>
      <c r="C827" t="s" s="8"/>
      <c r="D827" t="s" s="8"/>
      <c r="E827" t="s" s="8"/>
      <c r="F827" t="s" s="8"/>
      <c r="G827" t="s" s="8"/>
      <c r="H827" t="s" s="8"/>
      <c r="I827" t="s" s="8"/>
      <c r="J827" t="s" s="8"/>
    </row>
    <row r="828" ht="15.75" customHeight="true">
      <c r="A828" t="s" s="15"/>
      <c r="B828" t="s" s="8"/>
      <c r="C828" t="s" s="8"/>
      <c r="D828" t="s" s="8"/>
      <c r="E828" t="s" s="8"/>
      <c r="F828" t="s" s="8"/>
      <c r="G828" t="s" s="8"/>
      <c r="H828" t="s" s="8"/>
      <c r="I828" t="s" s="8"/>
      <c r="J828" t="s" s="8"/>
    </row>
    <row r="829" ht="15.75" customHeight="true">
      <c r="A829" t="s" s="15"/>
      <c r="B829" t="s" s="8"/>
      <c r="C829" t="s" s="8"/>
      <c r="D829" t="s" s="8"/>
      <c r="E829" t="s" s="8"/>
      <c r="F829" t="s" s="8"/>
      <c r="G829" t="s" s="8"/>
      <c r="H829" t="s" s="8"/>
      <c r="I829" t="s" s="8"/>
      <c r="J829" t="s" s="8"/>
    </row>
    <row r="830" ht="15.75" customHeight="true">
      <c r="A830" t="s" s="15"/>
      <c r="B830" t="s" s="8"/>
      <c r="C830" t="s" s="8"/>
      <c r="D830" t="s" s="8"/>
      <c r="E830" t="s" s="8"/>
      <c r="F830" t="s" s="8"/>
      <c r="G830" t="s" s="8"/>
      <c r="H830" t="s" s="8"/>
      <c r="I830" t="s" s="8"/>
      <c r="J830" t="s" s="8"/>
    </row>
    <row r="831" ht="15.75" customHeight="true">
      <c r="A831" t="s" s="15"/>
      <c r="B831" t="s" s="8"/>
      <c r="C831" t="s" s="8"/>
      <c r="D831" t="s" s="8"/>
      <c r="E831" t="s" s="8"/>
      <c r="F831" t="s" s="8"/>
      <c r="G831" t="s" s="8"/>
      <c r="H831" t="s" s="8"/>
      <c r="I831" t="s" s="8"/>
      <c r="J831" t="s" s="8"/>
    </row>
    <row r="832" ht="15.75" customHeight="true">
      <c r="A832" t="s" s="15"/>
      <c r="B832" t="s" s="8"/>
      <c r="C832" t="s" s="8"/>
      <c r="D832" t="s" s="8"/>
      <c r="E832" t="s" s="8"/>
      <c r="F832" t="s" s="8"/>
      <c r="G832" t="s" s="8"/>
      <c r="H832" t="s" s="8"/>
      <c r="I832" t="s" s="8"/>
      <c r="J832" t="s" s="8"/>
    </row>
    <row r="833" ht="15.75" customHeight="true">
      <c r="A833" t="s" s="15"/>
      <c r="B833" t="s" s="8"/>
      <c r="C833" t="s" s="8"/>
      <c r="D833" t="s" s="8"/>
      <c r="E833" t="s" s="8"/>
      <c r="F833" t="s" s="8"/>
      <c r="G833" t="s" s="8"/>
      <c r="H833" t="s" s="8"/>
      <c r="I833" t="s" s="8"/>
      <c r="J833" t="s" s="8"/>
    </row>
    <row r="834" ht="15.75" customHeight="true">
      <c r="A834" t="s" s="15"/>
      <c r="B834" t="s" s="8"/>
      <c r="C834" t="s" s="8"/>
      <c r="D834" t="s" s="8"/>
      <c r="E834" t="s" s="8"/>
      <c r="F834" t="s" s="8"/>
      <c r="G834" t="s" s="8"/>
      <c r="H834" t="s" s="8"/>
      <c r="I834" t="s" s="8"/>
      <c r="J834" t="s" s="8"/>
    </row>
    <row r="835" ht="15.75" customHeight="true">
      <c r="A835" t="s" s="15"/>
      <c r="B835" t="s" s="8"/>
      <c r="C835" t="s" s="8"/>
      <c r="D835" t="s" s="8"/>
      <c r="E835" t="s" s="8"/>
      <c r="F835" t="s" s="8"/>
      <c r="G835" t="s" s="8"/>
      <c r="H835" t="s" s="8"/>
      <c r="I835" t="s" s="8"/>
      <c r="J835" t="s" s="8"/>
    </row>
    <row r="836" ht="15.75" customHeight="true">
      <c r="A836" t="s" s="15"/>
      <c r="B836" t="s" s="8"/>
      <c r="C836" t="s" s="8"/>
      <c r="D836" t="s" s="8"/>
      <c r="E836" t="s" s="8"/>
      <c r="F836" t="s" s="8"/>
      <c r="G836" t="s" s="8"/>
      <c r="H836" t="s" s="8"/>
      <c r="I836" t="s" s="8"/>
      <c r="J836" t="s" s="8"/>
    </row>
    <row r="837" ht="15.75" customHeight="true">
      <c r="A837" t="s" s="15"/>
      <c r="B837" t="s" s="8"/>
      <c r="C837" t="s" s="8"/>
      <c r="D837" t="s" s="8"/>
      <c r="E837" t="s" s="8"/>
      <c r="F837" t="s" s="8"/>
      <c r="G837" t="s" s="8"/>
      <c r="H837" t="s" s="8"/>
      <c r="I837" t="s" s="8"/>
      <c r="J837" t="s" s="8"/>
    </row>
    <row r="838" ht="15.75" customHeight="true">
      <c r="A838" t="s" s="15"/>
      <c r="B838" t="s" s="8"/>
      <c r="C838" t="s" s="8"/>
      <c r="D838" t="s" s="8"/>
      <c r="E838" t="s" s="8"/>
      <c r="F838" t="s" s="8"/>
      <c r="G838" t="s" s="8"/>
      <c r="H838" t="s" s="8"/>
      <c r="I838" t="s" s="8"/>
      <c r="J838" t="s" s="8"/>
    </row>
    <row r="839" ht="15.75" customHeight="true">
      <c r="A839" t="s" s="15"/>
      <c r="B839" t="s" s="8"/>
      <c r="C839" t="s" s="8"/>
      <c r="D839" t="s" s="8"/>
      <c r="E839" t="s" s="8"/>
      <c r="F839" t="s" s="8"/>
      <c r="G839" t="s" s="8"/>
      <c r="H839" t="s" s="8"/>
      <c r="I839" t="s" s="8"/>
      <c r="J839" t="s" s="8"/>
    </row>
    <row r="840" ht="15.75" customHeight="true">
      <c r="A840" t="s" s="15"/>
      <c r="B840" t="s" s="8"/>
      <c r="C840" t="s" s="8"/>
      <c r="D840" t="s" s="8"/>
      <c r="E840" t="s" s="8"/>
      <c r="F840" t="s" s="8"/>
      <c r="G840" t="s" s="8"/>
      <c r="H840" t="s" s="8"/>
      <c r="I840" t="s" s="8"/>
      <c r="J840" t="s" s="8"/>
    </row>
    <row r="841" ht="15.75" customHeight="true">
      <c r="A841" t="s" s="15"/>
      <c r="B841" t="s" s="8"/>
      <c r="C841" t="s" s="8"/>
      <c r="D841" t="s" s="8"/>
      <c r="E841" t="s" s="8"/>
      <c r="F841" t="s" s="8"/>
      <c r="G841" t="s" s="8"/>
      <c r="H841" t="s" s="8"/>
      <c r="I841" t="s" s="8"/>
      <c r="J841" t="s" s="8"/>
    </row>
    <row r="842" ht="15.75" customHeight="true">
      <c r="A842" t="s" s="15"/>
      <c r="B842" t="s" s="8"/>
      <c r="C842" t="s" s="8"/>
      <c r="D842" t="s" s="8"/>
      <c r="E842" t="s" s="8"/>
      <c r="F842" t="s" s="8"/>
      <c r="G842" t="s" s="8"/>
      <c r="H842" t="s" s="8"/>
      <c r="I842" t="s" s="8"/>
      <c r="J842" t="s" s="8"/>
    </row>
    <row r="843" ht="15.75" customHeight="true">
      <c r="A843" t="s" s="15"/>
      <c r="B843" t="s" s="8"/>
      <c r="C843" t="s" s="8"/>
      <c r="D843" t="s" s="8"/>
      <c r="E843" t="s" s="8"/>
      <c r="F843" t="s" s="8"/>
      <c r="G843" t="s" s="8"/>
      <c r="H843" t="s" s="8"/>
      <c r="I843" t="s" s="8"/>
      <c r="J843" t="s" s="8"/>
    </row>
    <row r="844" ht="15.75" customHeight="true">
      <c r="A844" t="s" s="15"/>
      <c r="B844" t="s" s="8"/>
      <c r="C844" t="s" s="8"/>
      <c r="D844" t="s" s="8"/>
      <c r="E844" t="s" s="8"/>
      <c r="F844" t="s" s="8"/>
      <c r="G844" t="s" s="8"/>
      <c r="H844" t="s" s="8"/>
      <c r="I844" t="s" s="8"/>
      <c r="J844" t="s" s="8"/>
    </row>
    <row r="845" ht="15.75" customHeight="true">
      <c r="A845" t="s" s="15"/>
      <c r="B845" t="s" s="8"/>
      <c r="C845" t="s" s="8"/>
      <c r="D845" t="s" s="8"/>
      <c r="E845" t="s" s="8"/>
      <c r="F845" t="s" s="8"/>
      <c r="G845" t="s" s="8"/>
      <c r="H845" t="s" s="8"/>
      <c r="I845" t="s" s="8"/>
      <c r="J845" t="s" s="8"/>
    </row>
    <row r="846" ht="15.75" customHeight="true">
      <c r="A846" t="s" s="15"/>
      <c r="B846" t="s" s="8"/>
      <c r="C846" t="s" s="8"/>
      <c r="D846" t="s" s="8"/>
      <c r="E846" t="s" s="8"/>
      <c r="F846" t="s" s="8"/>
      <c r="G846" t="s" s="8"/>
      <c r="H846" t="s" s="8"/>
      <c r="I846" t="s" s="8"/>
      <c r="J846" t="s" s="8"/>
    </row>
    <row r="847" ht="15.75" customHeight="true">
      <c r="A847" t="s" s="15"/>
      <c r="B847" t="s" s="8"/>
      <c r="C847" t="s" s="8"/>
      <c r="D847" t="s" s="8"/>
      <c r="E847" t="s" s="8"/>
      <c r="F847" t="s" s="8"/>
      <c r="G847" t="s" s="8"/>
      <c r="H847" t="s" s="8"/>
      <c r="I847" t="s" s="8"/>
      <c r="J847" t="s" s="8"/>
    </row>
    <row r="848" ht="15.75" customHeight="true">
      <c r="A848" t="s" s="15"/>
      <c r="B848" t="s" s="8"/>
      <c r="C848" t="s" s="8"/>
      <c r="D848" t="s" s="8"/>
      <c r="E848" t="s" s="8"/>
      <c r="F848" t="s" s="8"/>
      <c r="G848" t="s" s="8"/>
      <c r="H848" t="s" s="8"/>
      <c r="I848" t="s" s="8"/>
      <c r="J848" t="s" s="8"/>
    </row>
    <row r="849" ht="15.75" customHeight="true">
      <c r="A849" t="s" s="15"/>
      <c r="B849" t="s" s="8"/>
      <c r="C849" t="s" s="8"/>
      <c r="D849" t="s" s="8"/>
      <c r="E849" t="s" s="8"/>
      <c r="F849" t="s" s="8"/>
      <c r="G849" t="s" s="8"/>
      <c r="H849" t="s" s="8"/>
      <c r="I849" t="s" s="8"/>
      <c r="J849" t="s" s="8"/>
    </row>
    <row r="850" ht="15.75" customHeight="true">
      <c r="A850" t="s" s="15"/>
      <c r="B850" t="s" s="8"/>
      <c r="C850" t="s" s="8"/>
      <c r="D850" t="s" s="8"/>
      <c r="E850" t="s" s="8"/>
      <c r="F850" t="s" s="8"/>
      <c r="G850" t="s" s="8"/>
      <c r="H850" t="s" s="8"/>
      <c r="I850" t="s" s="8"/>
      <c r="J850" t="s" s="8"/>
    </row>
    <row r="851" ht="15.75" customHeight="true">
      <c r="A851" t="s" s="15"/>
      <c r="B851" t="s" s="8"/>
      <c r="C851" t="s" s="8"/>
      <c r="D851" t="s" s="8"/>
      <c r="E851" t="s" s="8"/>
      <c r="F851" t="s" s="8"/>
      <c r="G851" t="s" s="8"/>
      <c r="H851" t="s" s="8"/>
      <c r="I851" t="s" s="8"/>
      <c r="J851" t="s" s="8"/>
    </row>
    <row r="852" ht="15.75" customHeight="true">
      <c r="A852" t="s" s="15"/>
      <c r="B852" t="s" s="8"/>
      <c r="C852" t="s" s="8"/>
      <c r="D852" t="s" s="8"/>
      <c r="E852" t="s" s="8"/>
      <c r="F852" t="s" s="8"/>
      <c r="G852" t="s" s="8"/>
      <c r="H852" t="s" s="8"/>
      <c r="I852" t="s" s="8"/>
      <c r="J852" t="s" s="8"/>
    </row>
    <row r="853" ht="15.75" customHeight="true">
      <c r="A853" t="s" s="15"/>
      <c r="B853" t="s" s="8"/>
      <c r="C853" t="s" s="8"/>
      <c r="D853" t="s" s="8"/>
      <c r="E853" t="s" s="8"/>
      <c r="F853" t="s" s="8"/>
      <c r="G853" t="s" s="8"/>
      <c r="H853" t="s" s="8"/>
      <c r="I853" t="s" s="8"/>
      <c r="J853" t="s" s="8"/>
    </row>
    <row r="854" ht="15.75" customHeight="true">
      <c r="A854" t="s" s="15"/>
      <c r="B854" t="s" s="8"/>
      <c r="C854" t="s" s="8"/>
      <c r="D854" t="s" s="8"/>
      <c r="E854" t="s" s="8"/>
      <c r="F854" t="s" s="8"/>
      <c r="G854" t="s" s="8"/>
      <c r="H854" t="s" s="8"/>
      <c r="I854" t="s" s="8"/>
      <c r="J854" t="s" s="8"/>
    </row>
    <row r="855" ht="15.75" customHeight="true">
      <c r="A855" t="s" s="15"/>
      <c r="B855" t="s" s="8"/>
      <c r="C855" t="s" s="8"/>
      <c r="D855" t="s" s="8"/>
      <c r="E855" t="s" s="8"/>
      <c r="F855" t="s" s="8"/>
      <c r="G855" t="s" s="8"/>
      <c r="H855" t="s" s="8"/>
      <c r="I855" t="s" s="8"/>
      <c r="J855" t="s" s="8"/>
    </row>
    <row r="856" ht="15.75" customHeight="true">
      <c r="A856" t="s" s="15"/>
      <c r="B856" t="s" s="8"/>
      <c r="C856" t="s" s="8"/>
      <c r="D856" t="s" s="8"/>
      <c r="E856" t="s" s="8"/>
      <c r="F856" t="s" s="8"/>
      <c r="G856" t="s" s="8"/>
      <c r="H856" t="s" s="8"/>
      <c r="I856" t="s" s="8"/>
      <c r="J856" t="s" s="8"/>
    </row>
    <row r="857" ht="15.75" customHeight="true">
      <c r="A857" t="s" s="15"/>
      <c r="B857" t="s" s="8"/>
      <c r="C857" t="s" s="8"/>
      <c r="D857" t="s" s="8"/>
      <c r="E857" t="s" s="8"/>
      <c r="F857" t="s" s="8"/>
      <c r="G857" t="s" s="8"/>
      <c r="H857" t="s" s="8"/>
      <c r="I857" t="s" s="8"/>
      <c r="J857" t="s" s="8"/>
    </row>
    <row r="858" ht="15.75" customHeight="true">
      <c r="A858" t="s" s="15"/>
      <c r="B858" t="s" s="8"/>
      <c r="C858" t="s" s="8"/>
      <c r="D858" t="s" s="8"/>
      <c r="E858" t="s" s="8"/>
      <c r="F858" t="s" s="8"/>
      <c r="G858" t="s" s="8"/>
      <c r="H858" t="s" s="8"/>
      <c r="I858" t="s" s="8"/>
      <c r="J858" t="s" s="8"/>
    </row>
    <row r="859" ht="15.75" customHeight="true">
      <c r="A859" t="s" s="15"/>
      <c r="B859" t="s" s="8"/>
      <c r="C859" t="s" s="8"/>
      <c r="D859" t="s" s="8"/>
      <c r="E859" t="s" s="8"/>
      <c r="F859" t="s" s="8"/>
      <c r="G859" t="s" s="8"/>
      <c r="H859" t="s" s="8"/>
      <c r="I859" t="s" s="8"/>
      <c r="J859" t="s" s="8"/>
    </row>
    <row r="860" ht="15.75" customHeight="true">
      <c r="A860" t="s" s="15"/>
      <c r="B860" t="s" s="8"/>
      <c r="C860" t="s" s="8"/>
      <c r="D860" t="s" s="8"/>
      <c r="E860" t="s" s="8"/>
      <c r="F860" t="s" s="8"/>
      <c r="G860" t="s" s="8"/>
      <c r="H860" t="s" s="8"/>
      <c r="I860" t="s" s="8"/>
      <c r="J860" t="s" s="8"/>
    </row>
    <row r="861" ht="15.75" customHeight="true">
      <c r="A861" t="s" s="15"/>
      <c r="B861" t="s" s="8"/>
      <c r="C861" t="s" s="8"/>
      <c r="D861" t="s" s="8"/>
      <c r="E861" t="s" s="8"/>
      <c r="F861" t="s" s="8"/>
      <c r="G861" t="s" s="8"/>
      <c r="H861" t="s" s="8"/>
      <c r="I861" t="s" s="8"/>
      <c r="J861" t="s" s="8"/>
    </row>
    <row r="862" ht="15.75" customHeight="true">
      <c r="A862" t="s" s="15"/>
      <c r="B862" t="s" s="8"/>
      <c r="C862" t="s" s="8"/>
      <c r="D862" t="s" s="8"/>
      <c r="E862" t="s" s="8"/>
      <c r="F862" t="s" s="8"/>
      <c r="G862" t="s" s="8"/>
      <c r="H862" t="s" s="8"/>
      <c r="I862" t="s" s="8"/>
      <c r="J862" t="s" s="8"/>
    </row>
    <row r="863" ht="15.75" customHeight="true">
      <c r="A863" t="s" s="15"/>
      <c r="B863" t="s" s="8"/>
      <c r="C863" t="s" s="8"/>
      <c r="D863" t="s" s="8"/>
      <c r="E863" t="s" s="8"/>
      <c r="F863" t="s" s="8"/>
      <c r="G863" t="s" s="8"/>
      <c r="H863" t="s" s="8"/>
      <c r="I863" t="s" s="8"/>
      <c r="J863" t="s" s="8"/>
    </row>
    <row r="864" ht="15.75" customHeight="true">
      <c r="A864" t="s" s="15"/>
      <c r="B864" t="s" s="8"/>
      <c r="C864" t="s" s="8"/>
      <c r="D864" t="s" s="8"/>
      <c r="E864" t="s" s="8"/>
      <c r="F864" t="s" s="8"/>
      <c r="G864" t="s" s="8"/>
      <c r="H864" t="s" s="8"/>
      <c r="I864" t="s" s="8"/>
      <c r="J864" t="s" s="8"/>
    </row>
    <row r="865" ht="15.75" customHeight="true">
      <c r="A865" t="s" s="15"/>
      <c r="B865" t="s" s="8"/>
      <c r="C865" t="s" s="8"/>
      <c r="D865" t="s" s="8"/>
      <c r="E865" t="s" s="8"/>
      <c r="F865" t="s" s="8"/>
      <c r="G865" t="s" s="8"/>
      <c r="H865" t="s" s="8"/>
      <c r="I865" t="s" s="8"/>
      <c r="J865" t="s" s="8"/>
    </row>
    <row r="866" ht="15.75" customHeight="true">
      <c r="A866" t="s" s="15"/>
      <c r="B866" t="s" s="8"/>
      <c r="C866" t="s" s="8"/>
      <c r="D866" t="s" s="8"/>
      <c r="E866" t="s" s="8"/>
      <c r="F866" t="s" s="8"/>
      <c r="G866" t="s" s="8"/>
      <c r="H866" t="s" s="8"/>
      <c r="I866" t="s" s="8"/>
      <c r="J866" t="s" s="8"/>
    </row>
    <row r="867" ht="15.75" customHeight="true">
      <c r="A867" t="s" s="15"/>
      <c r="B867" t="s" s="8"/>
      <c r="C867" t="s" s="8"/>
      <c r="D867" t="s" s="8"/>
      <c r="E867" t="s" s="8"/>
      <c r="F867" t="s" s="8"/>
      <c r="G867" t="s" s="8"/>
      <c r="H867" t="s" s="8"/>
      <c r="I867" t="s" s="8"/>
      <c r="J867" t="s" s="8"/>
    </row>
    <row r="868" ht="15.75" customHeight="true">
      <c r="A868" t="s" s="15"/>
      <c r="B868" t="s" s="8"/>
      <c r="C868" t="s" s="8"/>
      <c r="D868" t="s" s="8"/>
      <c r="E868" t="s" s="8"/>
      <c r="F868" t="s" s="8"/>
      <c r="G868" t="s" s="8"/>
      <c r="H868" t="s" s="8"/>
      <c r="I868" t="s" s="8"/>
      <c r="J868" t="s" s="8"/>
    </row>
    <row r="869" ht="15.75" customHeight="true">
      <c r="A869" t="s" s="15"/>
      <c r="B869" t="s" s="8"/>
      <c r="C869" t="s" s="8"/>
      <c r="D869" t="s" s="8"/>
      <c r="E869" t="s" s="8"/>
      <c r="F869" t="s" s="8"/>
      <c r="G869" t="s" s="8"/>
      <c r="H869" t="s" s="8"/>
      <c r="I869" t="s" s="8"/>
      <c r="J869" t="s" s="8"/>
    </row>
    <row r="870" ht="15.75" customHeight="true">
      <c r="A870" t="s" s="15"/>
      <c r="B870" t="s" s="8"/>
      <c r="C870" t="s" s="8"/>
      <c r="D870" t="s" s="8"/>
      <c r="E870" t="s" s="8"/>
      <c r="F870" t="s" s="8"/>
      <c r="G870" t="s" s="8"/>
      <c r="H870" t="s" s="8"/>
      <c r="I870" t="s" s="8"/>
      <c r="J870" t="s" s="8"/>
    </row>
    <row r="871" ht="15.75" customHeight="true">
      <c r="A871" t="s" s="15"/>
      <c r="B871" t="s" s="8"/>
      <c r="C871" t="s" s="8"/>
      <c r="D871" t="s" s="8"/>
      <c r="E871" t="s" s="8"/>
      <c r="F871" t="s" s="8"/>
      <c r="G871" t="s" s="8"/>
      <c r="H871" t="s" s="8"/>
      <c r="I871" t="s" s="8"/>
      <c r="J871" t="s" s="8"/>
    </row>
    <row r="872" ht="15.75" customHeight="true">
      <c r="A872" t="s" s="15"/>
      <c r="B872" t="s" s="8"/>
      <c r="C872" t="s" s="8"/>
      <c r="D872" t="s" s="8"/>
      <c r="E872" t="s" s="8"/>
      <c r="F872" t="s" s="8"/>
      <c r="G872" t="s" s="8"/>
      <c r="H872" t="s" s="8"/>
      <c r="I872" t="s" s="8"/>
      <c r="J872" t="s" s="8"/>
    </row>
    <row r="873" ht="15.75" customHeight="true">
      <c r="A873" t="s" s="15"/>
      <c r="B873" t="s" s="8"/>
      <c r="C873" t="s" s="8"/>
      <c r="D873" t="s" s="8"/>
      <c r="E873" t="s" s="8"/>
      <c r="F873" t="s" s="8"/>
      <c r="G873" t="s" s="8"/>
      <c r="H873" t="s" s="8"/>
      <c r="I873" t="s" s="8"/>
      <c r="J873" t="s" s="8"/>
    </row>
    <row r="874" ht="15.75" customHeight="true">
      <c r="A874" t="s" s="15"/>
      <c r="B874" t="s" s="8"/>
      <c r="C874" t="s" s="8"/>
      <c r="D874" t="s" s="8"/>
      <c r="E874" t="s" s="8"/>
      <c r="F874" t="s" s="8"/>
      <c r="G874" t="s" s="8"/>
      <c r="H874" t="s" s="8"/>
      <c r="I874" t="s" s="8"/>
      <c r="J874" t="s" s="8"/>
    </row>
    <row r="875" ht="15.75" customHeight="true">
      <c r="A875" t="s" s="15"/>
      <c r="B875" t="s" s="8"/>
      <c r="C875" t="s" s="8"/>
      <c r="D875" t="s" s="8"/>
      <c r="E875" t="s" s="8"/>
      <c r="F875" t="s" s="8"/>
      <c r="G875" t="s" s="8"/>
      <c r="H875" t="s" s="8"/>
      <c r="I875" t="s" s="8"/>
      <c r="J875" t="s" s="8"/>
    </row>
    <row r="876" ht="15.75" customHeight="true">
      <c r="A876" t="s" s="15"/>
      <c r="B876" t="s" s="8"/>
      <c r="C876" t="s" s="8"/>
      <c r="D876" t="s" s="8"/>
      <c r="E876" t="s" s="8"/>
      <c r="F876" t="s" s="8"/>
      <c r="G876" t="s" s="8"/>
      <c r="H876" t="s" s="8"/>
      <c r="I876" t="s" s="8"/>
      <c r="J876" t="s" s="8"/>
    </row>
    <row r="877" ht="15.75" customHeight="true">
      <c r="A877" t="s" s="15"/>
      <c r="B877" t="s" s="8"/>
      <c r="C877" t="s" s="8"/>
      <c r="D877" t="s" s="8"/>
      <c r="E877" t="s" s="8"/>
      <c r="F877" t="s" s="8"/>
      <c r="G877" t="s" s="8"/>
      <c r="H877" t="s" s="8"/>
      <c r="I877" t="s" s="8"/>
      <c r="J877" t="s" s="8"/>
    </row>
    <row r="878" ht="15.75" customHeight="true">
      <c r="A878" t="s" s="15"/>
      <c r="B878" t="s" s="8"/>
      <c r="C878" t="s" s="8"/>
      <c r="D878" t="s" s="8"/>
      <c r="E878" t="s" s="8"/>
      <c r="F878" t="s" s="8"/>
      <c r="G878" t="s" s="8"/>
      <c r="H878" t="s" s="8"/>
      <c r="I878" t="s" s="8"/>
      <c r="J878" t="s" s="8"/>
    </row>
    <row r="879" ht="15.75" customHeight="true">
      <c r="A879" t="s" s="15"/>
      <c r="B879" t="s" s="8"/>
      <c r="C879" t="s" s="8"/>
      <c r="D879" t="s" s="8"/>
      <c r="E879" t="s" s="8"/>
      <c r="F879" t="s" s="8"/>
      <c r="G879" t="s" s="8"/>
      <c r="H879" t="s" s="8"/>
      <c r="I879" t="s" s="8"/>
      <c r="J879" t="s" s="8"/>
    </row>
    <row r="880" ht="15.75" customHeight="true">
      <c r="A880" t="s" s="15"/>
      <c r="B880" t="s" s="8"/>
      <c r="C880" t="s" s="8"/>
      <c r="D880" t="s" s="8"/>
      <c r="E880" t="s" s="8"/>
      <c r="F880" t="s" s="8"/>
      <c r="G880" t="s" s="8"/>
      <c r="H880" t="s" s="8"/>
      <c r="I880" t="s" s="8"/>
      <c r="J880" t="s" s="8"/>
    </row>
    <row r="881" ht="15.75" customHeight="true">
      <c r="A881" t="s" s="15"/>
      <c r="B881" t="s" s="8"/>
      <c r="C881" t="s" s="8"/>
      <c r="D881" t="s" s="8"/>
      <c r="E881" t="s" s="8"/>
      <c r="F881" t="s" s="8"/>
      <c r="G881" t="s" s="8"/>
      <c r="H881" t="s" s="8"/>
      <c r="I881" t="s" s="8"/>
      <c r="J881" t="s" s="8"/>
    </row>
    <row r="882" ht="15.75" customHeight="true">
      <c r="A882" t="s" s="15"/>
      <c r="B882" t="s" s="8"/>
      <c r="C882" t="s" s="8"/>
      <c r="D882" t="s" s="8"/>
      <c r="E882" t="s" s="8"/>
      <c r="F882" t="s" s="8"/>
      <c r="G882" t="s" s="8"/>
      <c r="H882" t="s" s="8"/>
      <c r="I882" t="s" s="8"/>
      <c r="J882" t="s" s="8"/>
    </row>
    <row r="883" ht="15.75" customHeight="true">
      <c r="A883" t="s" s="15"/>
      <c r="B883" t="s" s="8"/>
      <c r="C883" t="s" s="8"/>
      <c r="D883" t="s" s="8"/>
      <c r="E883" t="s" s="8"/>
      <c r="F883" t="s" s="8"/>
      <c r="G883" t="s" s="8"/>
      <c r="H883" t="s" s="8"/>
      <c r="I883" t="s" s="8"/>
      <c r="J883" t="s" s="8"/>
    </row>
    <row r="884" ht="15.75" customHeight="true">
      <c r="A884" t="s" s="15"/>
      <c r="B884" t="s" s="8"/>
      <c r="C884" t="s" s="8"/>
      <c r="D884" t="s" s="8"/>
      <c r="E884" t="s" s="8"/>
      <c r="F884" t="s" s="8"/>
      <c r="G884" t="s" s="8"/>
      <c r="H884" t="s" s="8"/>
      <c r="I884" t="s" s="8"/>
      <c r="J884" t="s" s="8"/>
    </row>
    <row r="885" ht="15.75" customHeight="true">
      <c r="A885" t="s" s="15"/>
      <c r="B885" t="s" s="8"/>
      <c r="C885" t="s" s="8"/>
      <c r="D885" t="s" s="8"/>
      <c r="E885" t="s" s="8"/>
      <c r="F885" t="s" s="8"/>
      <c r="G885" t="s" s="8"/>
      <c r="H885" t="s" s="8"/>
      <c r="I885" t="s" s="8"/>
      <c r="J885" t="s" s="8"/>
    </row>
    <row r="886" ht="15.75" customHeight="true">
      <c r="A886" t="s" s="15"/>
      <c r="B886" t="s" s="8"/>
      <c r="C886" t="s" s="8"/>
      <c r="D886" t="s" s="8"/>
      <c r="E886" t="s" s="8"/>
      <c r="F886" t="s" s="8"/>
      <c r="G886" t="s" s="8"/>
      <c r="H886" t="s" s="8"/>
      <c r="I886" t="s" s="8"/>
      <c r="J886" t="s" s="8"/>
    </row>
    <row r="887" ht="15.75" customHeight="true">
      <c r="A887" t="s" s="15"/>
      <c r="B887" t="s" s="8"/>
      <c r="C887" t="s" s="8"/>
      <c r="D887" t="s" s="8"/>
      <c r="E887" t="s" s="8"/>
      <c r="F887" t="s" s="8"/>
      <c r="G887" t="s" s="8"/>
      <c r="H887" t="s" s="8"/>
      <c r="I887" t="s" s="8"/>
      <c r="J887" t="s" s="8"/>
    </row>
    <row r="888" ht="15.75" customHeight="true">
      <c r="A888" t="s" s="15"/>
      <c r="B888" t="s" s="8"/>
      <c r="C888" t="s" s="8"/>
      <c r="D888" t="s" s="8"/>
      <c r="E888" t="s" s="8"/>
      <c r="F888" t="s" s="8"/>
      <c r="G888" t="s" s="8"/>
      <c r="H888" t="s" s="8"/>
      <c r="I888" t="s" s="8"/>
      <c r="J888" t="s" s="8"/>
    </row>
    <row r="889" ht="15.75" customHeight="true">
      <c r="A889" t="s" s="15"/>
      <c r="B889" t="s" s="8"/>
      <c r="C889" t="s" s="8"/>
      <c r="D889" t="s" s="8"/>
      <c r="E889" t="s" s="8"/>
      <c r="F889" t="s" s="8"/>
      <c r="G889" t="s" s="8"/>
      <c r="H889" t="s" s="8"/>
      <c r="I889" t="s" s="8"/>
      <c r="J889" t="s" s="8"/>
    </row>
    <row r="890" ht="15.75" customHeight="true">
      <c r="A890" t="s" s="15"/>
      <c r="B890" t="s" s="8"/>
      <c r="C890" t="s" s="8"/>
      <c r="D890" t="s" s="8"/>
      <c r="E890" t="s" s="8"/>
      <c r="F890" t="s" s="8"/>
      <c r="G890" t="s" s="8"/>
      <c r="H890" t="s" s="8"/>
      <c r="I890" t="s" s="8"/>
      <c r="J890" t="s" s="8"/>
    </row>
    <row r="891" ht="15.75" customHeight="true">
      <c r="A891" t="s" s="15"/>
      <c r="B891" t="s" s="8"/>
      <c r="C891" t="s" s="8"/>
      <c r="D891" t="s" s="8"/>
      <c r="E891" t="s" s="8"/>
      <c r="F891" t="s" s="8"/>
      <c r="G891" t="s" s="8"/>
      <c r="H891" t="s" s="8"/>
      <c r="I891" t="s" s="8"/>
      <c r="J891" t="s" s="8"/>
    </row>
    <row r="892" ht="15.75" customHeight="true">
      <c r="A892" t="s" s="15"/>
      <c r="B892" t="s" s="8"/>
      <c r="C892" t="s" s="8"/>
      <c r="D892" t="s" s="8"/>
      <c r="E892" t="s" s="8"/>
      <c r="F892" t="s" s="8"/>
      <c r="G892" t="s" s="8"/>
      <c r="H892" t="s" s="8"/>
      <c r="I892" t="s" s="8"/>
      <c r="J892" t="s" s="8"/>
    </row>
    <row r="893" ht="15.75" customHeight="true">
      <c r="A893" t="s" s="15"/>
      <c r="B893" t="s" s="8"/>
      <c r="C893" t="s" s="8"/>
      <c r="D893" t="s" s="8"/>
      <c r="E893" t="s" s="8"/>
      <c r="F893" t="s" s="8"/>
      <c r="G893" t="s" s="8"/>
      <c r="H893" t="s" s="8"/>
      <c r="I893" t="s" s="8"/>
      <c r="J893" t="s" s="8"/>
    </row>
    <row r="894" ht="15.75" customHeight="true">
      <c r="A894" t="s" s="15"/>
      <c r="B894" t="s" s="8"/>
      <c r="C894" t="s" s="8"/>
      <c r="D894" t="s" s="8"/>
      <c r="E894" t="s" s="8"/>
      <c r="F894" t="s" s="8"/>
      <c r="G894" t="s" s="8"/>
      <c r="H894" t="s" s="8"/>
      <c r="I894" t="s" s="8"/>
      <c r="J894" t="s" s="8"/>
    </row>
    <row r="895" ht="15.75" customHeight="true">
      <c r="A895" t="s" s="15"/>
      <c r="B895" t="s" s="8"/>
      <c r="C895" t="s" s="8"/>
      <c r="D895" t="s" s="8"/>
      <c r="E895" t="s" s="8"/>
      <c r="F895" t="s" s="8"/>
      <c r="G895" t="s" s="8"/>
      <c r="H895" t="s" s="8"/>
      <c r="I895" t="s" s="8"/>
      <c r="J895" t="s" s="8"/>
    </row>
    <row r="896" ht="15.75" customHeight="true">
      <c r="A896" t="s" s="15"/>
      <c r="B896" t="s" s="8"/>
      <c r="C896" t="s" s="8"/>
      <c r="D896" t="s" s="8"/>
      <c r="E896" t="s" s="8"/>
      <c r="F896" t="s" s="8"/>
      <c r="G896" t="s" s="8"/>
      <c r="H896" t="s" s="8"/>
      <c r="I896" t="s" s="8"/>
      <c r="J896" t="s" s="8"/>
    </row>
    <row r="897" ht="15.75" customHeight="true">
      <c r="A897" t="s" s="15"/>
      <c r="B897" t="s" s="8"/>
      <c r="C897" t="s" s="8"/>
      <c r="D897" t="s" s="8"/>
      <c r="E897" t="s" s="8"/>
      <c r="F897" t="s" s="8"/>
      <c r="G897" t="s" s="8"/>
      <c r="H897" t="s" s="8"/>
      <c r="I897" t="s" s="8"/>
      <c r="J897" t="s" s="8"/>
    </row>
    <row r="898" ht="15.75" customHeight="true">
      <c r="A898" t="s" s="15"/>
      <c r="B898" t="s" s="8"/>
      <c r="C898" t="s" s="8"/>
      <c r="D898" t="s" s="8"/>
      <c r="E898" t="s" s="8"/>
      <c r="F898" t="s" s="8"/>
      <c r="G898" t="s" s="8"/>
      <c r="H898" t="s" s="8"/>
      <c r="I898" t="s" s="8"/>
      <c r="J898" t="s" s="8"/>
    </row>
    <row r="899" ht="15.75" customHeight="true">
      <c r="A899" t="s" s="15"/>
      <c r="B899" t="s" s="8"/>
      <c r="C899" t="s" s="8"/>
      <c r="D899" t="s" s="8"/>
      <c r="E899" t="s" s="8"/>
      <c r="F899" t="s" s="8"/>
      <c r="G899" t="s" s="8"/>
      <c r="H899" t="s" s="8"/>
      <c r="I899" t="s" s="8"/>
      <c r="J899" t="s" s="8"/>
    </row>
    <row r="900" ht="15.75" customHeight="true">
      <c r="A900" t="s" s="15"/>
      <c r="B900" t="s" s="8"/>
      <c r="C900" t="s" s="8"/>
      <c r="D900" t="s" s="8"/>
      <c r="E900" t="s" s="8"/>
      <c r="F900" t="s" s="8"/>
      <c r="G900" t="s" s="8"/>
      <c r="H900" t="s" s="8"/>
      <c r="I900" t="s" s="8"/>
      <c r="J900" t="s" s="8"/>
    </row>
    <row r="901" ht="15.75" customHeight="true">
      <c r="A901" t="s" s="15"/>
      <c r="B901" t="s" s="8"/>
      <c r="C901" t="s" s="8"/>
      <c r="D901" t="s" s="8"/>
      <c r="E901" t="s" s="8"/>
      <c r="F901" t="s" s="8"/>
      <c r="G901" t="s" s="8"/>
      <c r="H901" t="s" s="8"/>
      <c r="I901" t="s" s="8"/>
      <c r="J901" t="s" s="8"/>
    </row>
    <row r="902" ht="15.75" customHeight="true">
      <c r="A902" t="s" s="15"/>
      <c r="B902" t="s" s="8"/>
      <c r="C902" t="s" s="8"/>
      <c r="D902" t="s" s="8"/>
      <c r="E902" t="s" s="8"/>
      <c r="F902" t="s" s="8"/>
      <c r="G902" t="s" s="8"/>
      <c r="H902" t="s" s="8"/>
      <c r="I902" t="s" s="8"/>
      <c r="J902" t="s" s="8"/>
    </row>
    <row r="903" ht="15.75" customHeight="true">
      <c r="A903" t="s" s="15"/>
      <c r="B903" t="s" s="8"/>
      <c r="C903" t="s" s="8"/>
      <c r="D903" t="s" s="8"/>
      <c r="E903" t="s" s="8"/>
      <c r="F903" t="s" s="8"/>
      <c r="G903" t="s" s="8"/>
      <c r="H903" t="s" s="8"/>
      <c r="I903" t="s" s="8"/>
      <c r="J903" t="s" s="8"/>
    </row>
    <row r="904" ht="15.75" customHeight="true">
      <c r="A904" t="s" s="15"/>
      <c r="B904" t="s" s="8"/>
      <c r="C904" t="s" s="8"/>
      <c r="D904" t="s" s="8"/>
      <c r="E904" t="s" s="8"/>
      <c r="F904" t="s" s="8"/>
      <c r="G904" t="s" s="8"/>
      <c r="H904" t="s" s="8"/>
      <c r="I904" t="s" s="8"/>
      <c r="J904" t="s" s="8"/>
    </row>
    <row r="905" ht="15.75" customHeight="true">
      <c r="A905" t="s" s="15"/>
      <c r="B905" t="s" s="8"/>
      <c r="C905" t="s" s="8"/>
      <c r="D905" t="s" s="8"/>
      <c r="E905" t="s" s="8"/>
      <c r="F905" t="s" s="8"/>
      <c r="G905" t="s" s="8"/>
      <c r="H905" t="s" s="8"/>
      <c r="I905" t="s" s="8"/>
      <c r="J905" t="s" s="8"/>
    </row>
    <row r="906" ht="15.75" customHeight="true">
      <c r="A906" t="s" s="15"/>
      <c r="B906" t="s" s="8"/>
      <c r="C906" t="s" s="8"/>
      <c r="D906" t="s" s="8"/>
      <c r="E906" t="s" s="8"/>
      <c r="F906" t="s" s="8"/>
      <c r="G906" t="s" s="8"/>
      <c r="H906" t="s" s="8"/>
      <c r="I906" t="s" s="8"/>
      <c r="J906" t="s" s="8"/>
    </row>
    <row r="907" ht="15.75" customHeight="true">
      <c r="A907" t="s" s="15"/>
      <c r="B907" t="s" s="8"/>
      <c r="C907" t="s" s="8"/>
      <c r="D907" t="s" s="8"/>
      <c r="E907" t="s" s="8"/>
      <c r="F907" t="s" s="8"/>
      <c r="G907" t="s" s="8"/>
      <c r="H907" t="s" s="8"/>
      <c r="I907" t="s" s="8"/>
      <c r="J907" t="s" s="8"/>
    </row>
    <row r="908" ht="15.75" customHeight="true">
      <c r="A908" t="s" s="15"/>
      <c r="B908" t="s" s="8"/>
      <c r="C908" t="s" s="8"/>
      <c r="D908" t="s" s="8"/>
      <c r="E908" t="s" s="8"/>
      <c r="F908" t="s" s="8"/>
      <c r="G908" t="s" s="8"/>
      <c r="H908" t="s" s="8"/>
      <c r="I908" t="s" s="8"/>
      <c r="J908" t="s" s="8"/>
    </row>
    <row r="909" ht="15.75" customHeight="true">
      <c r="A909" t="s" s="15"/>
      <c r="B909" t="s" s="8"/>
      <c r="C909" t="s" s="8"/>
      <c r="D909" t="s" s="8"/>
      <c r="E909" t="s" s="8"/>
      <c r="F909" t="s" s="8"/>
      <c r="G909" t="s" s="8"/>
      <c r="H909" t="s" s="8"/>
      <c r="I909" t="s" s="8"/>
      <c r="J909" t="s" s="8"/>
    </row>
    <row r="910" ht="15.75" customHeight="true">
      <c r="A910" t="s" s="15"/>
      <c r="B910" t="s" s="8"/>
      <c r="C910" t="s" s="8"/>
      <c r="D910" t="s" s="8"/>
      <c r="E910" t="s" s="8"/>
      <c r="F910" t="s" s="8"/>
      <c r="G910" t="s" s="8"/>
      <c r="H910" t="s" s="8"/>
      <c r="I910" t="s" s="8"/>
      <c r="J910" t="s" s="8"/>
    </row>
    <row r="911" ht="15.75" customHeight="true">
      <c r="A911" t="s" s="15"/>
      <c r="B911" t="s" s="8"/>
      <c r="C911" t="s" s="8"/>
      <c r="D911" t="s" s="8"/>
      <c r="E911" t="s" s="8"/>
      <c r="F911" t="s" s="8"/>
      <c r="G911" t="s" s="8"/>
      <c r="H911" t="s" s="8"/>
      <c r="I911" t="s" s="8"/>
      <c r="J911" t="s" s="8"/>
    </row>
    <row r="912" ht="15.75" customHeight="true">
      <c r="A912" t="s" s="15"/>
      <c r="B912" t="s" s="8"/>
      <c r="C912" t="s" s="8"/>
      <c r="D912" t="s" s="8"/>
      <c r="E912" t="s" s="8"/>
      <c r="F912" t="s" s="8"/>
      <c r="G912" t="s" s="8"/>
      <c r="H912" t="s" s="8"/>
      <c r="I912" t="s" s="8"/>
      <c r="J912" t="s" s="8"/>
    </row>
    <row r="913" ht="15.75" customHeight="true">
      <c r="A913" t="s" s="15"/>
      <c r="B913" t="s" s="8"/>
      <c r="C913" t="s" s="8"/>
      <c r="D913" t="s" s="8"/>
      <c r="E913" t="s" s="8"/>
      <c r="F913" t="s" s="8"/>
      <c r="G913" t="s" s="8"/>
      <c r="H913" t="s" s="8"/>
      <c r="I913" t="s" s="8"/>
      <c r="J913" t="s" s="8"/>
    </row>
    <row r="914" ht="15.75" customHeight="true">
      <c r="A914" t="s" s="15"/>
      <c r="B914" t="s" s="8"/>
      <c r="C914" t="s" s="8"/>
      <c r="D914" t="s" s="8"/>
      <c r="E914" t="s" s="8"/>
      <c r="F914" t="s" s="8"/>
      <c r="G914" t="s" s="8"/>
      <c r="H914" t="s" s="8"/>
      <c r="I914" t="s" s="8"/>
      <c r="J914" t="s" s="8"/>
    </row>
    <row r="915" ht="15.75" customHeight="true">
      <c r="A915" t="s" s="15"/>
      <c r="B915" t="s" s="8"/>
      <c r="C915" t="s" s="8"/>
      <c r="D915" t="s" s="8"/>
      <c r="E915" t="s" s="8"/>
      <c r="F915" t="s" s="8"/>
      <c r="G915" t="s" s="8"/>
      <c r="H915" t="s" s="8"/>
      <c r="I915" t="s" s="8"/>
      <c r="J915" t="s" s="8"/>
    </row>
    <row r="916" ht="15.75" customHeight="true">
      <c r="A916" t="s" s="15"/>
      <c r="B916" t="s" s="8"/>
      <c r="C916" t="s" s="8"/>
      <c r="D916" t="s" s="8"/>
      <c r="E916" t="s" s="8"/>
      <c r="F916" t="s" s="8"/>
      <c r="G916" t="s" s="8"/>
      <c r="H916" t="s" s="8"/>
      <c r="I916" t="s" s="8"/>
      <c r="J916" t="s" s="8"/>
    </row>
    <row r="917" ht="15.75" customHeight="true">
      <c r="A917" t="s" s="15"/>
      <c r="B917" t="s" s="8"/>
      <c r="C917" t="s" s="8"/>
      <c r="D917" t="s" s="8"/>
      <c r="E917" t="s" s="8"/>
      <c r="F917" t="s" s="8"/>
      <c r="G917" t="s" s="8"/>
      <c r="H917" t="s" s="8"/>
      <c r="I917" t="s" s="8"/>
      <c r="J917" t="s" s="8"/>
    </row>
    <row r="918" ht="15.75" customHeight="true">
      <c r="A918" t="s" s="15"/>
      <c r="B918" t="s" s="8"/>
      <c r="C918" t="s" s="8"/>
      <c r="D918" t="s" s="8"/>
      <c r="E918" t="s" s="8"/>
      <c r="F918" t="s" s="8"/>
      <c r="G918" t="s" s="8"/>
      <c r="H918" t="s" s="8"/>
      <c r="I918" t="s" s="8"/>
      <c r="J918" t="s" s="8"/>
    </row>
    <row r="919" ht="15.75" customHeight="true">
      <c r="A919" t="s" s="15"/>
      <c r="B919" t="s" s="8"/>
      <c r="C919" t="s" s="8"/>
      <c r="D919" t="s" s="8"/>
      <c r="E919" t="s" s="8"/>
      <c r="F919" t="s" s="8"/>
      <c r="G919" t="s" s="8"/>
      <c r="H919" t="s" s="8"/>
      <c r="I919" t="s" s="8"/>
      <c r="J919" t="s" s="8"/>
    </row>
    <row r="920" ht="15.75" customHeight="true">
      <c r="A920" t="s" s="15"/>
      <c r="B920" t="s" s="8"/>
      <c r="C920" t="s" s="8"/>
      <c r="D920" t="s" s="8"/>
      <c r="E920" t="s" s="8"/>
      <c r="F920" t="s" s="8"/>
      <c r="G920" t="s" s="8"/>
      <c r="H920" t="s" s="8"/>
      <c r="I920" t="s" s="8"/>
      <c r="J920" t="s" s="8"/>
    </row>
    <row r="921" ht="15.75" customHeight="true">
      <c r="A921" t="s" s="15"/>
      <c r="B921" t="s" s="8"/>
      <c r="C921" t="s" s="8"/>
      <c r="D921" t="s" s="8"/>
      <c r="E921" t="s" s="8"/>
      <c r="F921" t="s" s="8"/>
      <c r="G921" t="s" s="8"/>
      <c r="H921" t="s" s="8"/>
      <c r="I921" t="s" s="8"/>
      <c r="J921" t="s" s="8"/>
    </row>
    <row r="922" ht="15.75" customHeight="true">
      <c r="A922" t="s" s="15"/>
      <c r="B922" t="s" s="8"/>
      <c r="C922" t="s" s="8"/>
      <c r="D922" t="s" s="8"/>
      <c r="E922" t="s" s="8"/>
      <c r="F922" t="s" s="8"/>
      <c r="G922" t="s" s="8"/>
      <c r="H922" t="s" s="8"/>
      <c r="I922" t="s" s="8"/>
      <c r="J922" t="s" s="8"/>
    </row>
    <row r="923" ht="15.75" customHeight="true">
      <c r="A923" t="s" s="15"/>
      <c r="B923" t="s" s="8"/>
      <c r="C923" t="s" s="8"/>
      <c r="D923" t="s" s="8"/>
      <c r="E923" t="s" s="8"/>
      <c r="F923" t="s" s="8"/>
      <c r="G923" t="s" s="8"/>
      <c r="H923" t="s" s="8"/>
      <c r="I923" t="s" s="8"/>
      <c r="J923" t="s" s="8"/>
    </row>
    <row r="924" ht="15.75" customHeight="true">
      <c r="A924" t="s" s="15"/>
      <c r="B924" t="s" s="8"/>
      <c r="C924" t="s" s="8"/>
      <c r="D924" t="s" s="8"/>
      <c r="E924" t="s" s="8"/>
      <c r="F924" t="s" s="8"/>
      <c r="G924" t="s" s="8"/>
      <c r="H924" t="s" s="8"/>
      <c r="I924" t="s" s="8"/>
      <c r="J924" t="s" s="8"/>
    </row>
    <row r="925" ht="15.75" customHeight="true">
      <c r="A925" t="s" s="15"/>
      <c r="B925" t="s" s="8"/>
      <c r="C925" t="s" s="8"/>
      <c r="D925" t="s" s="8"/>
      <c r="E925" t="s" s="8"/>
      <c r="F925" t="s" s="8"/>
      <c r="G925" t="s" s="8"/>
      <c r="H925" t="s" s="8"/>
      <c r="I925" t="s" s="8"/>
      <c r="J925" t="s" s="8"/>
    </row>
    <row r="926" ht="15.75" customHeight="true">
      <c r="A926" t="s" s="15"/>
      <c r="B926" t="s" s="8"/>
      <c r="C926" t="s" s="8"/>
      <c r="D926" t="s" s="8"/>
      <c r="E926" t="s" s="8"/>
      <c r="F926" t="s" s="8"/>
      <c r="G926" t="s" s="8"/>
      <c r="H926" t="s" s="8"/>
      <c r="I926" t="s" s="8"/>
      <c r="J926" t="s" s="8"/>
    </row>
    <row r="927" ht="15.75" customHeight="true">
      <c r="A927" t="s" s="15"/>
      <c r="B927" t="s" s="8"/>
      <c r="C927" t="s" s="8"/>
      <c r="D927" t="s" s="8"/>
      <c r="E927" t="s" s="8"/>
      <c r="F927" t="s" s="8"/>
      <c r="G927" t="s" s="8"/>
      <c r="H927" t="s" s="8"/>
      <c r="I927" t="s" s="8"/>
      <c r="J927" t="s" s="8"/>
    </row>
    <row r="928" ht="15.75" customHeight="true">
      <c r="A928" t="s" s="15"/>
      <c r="B928" t="s" s="8"/>
      <c r="C928" t="s" s="8"/>
      <c r="D928" t="s" s="8"/>
      <c r="E928" t="s" s="8"/>
      <c r="F928" t="s" s="8"/>
      <c r="G928" t="s" s="8"/>
      <c r="H928" t="s" s="8"/>
      <c r="I928" t="s" s="8"/>
      <c r="J928" t="s" s="8"/>
    </row>
    <row r="929" ht="15.75" customHeight="true">
      <c r="A929" t="s" s="15"/>
      <c r="B929" t="s" s="8"/>
      <c r="C929" t="s" s="8"/>
      <c r="D929" t="s" s="8"/>
      <c r="E929" t="s" s="8"/>
      <c r="F929" t="s" s="8"/>
      <c r="G929" t="s" s="8"/>
      <c r="H929" t="s" s="8"/>
      <c r="I929" t="s" s="8"/>
      <c r="J929" t="s" s="8"/>
    </row>
    <row r="930" ht="15.75" customHeight="true">
      <c r="A930" t="s" s="15"/>
      <c r="B930" t="s" s="8"/>
      <c r="C930" t="s" s="8"/>
      <c r="D930" t="s" s="8"/>
      <c r="E930" t="s" s="8"/>
      <c r="F930" t="s" s="8"/>
      <c r="G930" t="s" s="8"/>
      <c r="H930" t="s" s="8"/>
      <c r="I930" t="s" s="8"/>
      <c r="J930" t="s" s="8"/>
    </row>
    <row r="931" ht="15.75" customHeight="true">
      <c r="A931" t="s" s="15"/>
      <c r="B931" t="s" s="8"/>
      <c r="C931" t="s" s="8"/>
      <c r="D931" t="s" s="8"/>
      <c r="E931" t="s" s="8"/>
      <c r="F931" t="s" s="8"/>
      <c r="G931" t="s" s="8"/>
      <c r="H931" t="s" s="8"/>
      <c r="I931" t="s" s="8"/>
      <c r="J931" t="s" s="8"/>
    </row>
    <row r="932" ht="15.75" customHeight="true">
      <c r="A932" t="s" s="15"/>
      <c r="B932" t="s" s="8"/>
      <c r="C932" t="s" s="8"/>
      <c r="D932" t="s" s="8"/>
      <c r="E932" t="s" s="8"/>
      <c r="F932" t="s" s="8"/>
      <c r="G932" t="s" s="8"/>
      <c r="H932" t="s" s="8"/>
      <c r="I932" t="s" s="8"/>
      <c r="J932" t="s" s="8"/>
    </row>
    <row r="933" ht="15.75" customHeight="true">
      <c r="A933" t="s" s="15"/>
      <c r="B933" t="s" s="8"/>
      <c r="C933" t="s" s="8"/>
      <c r="D933" t="s" s="8"/>
      <c r="E933" t="s" s="8"/>
      <c r="F933" t="s" s="8"/>
      <c r="G933" t="s" s="8"/>
      <c r="H933" t="s" s="8"/>
      <c r="I933" t="s" s="8"/>
      <c r="J933" t="s" s="8"/>
    </row>
    <row r="934" ht="15.75" customHeight="true">
      <c r="A934" t="s" s="15"/>
      <c r="B934" t="s" s="8"/>
      <c r="C934" t="s" s="8"/>
      <c r="D934" t="s" s="8"/>
      <c r="E934" t="s" s="8"/>
      <c r="F934" t="s" s="8"/>
      <c r="G934" t="s" s="8"/>
      <c r="H934" t="s" s="8"/>
      <c r="I934" t="s" s="8"/>
      <c r="J934" t="s" s="8"/>
    </row>
    <row r="935" ht="15.75" customHeight="true">
      <c r="A935" t="s" s="15"/>
      <c r="B935" t="s" s="8"/>
      <c r="C935" t="s" s="8"/>
      <c r="D935" t="s" s="8"/>
      <c r="E935" t="s" s="8"/>
      <c r="F935" t="s" s="8"/>
      <c r="G935" t="s" s="8"/>
      <c r="H935" t="s" s="8"/>
      <c r="I935" t="s" s="8"/>
      <c r="J935" t="s" s="8"/>
    </row>
    <row r="936" ht="15.75" customHeight="true">
      <c r="A936" t="s" s="15"/>
      <c r="B936" t="s" s="8"/>
      <c r="C936" t="s" s="8"/>
      <c r="D936" t="s" s="8"/>
      <c r="E936" t="s" s="8"/>
      <c r="F936" t="s" s="8"/>
      <c r="G936" t="s" s="8"/>
      <c r="H936" t="s" s="8"/>
      <c r="I936" t="s" s="8"/>
      <c r="J936" t="s" s="8"/>
    </row>
    <row r="937" ht="15.75" customHeight="true">
      <c r="A937" t="s" s="15"/>
      <c r="B937" t="s" s="8"/>
      <c r="C937" t="s" s="8"/>
      <c r="D937" t="s" s="8"/>
      <c r="E937" t="s" s="8"/>
      <c r="F937" t="s" s="8"/>
      <c r="G937" t="s" s="8"/>
      <c r="H937" t="s" s="8"/>
      <c r="I937" t="s" s="8"/>
      <c r="J937" t="s" s="8"/>
    </row>
    <row r="938" ht="15.75" customHeight="true">
      <c r="A938" t="s" s="15"/>
      <c r="B938" t="s" s="8"/>
      <c r="C938" t="s" s="8"/>
      <c r="D938" t="s" s="8"/>
      <c r="E938" t="s" s="8"/>
      <c r="F938" t="s" s="8"/>
      <c r="G938" t="s" s="8"/>
      <c r="H938" t="s" s="8"/>
      <c r="I938" t="s" s="8"/>
      <c r="J938" t="s" s="8"/>
    </row>
    <row r="939" ht="15.75" customHeight="true">
      <c r="A939" t="s" s="15"/>
      <c r="B939" t="s" s="8"/>
      <c r="C939" t="s" s="8"/>
      <c r="D939" t="s" s="8"/>
      <c r="E939" t="s" s="8"/>
      <c r="F939" t="s" s="8"/>
      <c r="G939" t="s" s="8"/>
      <c r="H939" t="s" s="8"/>
      <c r="I939" t="s" s="8"/>
      <c r="J939" t="s" s="8"/>
    </row>
    <row r="940" ht="15.75" customHeight="true">
      <c r="A940" t="s" s="15"/>
      <c r="B940" t="s" s="8"/>
      <c r="C940" t="s" s="8"/>
      <c r="D940" t="s" s="8"/>
      <c r="E940" t="s" s="8"/>
      <c r="F940" t="s" s="8"/>
      <c r="G940" t="s" s="8"/>
      <c r="H940" t="s" s="8"/>
      <c r="I940" t="s" s="8"/>
      <c r="J940" t="s" s="8"/>
    </row>
    <row r="941" ht="15.75" customHeight="true">
      <c r="A941" t="s" s="15"/>
      <c r="B941" t="s" s="8"/>
      <c r="C941" t="s" s="8"/>
      <c r="D941" t="s" s="8"/>
      <c r="E941" t="s" s="8"/>
      <c r="F941" t="s" s="8"/>
      <c r="G941" t="s" s="8"/>
      <c r="H941" t="s" s="8"/>
      <c r="I941" t="s" s="8"/>
      <c r="J941" t="s" s="8"/>
    </row>
    <row r="942" ht="15.75" customHeight="true">
      <c r="A942" t="s" s="15"/>
      <c r="B942" t="s" s="8"/>
      <c r="C942" t="s" s="8"/>
      <c r="D942" t="s" s="8"/>
      <c r="E942" t="s" s="8"/>
      <c r="F942" t="s" s="8"/>
      <c r="G942" t="s" s="8"/>
      <c r="H942" t="s" s="8"/>
      <c r="I942" t="s" s="8"/>
      <c r="J942" t="s" s="8"/>
    </row>
    <row r="943" ht="15.75" customHeight="true">
      <c r="A943" t="s" s="15"/>
      <c r="B943" t="s" s="8"/>
      <c r="C943" t="s" s="8"/>
      <c r="D943" t="s" s="8"/>
      <c r="E943" t="s" s="8"/>
      <c r="F943" t="s" s="8"/>
      <c r="G943" t="s" s="8"/>
      <c r="H943" t="s" s="8"/>
      <c r="I943" t="s" s="8"/>
      <c r="J943" t="s" s="8"/>
    </row>
    <row r="944" ht="15.75" customHeight="true">
      <c r="A944" t="s" s="15"/>
      <c r="B944" t="s" s="8"/>
      <c r="C944" t="s" s="8"/>
      <c r="D944" t="s" s="8"/>
      <c r="E944" t="s" s="8"/>
      <c r="F944" t="s" s="8"/>
      <c r="G944" t="s" s="8"/>
      <c r="H944" t="s" s="8"/>
      <c r="I944" t="s" s="8"/>
      <c r="J944" t="s" s="8"/>
    </row>
    <row r="945" ht="15.75" customHeight="true">
      <c r="A945" t="s" s="15"/>
      <c r="B945" t="s" s="8"/>
      <c r="C945" t="s" s="8"/>
      <c r="D945" t="s" s="8"/>
      <c r="E945" t="s" s="8"/>
      <c r="F945" t="s" s="8"/>
      <c r="G945" t="s" s="8"/>
      <c r="H945" t="s" s="8"/>
      <c r="I945" t="s" s="8"/>
      <c r="J945" t="s" s="8"/>
    </row>
    <row r="946" ht="15.75" customHeight="true">
      <c r="A946" t="s" s="15"/>
      <c r="B946" t="s" s="8"/>
      <c r="C946" t="s" s="8"/>
      <c r="D946" t="s" s="8"/>
      <c r="E946" t="s" s="8"/>
      <c r="F946" t="s" s="8"/>
      <c r="G946" t="s" s="8"/>
      <c r="H946" t="s" s="8"/>
      <c r="I946" t="s" s="8"/>
      <c r="J946" t="s" s="8"/>
    </row>
    <row r="947" ht="15.75" customHeight="true">
      <c r="A947" t="s" s="15"/>
      <c r="B947" t="s" s="8"/>
      <c r="C947" t="s" s="8"/>
      <c r="D947" t="s" s="8"/>
      <c r="E947" t="s" s="8"/>
      <c r="F947" t="s" s="8"/>
      <c r="G947" t="s" s="8"/>
      <c r="H947" t="s" s="8"/>
      <c r="I947" t="s" s="8"/>
      <c r="J947" t="s" s="8"/>
    </row>
    <row r="948" ht="15.75" customHeight="true">
      <c r="A948" t="s" s="15"/>
      <c r="B948" t="s" s="8"/>
      <c r="C948" t="s" s="8"/>
      <c r="D948" t="s" s="8"/>
      <c r="E948" t="s" s="8"/>
      <c r="F948" t="s" s="8"/>
      <c r="G948" t="s" s="8"/>
      <c r="H948" t="s" s="8"/>
      <c r="I948" t="s" s="8"/>
      <c r="J948" t="s" s="8"/>
    </row>
    <row r="949" ht="15.75" customHeight="true">
      <c r="A949" t="s" s="15"/>
      <c r="B949" t="s" s="8"/>
      <c r="C949" t="s" s="8"/>
      <c r="D949" t="s" s="8"/>
      <c r="E949" t="s" s="8"/>
      <c r="F949" t="s" s="8"/>
      <c r="G949" t="s" s="8"/>
      <c r="H949" t="s" s="8"/>
      <c r="I949" t="s" s="8"/>
      <c r="J949" t="s" s="8"/>
    </row>
    <row r="950" ht="15.75" customHeight="true">
      <c r="A950" t="s" s="15"/>
      <c r="B950" t="s" s="8"/>
      <c r="C950" t="s" s="8"/>
      <c r="D950" t="s" s="8"/>
      <c r="E950" t="s" s="8"/>
      <c r="F950" t="s" s="8"/>
      <c r="G950" t="s" s="8"/>
      <c r="H950" t="s" s="8"/>
      <c r="I950" t="s" s="8"/>
      <c r="J950" t="s" s="8"/>
    </row>
    <row r="951" ht="15.75" customHeight="true">
      <c r="A951" t="s" s="15"/>
      <c r="B951" t="s" s="8"/>
      <c r="C951" t="s" s="8"/>
      <c r="D951" t="s" s="8"/>
      <c r="E951" t="s" s="8"/>
      <c r="F951" t="s" s="8"/>
      <c r="G951" t="s" s="8"/>
      <c r="H951" t="s" s="8"/>
      <c r="I951" t="s" s="8"/>
      <c r="J951" t="s" s="8"/>
    </row>
    <row r="952" ht="15.75" customHeight="true">
      <c r="A952" t="s" s="15"/>
      <c r="B952" t="s" s="8"/>
      <c r="C952" t="s" s="8"/>
      <c r="D952" t="s" s="8"/>
      <c r="E952" t="s" s="8"/>
      <c r="F952" t="s" s="8"/>
      <c r="G952" t="s" s="8"/>
      <c r="H952" t="s" s="8"/>
      <c r="I952" t="s" s="8"/>
      <c r="J952" t="s" s="8"/>
    </row>
    <row r="953" ht="15.75" customHeight="true">
      <c r="A953" t="s" s="15"/>
      <c r="B953" t="s" s="8"/>
      <c r="C953" t="s" s="8"/>
      <c r="D953" t="s" s="8"/>
      <c r="E953" t="s" s="8"/>
      <c r="F953" t="s" s="8"/>
      <c r="G953" t="s" s="8"/>
      <c r="H953" t="s" s="8"/>
      <c r="I953" t="s" s="8"/>
      <c r="J953" t="s" s="8"/>
    </row>
    <row r="954" ht="15.75" customHeight="true">
      <c r="A954" t="s" s="15"/>
      <c r="B954" t="s" s="8"/>
      <c r="C954" t="s" s="8"/>
      <c r="D954" t="s" s="8"/>
      <c r="E954" t="s" s="8"/>
      <c r="F954" t="s" s="8"/>
      <c r="G954" t="s" s="8"/>
      <c r="H954" t="s" s="8"/>
      <c r="I954" t="s" s="8"/>
      <c r="J954" t="s" s="8"/>
    </row>
    <row r="955" ht="15.75" customHeight="true">
      <c r="A955" t="s" s="15"/>
      <c r="B955" t="s" s="8"/>
      <c r="C955" t="s" s="8"/>
      <c r="D955" t="s" s="8"/>
      <c r="E955" t="s" s="8"/>
      <c r="F955" t="s" s="8"/>
      <c r="G955" t="s" s="8"/>
      <c r="H955" t="s" s="8"/>
      <c r="I955" t="s" s="8"/>
      <c r="J955" t="s" s="8"/>
    </row>
    <row r="956" ht="15.75" customHeight="true">
      <c r="A956" t="s" s="15"/>
      <c r="B956" t="s" s="8"/>
      <c r="C956" t="s" s="8"/>
      <c r="D956" t="s" s="8"/>
      <c r="E956" t="s" s="8"/>
      <c r="F956" t="s" s="8"/>
      <c r="G956" t="s" s="8"/>
      <c r="H956" t="s" s="8"/>
      <c r="I956" t="s" s="8"/>
      <c r="J956" t="s" s="8"/>
    </row>
    <row r="957" ht="15.75" customHeight="true">
      <c r="A957" t="s" s="15"/>
      <c r="B957" t="s" s="8"/>
      <c r="C957" t="s" s="8"/>
      <c r="D957" t="s" s="8"/>
      <c r="E957" t="s" s="8"/>
      <c r="F957" t="s" s="8"/>
      <c r="G957" t="s" s="8"/>
      <c r="H957" t="s" s="8"/>
      <c r="I957" t="s" s="8"/>
      <c r="J957" t="s" s="8"/>
    </row>
    <row r="958" ht="15.75" customHeight="true">
      <c r="A958" t="s" s="15"/>
      <c r="B958" t="s" s="8"/>
      <c r="C958" t="s" s="8"/>
      <c r="D958" t="s" s="8"/>
      <c r="E958" t="s" s="8"/>
      <c r="F958" t="s" s="8"/>
      <c r="G958" t="s" s="8"/>
      <c r="H958" t="s" s="8"/>
      <c r="I958" t="s" s="8"/>
      <c r="J958" t="s" s="8"/>
    </row>
    <row r="959" ht="15.75" customHeight="true">
      <c r="A959" t="s" s="15"/>
      <c r="B959" t="s" s="8"/>
      <c r="C959" t="s" s="8"/>
      <c r="D959" t="s" s="8"/>
      <c r="E959" t="s" s="8"/>
      <c r="F959" t="s" s="8"/>
      <c r="G959" t="s" s="8"/>
      <c r="H959" t="s" s="8"/>
      <c r="I959" t="s" s="8"/>
      <c r="J959" t="s" s="8"/>
    </row>
    <row r="960" ht="15.75" customHeight="true">
      <c r="A960" t="s" s="15"/>
      <c r="B960" t="s" s="8"/>
      <c r="C960" t="s" s="8"/>
      <c r="D960" t="s" s="8"/>
      <c r="E960" t="s" s="8"/>
      <c r="F960" t="s" s="8"/>
      <c r="G960" t="s" s="8"/>
      <c r="H960" t="s" s="8"/>
      <c r="I960" t="s" s="8"/>
      <c r="J960" t="s" s="8"/>
    </row>
    <row r="961" ht="15.75" customHeight="true">
      <c r="A961" t="s" s="15"/>
      <c r="B961" t="s" s="8"/>
      <c r="C961" t="s" s="8"/>
      <c r="D961" t="s" s="8"/>
      <c r="E961" t="s" s="8"/>
      <c r="F961" t="s" s="8"/>
      <c r="G961" t="s" s="8"/>
      <c r="H961" t="s" s="8"/>
      <c r="I961" t="s" s="8"/>
      <c r="J961" t="s" s="8"/>
    </row>
    <row r="962" ht="15.75" customHeight="true">
      <c r="A962" t="s" s="15"/>
      <c r="B962" t="s" s="8"/>
      <c r="C962" t="s" s="8"/>
      <c r="D962" t="s" s="8"/>
      <c r="E962" t="s" s="8"/>
      <c r="F962" t="s" s="8"/>
      <c r="G962" t="s" s="8"/>
      <c r="H962" t="s" s="8"/>
      <c r="I962" t="s" s="8"/>
      <c r="J962" t="s" s="8"/>
    </row>
    <row r="963" ht="15.75" customHeight="true">
      <c r="A963" t="s" s="15"/>
      <c r="B963" t="s" s="8"/>
      <c r="C963" t="s" s="8"/>
      <c r="D963" t="s" s="8"/>
      <c r="E963" t="s" s="8"/>
      <c r="F963" t="s" s="8"/>
      <c r="G963" t="s" s="8"/>
      <c r="H963" t="s" s="8"/>
      <c r="I963" t="s" s="8"/>
      <c r="J963" t="s" s="8"/>
    </row>
    <row r="964" ht="15.75" customHeight="true">
      <c r="A964" t="s" s="15"/>
      <c r="B964" t="s" s="8"/>
      <c r="C964" t="s" s="8"/>
      <c r="D964" t="s" s="8"/>
      <c r="E964" t="s" s="8"/>
      <c r="F964" t="s" s="8"/>
      <c r="G964" t="s" s="8"/>
      <c r="H964" t="s" s="8"/>
      <c r="I964" t="s" s="8"/>
      <c r="J964" t="s" s="8"/>
    </row>
    <row r="965" ht="15.75" customHeight="true">
      <c r="A965" t="s" s="15"/>
      <c r="B965" t="s" s="8"/>
      <c r="C965" t="s" s="8"/>
      <c r="D965" t="s" s="8"/>
      <c r="E965" t="s" s="8"/>
      <c r="F965" t="s" s="8"/>
      <c r="G965" t="s" s="8"/>
      <c r="H965" t="s" s="8"/>
      <c r="I965" t="s" s="8"/>
      <c r="J965" t="s" s="8"/>
    </row>
    <row r="966" ht="15.75" customHeight="true">
      <c r="A966" t="s" s="15"/>
      <c r="B966" t="s" s="8"/>
      <c r="C966" t="s" s="8"/>
      <c r="D966" t="s" s="8"/>
      <c r="E966" t="s" s="8"/>
      <c r="F966" t="s" s="8"/>
      <c r="G966" t="s" s="8"/>
      <c r="H966" t="s" s="8"/>
      <c r="I966" t="s" s="8"/>
      <c r="J966" t="s" s="8"/>
    </row>
    <row r="967" ht="15.75" customHeight="true">
      <c r="A967" t="s" s="15"/>
      <c r="B967" t="s" s="8"/>
      <c r="C967" t="s" s="8"/>
      <c r="D967" t="s" s="8"/>
      <c r="E967" t="s" s="8"/>
      <c r="F967" t="s" s="8"/>
      <c r="G967" t="s" s="8"/>
      <c r="H967" t="s" s="8"/>
      <c r="I967" t="s" s="8"/>
      <c r="J967" t="s" s="8"/>
    </row>
    <row r="968" ht="15.75" customHeight="true">
      <c r="A968" t="s" s="15"/>
      <c r="B968" t="s" s="8"/>
      <c r="C968" t="s" s="8"/>
      <c r="D968" t="s" s="8"/>
      <c r="E968" t="s" s="8"/>
      <c r="F968" t="s" s="8"/>
      <c r="G968" t="s" s="8"/>
      <c r="H968" t="s" s="8"/>
      <c r="I968" t="s" s="8"/>
      <c r="J968" t="s" s="8"/>
    </row>
    <row r="969" ht="15.75" customHeight="true">
      <c r="A969" t="s" s="15"/>
      <c r="B969" t="s" s="8"/>
      <c r="C969" t="s" s="8"/>
      <c r="D969" t="s" s="8"/>
      <c r="E969" t="s" s="8"/>
      <c r="F969" t="s" s="8"/>
      <c r="G969" t="s" s="8"/>
      <c r="H969" t="s" s="8"/>
      <c r="I969" t="s" s="8"/>
      <c r="J969" t="s" s="8"/>
    </row>
    <row r="970" ht="15.75" customHeight="true">
      <c r="A970" t="s" s="15"/>
      <c r="B970" t="s" s="8"/>
      <c r="C970" t="s" s="8"/>
      <c r="D970" t="s" s="8"/>
      <c r="E970" t="s" s="8"/>
      <c r="F970" t="s" s="8"/>
      <c r="G970" t="s" s="8"/>
      <c r="H970" t="s" s="8"/>
      <c r="I970" t="s" s="8"/>
      <c r="J970" t="s" s="8"/>
    </row>
    <row r="971" ht="15.75" customHeight="true">
      <c r="A971" t="s" s="15"/>
      <c r="B971" t="s" s="8"/>
      <c r="C971" t="s" s="8"/>
      <c r="D971" t="s" s="8"/>
      <c r="E971" t="s" s="8"/>
      <c r="F971" t="s" s="8"/>
      <c r="G971" t="s" s="8"/>
      <c r="H971" t="s" s="8"/>
      <c r="I971" t="s" s="8"/>
      <c r="J971" t="s" s="8"/>
    </row>
    <row r="972" ht="15.75" customHeight="true">
      <c r="A972" t="s" s="15"/>
      <c r="B972" t="s" s="8"/>
      <c r="C972" t="s" s="8"/>
      <c r="D972" t="s" s="8"/>
      <c r="E972" t="s" s="8"/>
      <c r="F972" t="s" s="8"/>
      <c r="G972" t="s" s="8"/>
      <c r="H972" t="s" s="8"/>
      <c r="I972" t="s" s="8"/>
      <c r="J972" t="s" s="8"/>
    </row>
    <row r="973" ht="15.75" customHeight="true">
      <c r="A973" t="s" s="15"/>
      <c r="B973" t="s" s="8"/>
      <c r="C973" t="s" s="8"/>
      <c r="D973" t="s" s="8"/>
      <c r="E973" t="s" s="8"/>
      <c r="F973" t="s" s="8"/>
      <c r="G973" t="s" s="8"/>
      <c r="H973" t="s" s="8"/>
      <c r="I973" t="s" s="8"/>
      <c r="J973" t="s" s="8"/>
    </row>
    <row r="974" ht="15.75" customHeight="true">
      <c r="A974" t="s" s="15"/>
      <c r="B974" t="s" s="8"/>
      <c r="C974" t="s" s="8"/>
      <c r="D974" t="s" s="8"/>
      <c r="E974" t="s" s="8"/>
      <c r="F974" t="s" s="8"/>
      <c r="G974" t="s" s="8"/>
      <c r="H974" t="s" s="8"/>
      <c r="I974" t="s" s="8"/>
      <c r="J974" t="s" s="8"/>
    </row>
    <row r="975" ht="15.75" customHeight="true">
      <c r="A975" t="s" s="15"/>
      <c r="B975" t="s" s="8"/>
      <c r="C975" t="s" s="8"/>
      <c r="D975" t="s" s="8"/>
      <c r="E975" t="s" s="8"/>
      <c r="F975" t="s" s="8"/>
      <c r="G975" t="s" s="8"/>
      <c r="H975" t="s" s="8"/>
      <c r="I975" t="s" s="8"/>
      <c r="J975" t="s" s="8"/>
    </row>
    <row r="976" ht="15.75" customHeight="true">
      <c r="A976" t="s" s="15"/>
      <c r="B976" t="s" s="8"/>
      <c r="C976" t="s" s="8"/>
      <c r="D976" t="s" s="8"/>
      <c r="E976" t="s" s="8"/>
      <c r="F976" t="s" s="8"/>
      <c r="G976" t="s" s="8"/>
      <c r="H976" t="s" s="8"/>
      <c r="I976" t="s" s="8"/>
      <c r="J976" t="s" s="8"/>
    </row>
    <row r="977" ht="15.75" customHeight="true">
      <c r="A977" t="s" s="15"/>
      <c r="B977" t="s" s="8"/>
      <c r="C977" t="s" s="8"/>
      <c r="D977" t="s" s="8"/>
      <c r="E977" t="s" s="8"/>
      <c r="F977" t="s" s="8"/>
      <c r="G977" t="s" s="8"/>
      <c r="H977" t="s" s="8"/>
      <c r="I977" t="s" s="8"/>
      <c r="J977" t="s" s="8"/>
    </row>
    <row r="978" ht="15.75" customHeight="true">
      <c r="A978" t="s" s="15"/>
      <c r="B978" t="s" s="8"/>
      <c r="C978" t="s" s="8"/>
      <c r="D978" t="s" s="8"/>
      <c r="E978" t="s" s="8"/>
      <c r="F978" t="s" s="8"/>
      <c r="G978" t="s" s="8"/>
      <c r="H978" t="s" s="8"/>
      <c r="I978" t="s" s="8"/>
      <c r="J978" t="s" s="8"/>
    </row>
    <row r="979" ht="15.75" customHeight="true">
      <c r="A979" t="s" s="15"/>
      <c r="B979" t="s" s="8"/>
      <c r="C979" t="s" s="8"/>
      <c r="D979" t="s" s="8"/>
      <c r="E979" t="s" s="8"/>
      <c r="F979" t="s" s="8"/>
      <c r="G979" t="s" s="8"/>
      <c r="H979" t="s" s="8"/>
      <c r="I979" t="s" s="8"/>
      <c r="J979" t="s" s="8"/>
    </row>
    <row r="980" ht="15.75" customHeight="true">
      <c r="A980" t="s" s="15"/>
      <c r="B980" t="s" s="8"/>
      <c r="C980" t="s" s="8"/>
      <c r="D980" t="s" s="8"/>
      <c r="E980" t="s" s="8"/>
      <c r="F980" t="s" s="8"/>
      <c r="G980" t="s" s="8"/>
      <c r="H980" t="s" s="8"/>
      <c r="I980" t="s" s="8"/>
      <c r="J980" t="s" s="8"/>
    </row>
    <row r="981" ht="15.75" customHeight="true">
      <c r="A981" t="s" s="15"/>
      <c r="B981" t="s" s="8"/>
      <c r="C981" t="s" s="8"/>
      <c r="D981" t="s" s="8"/>
      <c r="E981" t="s" s="8"/>
      <c r="F981" t="s" s="8"/>
      <c r="G981" t="s" s="8"/>
      <c r="H981" t="s" s="8"/>
      <c r="I981" t="s" s="8"/>
      <c r="J981" t="s" s="8"/>
    </row>
    <row r="982" ht="15.75" customHeight="true">
      <c r="A982" t="s" s="15"/>
      <c r="B982" t="s" s="8"/>
      <c r="C982" t="s" s="8"/>
      <c r="D982" t="s" s="8"/>
      <c r="E982" t="s" s="8"/>
      <c r="F982" t="s" s="8"/>
      <c r="G982" t="s" s="8"/>
      <c r="H982" t="s" s="8"/>
      <c r="I982" t="s" s="8"/>
      <c r="J982" t="s" s="8"/>
    </row>
    <row r="983" ht="15.75" customHeight="true">
      <c r="A983" t="s" s="15"/>
      <c r="B983" t="s" s="8"/>
      <c r="C983" t="s" s="8"/>
      <c r="D983" t="s" s="8"/>
      <c r="E983" t="s" s="8"/>
      <c r="F983" t="s" s="8"/>
      <c r="G983" t="s" s="8"/>
      <c r="H983" t="s" s="8"/>
      <c r="I983" t="s" s="8"/>
      <c r="J983" t="s" s="8"/>
    </row>
    <row r="984" ht="15.75" customHeight="true">
      <c r="A984" t="s" s="15"/>
      <c r="B984" t="s" s="8"/>
      <c r="C984" t="s" s="8"/>
      <c r="D984" t="s" s="8"/>
      <c r="E984" t="s" s="8"/>
      <c r="F984" t="s" s="8"/>
      <c r="G984" t="s" s="8"/>
      <c r="H984" t="s" s="8"/>
      <c r="I984" t="s" s="8"/>
      <c r="J984" t="s" s="8"/>
    </row>
    <row r="985" ht="15.75" customHeight="true">
      <c r="A985" t="s" s="15"/>
      <c r="B985" t="s" s="8"/>
      <c r="C985" t="s" s="8"/>
      <c r="D985" t="s" s="8"/>
      <c r="E985" t="s" s="8"/>
      <c r="F985" t="s" s="8"/>
      <c r="G985" t="s" s="8"/>
      <c r="H985" t="s" s="8"/>
      <c r="I985" t="s" s="8"/>
      <c r="J985" t="s" s="8"/>
    </row>
    <row r="986" ht="15.75" customHeight="true">
      <c r="A986" t="s" s="15"/>
      <c r="B986" t="s" s="8"/>
      <c r="C986" t="s" s="8"/>
      <c r="D986" t="s" s="8"/>
      <c r="E986" t="s" s="8"/>
      <c r="F986" t="s" s="8"/>
      <c r="G986" t="s" s="8"/>
      <c r="H986" t="s" s="8"/>
      <c r="I986" t="s" s="8"/>
      <c r="J986" t="s" s="8"/>
    </row>
    <row r="987" ht="15.75" customHeight="true">
      <c r="A987" t="s" s="15"/>
      <c r="B987" t="s" s="8"/>
      <c r="C987" t="s" s="8"/>
      <c r="D987" t="s" s="8"/>
      <c r="E987" t="s" s="8"/>
      <c r="F987" t="s" s="8"/>
      <c r="G987" t="s" s="8"/>
      <c r="H987" t="s" s="8"/>
      <c r="I987" t="s" s="8"/>
      <c r="J987" t="s" s="8"/>
    </row>
    <row r="988" ht="15.75" customHeight="true">
      <c r="A988" t="s" s="15"/>
      <c r="B988" t="s" s="8"/>
      <c r="C988" t="s" s="8"/>
      <c r="D988" t="s" s="8"/>
      <c r="E988" t="s" s="8"/>
      <c r="F988" t="s" s="8"/>
      <c r="G988" t="s" s="8"/>
      <c r="H988" t="s" s="8"/>
      <c r="I988" t="s" s="8"/>
      <c r="J988" t="s" s="8"/>
    </row>
    <row r="989" ht="15.75" customHeight="true">
      <c r="A989" t="s" s="15"/>
      <c r="B989" t="s" s="8"/>
      <c r="C989" t="s" s="8"/>
      <c r="D989" t="s" s="8"/>
      <c r="E989" t="s" s="8"/>
      <c r="F989" t="s" s="8"/>
      <c r="G989" t="s" s="8"/>
      <c r="H989" t="s" s="8"/>
      <c r="I989" t="s" s="8"/>
      <c r="J989" t="s" s="8"/>
    </row>
    <row r="990" ht="15.75" customHeight="true">
      <c r="A990" t="s" s="15"/>
      <c r="B990" t="s" s="8"/>
      <c r="C990" t="s" s="8"/>
      <c r="D990" t="s" s="8"/>
      <c r="E990" t="s" s="8"/>
      <c r="F990" t="s" s="8"/>
      <c r="G990" t="s" s="8"/>
      <c r="H990" t="s" s="8"/>
      <c r="I990" t="s" s="8"/>
      <c r="J990" t="s" s="8"/>
    </row>
    <row r="991" ht="15.75" customHeight="true">
      <c r="A991" t="s" s="15"/>
      <c r="B991" t="s" s="8"/>
      <c r="C991" t="s" s="8"/>
      <c r="D991" t="s" s="8"/>
      <c r="E991" t="s" s="8"/>
      <c r="F991" t="s" s="8"/>
      <c r="G991" t="s" s="8"/>
      <c r="H991" t="s" s="8"/>
      <c r="I991" t="s" s="8"/>
      <c r="J991" t="s" s="8"/>
    </row>
    <row r="992" ht="15.75" customHeight="true">
      <c r="A992" t="s" s="15"/>
      <c r="B992" t="s" s="8"/>
      <c r="C992" t="s" s="8"/>
      <c r="D992" t="s" s="8"/>
      <c r="E992" t="s" s="8"/>
      <c r="F992" t="s" s="8"/>
      <c r="G992" t="s" s="8"/>
      <c r="H992" t="s" s="8"/>
      <c r="I992" t="s" s="8"/>
      <c r="J992" t="s" s="8"/>
    </row>
    <row r="993" ht="15.75" customHeight="true">
      <c r="A993" t="s" s="15"/>
      <c r="B993" t="s" s="8"/>
      <c r="C993" t="s" s="8"/>
      <c r="D993" t="s" s="8"/>
      <c r="E993" t="s" s="8"/>
      <c r="F993" t="s" s="8"/>
      <c r="G993" t="s" s="8"/>
      <c r="H993" t="s" s="8"/>
      <c r="I993" t="s" s="8"/>
      <c r="J993" t="s" s="8"/>
    </row>
    <row r="994" ht="15.75" customHeight="true">
      <c r="A994" t="s" s="15"/>
      <c r="B994" t="s" s="8"/>
      <c r="C994" t="s" s="8"/>
      <c r="D994" t="s" s="8"/>
      <c r="E994" t="s" s="8"/>
      <c r="F994" t="s" s="8"/>
      <c r="G994" t="s" s="8"/>
      <c r="H994" t="s" s="8"/>
      <c r="I994" t="s" s="8"/>
      <c r="J994" t="s" s="8"/>
    </row>
    <row r="995" ht="15.75" customHeight="true">
      <c r="A995" t="s" s="15"/>
      <c r="B995" t="s" s="8"/>
      <c r="C995" t="s" s="8"/>
      <c r="D995" t="s" s="8"/>
      <c r="E995" t="s" s="8"/>
      <c r="F995" t="s" s="8"/>
      <c r="G995" t="s" s="8"/>
      <c r="H995" t="s" s="8"/>
      <c r="I995" t="s" s="8"/>
      <c r="J995" t="s" s="8"/>
    </row>
    <row r="996" ht="15.75" customHeight="true">
      <c r="A996" t="s" s="15"/>
      <c r="B996" t="s" s="8"/>
      <c r="C996" t="s" s="8"/>
      <c r="D996" t="s" s="8"/>
      <c r="E996" t="s" s="8"/>
      <c r="F996" t="s" s="8"/>
      <c r="G996" t="s" s="8"/>
      <c r="H996" t="s" s="8"/>
      <c r="I996" t="s" s="8"/>
      <c r="J996" t="s" s="8"/>
    </row>
    <row r="997" ht="15.75" customHeight="true">
      <c r="A997" t="s" s="15"/>
      <c r="B997" t="s" s="8"/>
      <c r="C997" t="s" s="8"/>
      <c r="D997" t="s" s="8"/>
      <c r="E997" t="s" s="8"/>
      <c r="F997" t="s" s="8"/>
      <c r="G997" t="s" s="8"/>
      <c r="H997" t="s" s="8"/>
      <c r="I997" t="s" s="8"/>
      <c r="J997" t="s" s="8"/>
    </row>
    <row r="998" ht="15.75" customHeight="true">
      <c r="A998" t="s" s="15"/>
      <c r="B998" t="s" s="8"/>
      <c r="C998" t="s" s="8"/>
      <c r="D998" t="s" s="8"/>
      <c r="E998" t="s" s="8"/>
      <c r="F998" t="s" s="8"/>
      <c r="G998" t="s" s="8"/>
      <c r="H998" t="s" s="8"/>
      <c r="I998" t="s" s="8"/>
      <c r="J998" t="s" s="8"/>
    </row>
    <row r="999" ht="15.75" customHeight="true">
      <c r="A999" t="s" s="15"/>
      <c r="B999" t="s" s="8"/>
      <c r="C999" t="s" s="8"/>
      <c r="D999" t="s" s="8"/>
      <c r="E999" t="s" s="8"/>
      <c r="F999" t="s" s="8"/>
      <c r="G999" t="s" s="8"/>
      <c r="H999" t="s" s="8"/>
      <c r="I999" t="s" s="8"/>
      <c r="J999" t="s" s="8"/>
    </row>
    <row r="1000" ht="15.75" customHeight="true">
      <c r="A1000" t="s" s="15"/>
      <c r="B1000" t="s" s="8"/>
      <c r="C1000" t="s" s="8"/>
      <c r="D1000" t="s" s="8"/>
      <c r="E1000" t="s" s="8"/>
      <c r="F1000" t="s" s="8"/>
      <c r="G1000" t="s" s="8"/>
      <c r="H1000" t="s" s="8"/>
      <c r="I1000" t="s" s="8"/>
      <c r="J1000" t="s" s="8"/>
    </row>
    <row r="1001" ht="15.75" customHeight="true">
      <c r="A1001" t="s" s="15"/>
      <c r="B1001" t="s" s="8"/>
      <c r="C1001" t="s" s="8"/>
      <c r="D1001" t="s" s="8"/>
      <c r="E1001" t="s" s="8"/>
      <c r="F1001" t="s" s="8"/>
      <c r="G1001" t="s" s="8"/>
      <c r="H1001" t="s" s="8"/>
      <c r="I1001" t="s" s="8"/>
      <c r="J1001" t="s" s="8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ySplit="4" topLeftCell="A5" activePane="bottomRight" state="frozen"/>
      <selection activeCell="A1" sqref="A1"/>
    </sheetView>
  </sheetViews>
  <sheetFormatPr defaultRowHeight="15.75" customHeight="1" defaultColWidth="13.04"/>
  <cols>
    <col min="4" max="4" width="19.34" customWidth="1" hidden="0"/>
  </cols>
  <sheetData>
    <row r="1" ht="15.75" customHeight="true">
      <c r="A1" s="16" t="s">
        <f>'BIRJU PRESS PRINT'!B1</f>
      </c>
    </row>
    <row r="3" ht="15.75" customHeight="true">
      <c r="A3" s="17"/>
      <c r="B3" t="s" s="17">
        <v>2</v>
      </c>
      <c r="C3" s="17">
        <f>SUM(C5:C12524)</f>
        <v>105</v>
      </c>
      <c r="D3" t="s" s="17">
        <v>3</v>
      </c>
      <c r="E3" s="17">
        <f>SUM(E5:E12524)</f>
        <v>157.5</v>
      </c>
    </row>
    <row r="4" ht="15.75" customHeight="true">
      <c r="A4" t="s" s="18">
        <v>9</v>
      </c>
      <c r="B4" s="18"/>
      <c r="C4" t="s" s="18">
        <v>29</v>
      </c>
      <c r="D4" t="s" s="18">
        <v>14</v>
      </c>
      <c r="E4" t="s" s="18">
        <v>15</v>
      </c>
    </row>
    <row r="5" ht="15.75" customHeight="true">
      <c r="A5" s="19" t="s">
        <f>IFERROR(__xludf.DUMMYFUNCTION("SORT(UNIQUE(Sheet1!T3:T12524))"),"BEDCOVER")</f>
        <v>21</v>
      </c>
      <c r="B5" s="19"/>
      <c r="C5" s="20">
        <f>IFERROR(__xludf.DUMMYFUNCTION("IFERROR(QUERY(Sheet1!O:X,""SELECT SUM(V) WHERE T= '""&amp;$A5&amp;""' LABEL SUM(V)'' ""),"""")"),105)</f>
        <v>105</v>
      </c>
      <c r="D5" s="21">
        <f>IFERROR(__xludf.DUMMYFUNCTION("iferror(index(filter(Sheet1!$W$3:$W12524,Sheet1!$T$3:$T12524=$A5),1,1))"),1.5)</f>
        <v>1.5</v>
      </c>
      <c r="E5" s="19">
        <f ref="E5:E9" t="shared" si="2026">IF(D5&lt;&gt;"",C5*D5,"")</f>
        <v>157.5</v>
      </c>
    </row>
    <row r="6" ht="15.75" customHeight="true">
      <c r="A6" s="19" t="s">
        <f>IFERROR(__xludf.DUMMYFUNCTION("""COMPUTED_VALUE"""),"PILLOW")</f>
        <v>24</v>
      </c>
      <c r="B6" s="19"/>
      <c r="C6" s="20">
        <f>IFERROR(__xludf.DUMMYFUNCTION("IFERROR(QUERY(Sheet1!O:X,""SELECT SUM(V) WHERE T= '""&amp;$A6&amp;""' LABEL SUM(V)'' ""),"""")"),0)</f>
        <v>0</v>
      </c>
      <c r="D6" s="21">
        <f>IFERROR(__xludf.DUMMYFUNCTION("iferror(index(filter(Sheet1!$W$3:$W12524,Sheet1!$T$3:$T12524=$A6),1,1))"),0.9)</f>
        <v>0.9</v>
      </c>
      <c r="E6" s="19">
        <f t="shared" si="2026"/>
        <v>0</v>
      </c>
    </row>
    <row r="7" ht="15.75" customHeight="true">
      <c r="A7" s="19"/>
      <c r="B7" s="19"/>
      <c r="C7" s="20" t="s">
        <f>IFERROR(__xludf.DUMMYFUNCTION("IFERROR(QUERY(Sheet1!O:X,""SELECT SUM(V) WHERE T= '""&amp;$A7&amp;""' LABEL SUM(V)'' ""),"""")"),"")</f>
      </c>
      <c r="D7" s="21" t="s">
        <f>IFERROR(__xludf.DUMMYFUNCTION("iferror(index(filter(Sheet1!$W$3:$W12524,Sheet1!$T$3:$T12524=$A7),1,1))"),"")</f>
      </c>
      <c r="E7" s="19" t="s">
        <f t="shared" si="2026"/>
      </c>
    </row>
    <row r="8" ht="15.75" customHeight="true">
      <c r="A8" s="19"/>
      <c r="B8" s="19"/>
      <c r="C8" s="20" t="s">
        <f>IFERROR(__xludf.DUMMYFUNCTION("IFERROR(QUERY(Sheet1!O:X,""SELECT SUM(V) WHERE T= '""&amp;$A8&amp;""' LABEL SUM(V)'' ""),"""")"),"")</f>
      </c>
      <c r="D8" s="21" t="s">
        <f>IFERROR(__xludf.DUMMYFUNCTION("iferror(index(filter(Sheet1!$W$3:$W12524,Sheet1!$T$3:$T12524=$A8),1,1))"),"")</f>
      </c>
      <c r="E8" s="19" t="s">
        <f t="shared" si="2026"/>
      </c>
    </row>
    <row r="9" ht="15.75" customHeight="true">
      <c r="A9" s="22"/>
      <c r="B9" s="23"/>
      <c r="C9" s="20" t="s">
        <f>IFERROR(__xludf.DUMMYFUNCTION("IFERROR(QUERY(Sheet1!O:X,""SELECT SUM(V) WHERE T= '""&amp;$A9&amp;""' LABEL SUM(V)'' ""),"""")"),"")</f>
      </c>
      <c r="D9" s="21" t="s">
        <f>IFERROR(__xludf.DUMMYFUNCTION("iferror(index(filter(Sheet1!$W$3:$W12524,Sheet1!$T$3:$T12524=$A9),1,1))"),"")</f>
      </c>
      <c r="E9" s="19" t="s">
        <f t="shared" si="2026"/>
      </c>
    </row>
    <row r="10" ht="15.75" customHeight="true">
      <c r="D10" s="24"/>
    </row>
    <row r="11" ht="15.75" customHeight="true">
      <c r="D11" s="24"/>
    </row>
    <row r="12" ht="15.75" customHeight="true">
      <c r="D12" s="24"/>
    </row>
    <row r="13" ht="15.75" customHeight="true">
      <c r="D13" s="24"/>
    </row>
  </sheetData>
  <mergeCells count="1">
    <mergeCell ref="A1:E2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ySplit="2" topLeftCell="A3" activePane="bottomRight" state="frozen"/>
      <selection activeCell="A1" sqref="A1"/>
    </sheetView>
  </sheetViews>
  <sheetFormatPr defaultRowHeight="15.75" customHeight="1" defaultColWidth="13.04"/>
  <cols>
    <col min="1" max="1" width="10.20" customWidth="1" hidden="0"/>
    <col min="2" max="2" width="9.44" customWidth="1" hidden="0"/>
    <col min="3" max="3" width="9.59" customWidth="1" hidden="0"/>
    <col min="4" max="4" width="8.85" customWidth="1" hidden="0"/>
    <col min="5" max="5" width="15.74" customWidth="1" hidden="0"/>
    <col min="7" max="7" width="7.79" customWidth="1" hidden="0"/>
    <col min="8" max="8" width="13.79" customWidth="1" hidden="0"/>
    <col min="10" max="10" width="7.79" customWidth="1" hidden="0"/>
    <col min="11" max="11" width="7.95" customWidth="1" hidden="0"/>
    <col min="12" max="12" width="11.24" customWidth="1" hidden="0"/>
  </cols>
  <sheetData>
    <row r="1" ht="15.75" customHeight="true">
      <c r="A1" cm="1" s="25" t="s">
        <f t="array" ref="A1:L1501">Sheet1!A1:L1501</f>
        <v>28</v>
      </c>
      <c r="B1" t="s" s="26"/>
      <c r="C1" t="s" s="26"/>
      <c r="D1" t="s" s="26"/>
      <c r="E1" t="s" s="26"/>
      <c r="F1" t="s" s="26"/>
      <c r="G1" t="s" s="26"/>
      <c r="H1" t="s" s="26"/>
      <c r="I1" t="s" s="5"/>
      <c r="J1" t="s" s="5"/>
      <c r="K1" t="s" s="5"/>
      <c r="L1" t="s" s="5"/>
    </row>
    <row r="2" ht="15.75" customHeight="true">
      <c r="A2" t="s" s="27"/>
      <c r="B2" t="s" s="28"/>
      <c r="C2" t="s" s="28"/>
      <c r="D2" t="s" s="28"/>
      <c r="E2" t="s" s="29"/>
      <c r="F2" t="s" s="29"/>
      <c r="G2" t="s" s="29"/>
      <c r="H2" t="s" s="29"/>
      <c r="I2" t="s" s="29"/>
      <c r="J2" t="s" s="28"/>
      <c r="K2" t="s" s="29"/>
      <c r="L2" t="s" s="29"/>
    </row>
    <row r="3" ht="15.75" customHeight="true">
      <c r="A3" t="s" s="30"/>
      <c r="B3" t="s" s="22"/>
      <c r="C3" t="s" s="22"/>
      <c r="D3" t="s" s="22"/>
      <c r="E3" t="s" s="22"/>
      <c r="F3" t="s" s="22"/>
      <c r="G3" t="s" s="22"/>
      <c r="H3" t="s" s="22"/>
      <c r="I3" t="s" s="22"/>
      <c r="J3" t="s" s="22"/>
      <c r="K3" t="s" s="22"/>
      <c r="L3" t="s" s="22"/>
    </row>
    <row r="4" ht="15.75" customHeight="true">
      <c r="A4" t="s" s="30"/>
      <c r="B4" t="s" s="22"/>
      <c r="C4" t="s" s="22"/>
      <c r="D4" t="s" s="22"/>
      <c r="E4" t="s" s="22"/>
      <c r="F4" t="s" s="22"/>
      <c r="G4" t="s" s="22"/>
      <c r="H4" t="s" s="22"/>
      <c r="I4" t="s" s="22"/>
      <c r="J4" t="s" s="22"/>
      <c r="K4" t="s" s="22"/>
      <c r="L4" t="s" s="22"/>
    </row>
    <row r="5" ht="15.75" customHeight="true">
      <c r="A5" t="s" s="30"/>
      <c r="B5" t="s" s="22"/>
      <c r="C5" t="s" s="22"/>
      <c r="D5" t="s" s="22"/>
      <c r="E5" t="s" s="22"/>
      <c r="F5" t="s" s="22"/>
      <c r="G5" t="s" s="22"/>
      <c r="H5" t="s" s="22"/>
      <c r="I5" t="s" s="22"/>
      <c r="J5" t="s" s="22"/>
      <c r="K5" t="s" s="22"/>
      <c r="L5" t="s" s="22"/>
    </row>
    <row r="6" ht="15.75" customHeight="true">
      <c r="A6" t="s" s="30"/>
      <c r="B6" t="s" s="22"/>
      <c r="C6" t="s" s="22"/>
      <c r="D6" t="s" s="22"/>
      <c r="E6" t="s" s="22"/>
      <c r="F6" t="s" s="22"/>
      <c r="G6" t="s" s="22"/>
      <c r="H6" t="s" s="22"/>
      <c r="I6" t="s" s="22"/>
      <c r="J6" t="s" s="22"/>
      <c r="K6" t="s" s="22"/>
      <c r="L6" t="s" s="22"/>
    </row>
    <row r="7" ht="15.75" customHeight="true">
      <c r="A7" t="s" s="30"/>
      <c r="B7" t="s" s="22"/>
      <c r="C7" t="s" s="22"/>
      <c r="D7" t="s" s="22"/>
      <c r="E7" t="s" s="22"/>
      <c r="F7" t="s" s="22"/>
      <c r="G7" t="s" s="22"/>
      <c r="H7" t="s" s="22"/>
      <c r="I7" t="s" s="22"/>
      <c r="J7" t="s" s="22"/>
      <c r="K7" t="s" s="22"/>
      <c r="L7" t="s" s="22"/>
    </row>
    <row r="8" ht="15.75" customHeight="true">
      <c r="A8" t="s" s="30"/>
      <c r="B8" t="s" s="22"/>
      <c r="C8" t="s" s="22"/>
      <c r="D8" t="s" s="22"/>
      <c r="E8" t="s" s="22"/>
      <c r="F8" t="s" s="22"/>
      <c r="G8" t="s" s="22"/>
      <c r="H8" t="s" s="22"/>
      <c r="I8" t="s" s="22"/>
      <c r="J8" t="s" s="22"/>
      <c r="K8" t="s" s="22"/>
      <c r="L8" t="s" s="22"/>
    </row>
    <row r="9" ht="15.75" customHeight="true">
      <c r="A9" t="s" s="30"/>
      <c r="B9" t="s" s="22"/>
      <c r="C9" t="s" s="22"/>
      <c r="D9" t="s" s="22"/>
      <c r="E9" t="s" s="22"/>
      <c r="F9" t="s" s="22"/>
      <c r="G9" t="s" s="22"/>
      <c r="H9" t="s" s="22"/>
      <c r="I9" t="s" s="22"/>
      <c r="J9" t="s" s="22"/>
      <c r="K9" t="s" s="22"/>
      <c r="L9" t="s" s="22"/>
    </row>
    <row r="10" ht="15.75" customHeight="true">
      <c r="A10" t="s" s="30"/>
      <c r="B10" t="s" s="22"/>
      <c r="C10" t="s" s="22"/>
      <c r="D10" t="s" s="22"/>
      <c r="E10" t="s" s="22"/>
      <c r="F10" t="s" s="22"/>
      <c r="G10" t="s" s="22"/>
      <c r="H10" t="s" s="22"/>
      <c r="I10" t="s" s="22"/>
      <c r="J10" t="s" s="22"/>
      <c r="K10" t="s" s="22"/>
      <c r="L10" t="s" s="22"/>
    </row>
    <row r="11" ht="15.75" customHeight="true">
      <c r="A11" t="s" s="30"/>
      <c r="B11" t="s" s="22"/>
      <c r="C11" t="s" s="22"/>
      <c r="D11" t="s" s="22"/>
      <c r="E11" t="s" s="22"/>
      <c r="F11" t="s" s="22"/>
      <c r="G11" t="s" s="22"/>
      <c r="H11" t="s" s="22"/>
      <c r="I11" t="s" s="22"/>
      <c r="J11" t="s" s="22"/>
      <c r="K11" t="s" s="22"/>
      <c r="L11" t="s" s="22"/>
    </row>
    <row r="12" ht="15.75" customHeight="true">
      <c r="A12" t="s" s="30"/>
      <c r="B12" t="s" s="22"/>
      <c r="C12" t="s" s="22"/>
      <c r="D12" t="s" s="22"/>
      <c r="E12" t="s" s="22"/>
      <c r="F12" t="s" s="22"/>
      <c r="G12" t="s" s="22"/>
      <c r="H12" t="s" s="22"/>
      <c r="I12" t="s" s="22"/>
      <c r="J12" t="s" s="22"/>
      <c r="K12" t="s" s="22"/>
      <c r="L12" t="s" s="22"/>
    </row>
    <row r="13" ht="15.75" customHeight="true">
      <c r="A13" t="s" s="30"/>
      <c r="B13" t="s" s="22"/>
      <c r="C13" t="s" s="22"/>
      <c r="D13" t="s" s="22"/>
      <c r="E13" t="s" s="22"/>
      <c r="F13" t="s" s="22"/>
      <c r="G13" t="s" s="22"/>
      <c r="H13" t="s" s="22"/>
      <c r="I13" t="s" s="22"/>
      <c r="J13" t="s" s="22"/>
      <c r="K13" t="s" s="22"/>
      <c r="L13" t="s" s="22"/>
    </row>
    <row r="14" ht="15.75" customHeight="true">
      <c r="A14" t="s" s="30"/>
      <c r="B14" t="s" s="22"/>
      <c r="C14" t="s" s="22"/>
      <c r="D14" t="s" s="22"/>
      <c r="E14" t="s" s="22"/>
      <c r="F14" t="s" s="22"/>
      <c r="G14" t="s" s="22"/>
      <c r="H14" t="s" s="22"/>
      <c r="I14" t="s" s="22"/>
      <c r="J14" t="s" s="22"/>
      <c r="K14" t="s" s="22"/>
      <c r="L14" t="s" s="22"/>
    </row>
    <row r="15" ht="15.75" customHeight="true">
      <c r="A15" t="s" s="30"/>
      <c r="B15" t="s" s="22"/>
      <c r="C15" t="s" s="22"/>
      <c r="D15" t="s" s="22"/>
      <c r="E15" t="s" s="22"/>
      <c r="F15" t="s" s="22"/>
      <c r="G15" t="s" s="22"/>
      <c r="H15" t="s" s="22"/>
      <c r="I15" t="s" s="22"/>
      <c r="J15" t="s" s="22"/>
      <c r="K15" t="s" s="22"/>
      <c r="L15" t="s" s="22"/>
    </row>
    <row r="16" ht="15.75" customHeight="true">
      <c r="A16" t="s" s="30"/>
      <c r="B16" t="s" s="22"/>
      <c r="C16" t="s" s="22"/>
      <c r="D16" t="s" s="22"/>
      <c r="E16" t="s" s="22"/>
      <c r="F16" t="s" s="22"/>
      <c r="G16" t="s" s="22"/>
      <c r="H16" t="s" s="22"/>
      <c r="I16" t="s" s="22"/>
      <c r="J16" t="s" s="22"/>
      <c r="K16" t="s" s="22"/>
      <c r="L16" t="s" s="22"/>
    </row>
    <row r="17" ht="15.75" customHeight="true">
      <c r="A17" t="s" s="30"/>
      <c r="B17" t="s" s="22"/>
      <c r="C17" t="s" s="22"/>
      <c r="D17" t="s" s="22"/>
      <c r="E17" t="s" s="22"/>
      <c r="F17" t="s" s="22"/>
      <c r="G17" t="s" s="22"/>
      <c r="H17" t="s" s="22"/>
      <c r="I17" t="s" s="22"/>
      <c r="J17" t="s" s="22"/>
      <c r="K17" t="s" s="22"/>
      <c r="L17" t="s" s="22"/>
    </row>
    <row r="18" ht="15.75" customHeight="true">
      <c r="A18" t="s" s="30"/>
      <c r="B18" t="s" s="22"/>
      <c r="C18" t="s" s="22"/>
      <c r="D18" t="s" s="22"/>
      <c r="E18" t="s" s="22"/>
      <c r="F18" t="s" s="22"/>
      <c r="G18" t="s" s="22"/>
      <c r="H18" t="s" s="22"/>
      <c r="I18" t="s" s="22"/>
      <c r="J18" t="s" s="22"/>
      <c r="K18" t="s" s="22"/>
      <c r="L18" t="s" s="22"/>
    </row>
    <row r="19" ht="15.75" customHeight="true">
      <c r="A19" t="s" s="30"/>
      <c r="B19" t="s" s="22"/>
      <c r="C19" t="s" s="22"/>
      <c r="D19" t="s" s="22"/>
      <c r="E19" t="s" s="22"/>
      <c r="F19" t="s" s="22"/>
      <c r="G19" t="s" s="22"/>
      <c r="H19" t="s" s="22"/>
      <c r="I19" t="s" s="22"/>
      <c r="J19" t="s" s="22"/>
      <c r="K19" t="s" s="22"/>
      <c r="L19" t="s" s="22"/>
    </row>
    <row r="20" ht="15.75" customHeight="true">
      <c r="A20" t="s" s="30"/>
      <c r="B20" t="s" s="22"/>
      <c r="C20" t="s" s="22"/>
      <c r="D20" t="s" s="22"/>
      <c r="E20" t="s" s="22"/>
      <c r="F20" t="s" s="22"/>
      <c r="G20" t="s" s="22"/>
      <c r="H20" t="s" s="22"/>
      <c r="I20" t="s" s="22"/>
      <c r="J20" t="s" s="22"/>
      <c r="K20" t="s" s="22"/>
      <c r="L20" t="s" s="22"/>
    </row>
    <row r="21" ht="15.75" customHeight="true">
      <c r="A21" t="s" s="30"/>
      <c r="B21" t="s" s="22"/>
      <c r="C21" t="s" s="22"/>
      <c r="D21" t="s" s="22"/>
      <c r="E21" t="s" s="22"/>
      <c r="F21" t="s" s="22"/>
      <c r="G21" t="s" s="22"/>
      <c r="H21" t="s" s="22"/>
      <c r="I21" t="s" s="22"/>
      <c r="J21" t="s" s="22"/>
      <c r="K21" t="s" s="22"/>
      <c r="L21" t="s" s="22"/>
    </row>
    <row r="22" ht="15.75" customHeight="true">
      <c r="A22" t="s" s="30"/>
      <c r="B22" t="s" s="22"/>
      <c r="C22" t="s" s="22"/>
      <c r="D22" t="s" s="22"/>
      <c r="E22" t="s" s="22"/>
      <c r="F22" t="s" s="22"/>
      <c r="G22" t="s" s="22"/>
      <c r="H22" t="s" s="22"/>
      <c r="I22" t="s" s="22"/>
      <c r="J22" t="s" s="22"/>
      <c r="K22" t="s" s="22"/>
      <c r="L22" t="s" s="22"/>
    </row>
    <row r="23" ht="15.75" customHeight="true">
      <c r="A23" t="s" s="30"/>
      <c r="B23" t="s" s="22"/>
      <c r="C23" t="s" s="22"/>
      <c r="D23" t="s" s="22"/>
      <c r="E23" t="s" s="22"/>
      <c r="F23" t="s" s="22"/>
      <c r="G23" t="s" s="22"/>
      <c r="H23" t="s" s="22"/>
      <c r="I23" t="s" s="22"/>
      <c r="J23" t="s" s="22"/>
      <c r="K23" t="s" s="22"/>
      <c r="L23" t="s" s="22"/>
    </row>
    <row r="24" ht="15.75" customHeight="true">
      <c r="A24" t="s" s="30"/>
      <c r="B24" t="s" s="22"/>
      <c r="C24" t="s" s="22"/>
      <c r="D24" t="s" s="22"/>
      <c r="E24" t="s" s="22"/>
      <c r="F24" t="s" s="22"/>
      <c r="G24" t="s" s="22"/>
      <c r="H24" t="s" s="22"/>
      <c r="I24" t="s" s="22"/>
      <c r="J24" t="s" s="22"/>
      <c r="K24" t="s" s="22"/>
      <c r="L24" t="s" s="22"/>
    </row>
    <row r="25" ht="15.75" customHeight="true">
      <c r="A25" t="s" s="30"/>
      <c r="B25" t="s" s="22"/>
      <c r="C25" t="s" s="22"/>
      <c r="D25" t="s" s="22"/>
      <c r="E25" t="s" s="22"/>
      <c r="F25" t="s" s="22"/>
      <c r="G25" t="s" s="22"/>
      <c r="H25" t="s" s="22"/>
      <c r="I25" t="s" s="22"/>
      <c r="J25" t="s" s="22"/>
      <c r="K25" t="s" s="22"/>
      <c r="L25" t="s" s="22"/>
    </row>
    <row r="26" ht="15.75" customHeight="true">
      <c r="A26" t="s" s="30"/>
      <c r="B26" t="s" s="22"/>
      <c r="C26" t="s" s="22"/>
      <c r="D26" t="s" s="22"/>
      <c r="E26" t="s" s="22"/>
      <c r="F26" t="s" s="22"/>
      <c r="G26" t="s" s="22"/>
      <c r="H26" t="s" s="22"/>
      <c r="I26" t="s" s="22"/>
      <c r="J26" t="s" s="22"/>
      <c r="K26" t="s" s="22"/>
      <c r="L26" t="s" s="22"/>
    </row>
    <row r="27" ht="15.75" customHeight="true">
      <c r="A27" t="s" s="30"/>
      <c r="B27" t="s" s="22"/>
      <c r="C27" t="s" s="22"/>
      <c r="D27" t="s" s="22"/>
      <c r="E27" t="s" s="22"/>
      <c r="F27" t="s" s="22"/>
      <c r="G27" t="s" s="22"/>
      <c r="H27" t="s" s="22"/>
      <c r="I27" t="s" s="22"/>
      <c r="J27" t="s" s="22"/>
      <c r="K27" t="s" s="22"/>
      <c r="L27" t="s" s="22"/>
    </row>
    <row r="28" ht="15.75" customHeight="true">
      <c r="A28" t="s" s="30"/>
      <c r="B28" t="s" s="22"/>
      <c r="C28" t="s" s="22"/>
      <c r="D28" t="s" s="22"/>
      <c r="E28" t="s" s="22"/>
      <c r="F28" t="s" s="22"/>
      <c r="G28" t="s" s="22"/>
      <c r="H28" t="s" s="22"/>
      <c r="I28" t="s" s="22"/>
      <c r="J28" t="s" s="22"/>
      <c r="K28" t="s" s="22"/>
      <c r="L28" t="s" s="22"/>
    </row>
    <row r="29" ht="15.75" customHeight="true">
      <c r="A29" t="s" s="30"/>
      <c r="B29" t="s" s="22"/>
      <c r="C29" t="s" s="22"/>
      <c r="D29" t="s" s="22"/>
      <c r="E29" t="s" s="22"/>
      <c r="F29" t="s" s="22"/>
      <c r="G29" t="s" s="22"/>
      <c r="H29" t="s" s="22"/>
      <c r="I29" t="s" s="22"/>
      <c r="J29" t="s" s="22"/>
      <c r="K29" t="s" s="22"/>
      <c r="L29" t="s" s="22"/>
    </row>
    <row r="30" ht="15.75" customHeight="true">
      <c r="A30" t="s" s="30"/>
      <c r="B30" t="s" s="22"/>
      <c r="C30" t="s" s="22"/>
      <c r="D30" t="s" s="22"/>
      <c r="E30" t="s" s="22"/>
      <c r="F30" t="s" s="22"/>
      <c r="G30" t="s" s="22"/>
      <c r="H30" t="s" s="22"/>
      <c r="I30" t="s" s="22"/>
      <c r="J30" t="s" s="22"/>
      <c r="K30" t="s" s="22"/>
      <c r="L30" t="s" s="22"/>
    </row>
    <row r="31" ht="15.75" customHeight="true">
      <c r="A31" t="s" s="30"/>
      <c r="B31" t="s" s="22"/>
      <c r="C31" t="s" s="22"/>
      <c r="D31" t="s" s="22"/>
      <c r="E31" t="s" s="22"/>
      <c r="F31" t="s" s="22"/>
      <c r="G31" t="s" s="22"/>
      <c r="H31" t="s" s="22"/>
      <c r="I31" t="s" s="22"/>
      <c r="J31" t="s" s="22"/>
      <c r="K31" t="s" s="22"/>
      <c r="L31" t="s" s="22"/>
    </row>
    <row r="32" ht="15.75" customHeight="true">
      <c r="A32" t="s" s="30"/>
      <c r="B32" t="s" s="22"/>
      <c r="C32" t="s" s="22"/>
      <c r="D32" t="s" s="22"/>
      <c r="E32" t="s" s="22"/>
      <c r="F32" t="s" s="22"/>
      <c r="G32" t="s" s="22"/>
      <c r="H32" t="s" s="22"/>
      <c r="I32" t="s" s="22"/>
      <c r="J32" t="s" s="22"/>
      <c r="K32" t="s" s="22"/>
      <c r="L32" t="s" s="22"/>
    </row>
    <row r="33" ht="15.75" customHeight="true">
      <c r="A33" t="s" s="30"/>
      <c r="B33" t="s" s="22"/>
      <c r="C33" t="s" s="22"/>
      <c r="D33" t="s" s="22"/>
      <c r="E33" t="s" s="22"/>
      <c r="F33" t="s" s="22"/>
      <c r="G33" t="s" s="22"/>
      <c r="H33" t="s" s="22"/>
      <c r="I33" t="s" s="22"/>
      <c r="J33" t="s" s="22"/>
      <c r="K33" t="s" s="22"/>
      <c r="L33" t="s" s="22"/>
    </row>
    <row r="34" ht="15.75" customHeight="true">
      <c r="A34" t="s" s="30"/>
      <c r="B34" t="s" s="22"/>
      <c r="C34" t="s" s="22"/>
      <c r="D34" t="s" s="22"/>
      <c r="E34" t="s" s="22"/>
      <c r="F34" t="s" s="22"/>
      <c r="G34" t="s" s="22"/>
      <c r="H34" t="s" s="22"/>
      <c r="I34" t="s" s="22"/>
      <c r="J34" t="s" s="22"/>
      <c r="K34" t="s" s="22"/>
      <c r="L34" t="s" s="22"/>
    </row>
    <row r="35" ht="15.75" customHeight="true">
      <c r="A35" t="s" s="30"/>
      <c r="B35" t="s" s="22"/>
      <c r="C35" t="s" s="22"/>
      <c r="D35" t="s" s="22"/>
      <c r="E35" t="s" s="22"/>
      <c r="F35" t="s" s="22"/>
      <c r="G35" t="s" s="22"/>
      <c r="H35" t="s" s="22"/>
      <c r="I35" t="s" s="22"/>
      <c r="J35" t="s" s="22"/>
      <c r="K35" t="s" s="22"/>
      <c r="L35" t="s" s="22"/>
    </row>
    <row r="36" ht="15.75" customHeight="true">
      <c r="A36" t="s" s="30"/>
      <c r="B36" t="s" s="22"/>
      <c r="C36" t="s" s="22"/>
      <c r="D36" t="s" s="22"/>
      <c r="E36" t="s" s="22"/>
      <c r="F36" t="s" s="22"/>
      <c r="G36" t="s" s="22"/>
      <c r="H36" t="s" s="22"/>
      <c r="I36" t="s" s="22"/>
      <c r="J36" t="s" s="22"/>
      <c r="K36" t="s" s="22"/>
      <c r="L36" t="s" s="22"/>
    </row>
    <row r="37" ht="15.75" customHeight="true">
      <c r="A37" t="s" s="30"/>
      <c r="B37" t="s" s="22"/>
      <c r="C37" t="s" s="22"/>
      <c r="D37" t="s" s="22"/>
      <c r="E37" t="s" s="22"/>
      <c r="F37" t="s" s="22"/>
      <c r="G37" t="s" s="22"/>
      <c r="H37" t="s" s="22"/>
      <c r="I37" t="s" s="22"/>
      <c r="J37" t="s" s="22"/>
      <c r="K37" t="s" s="22"/>
      <c r="L37" t="s" s="22"/>
    </row>
    <row r="38" ht="15.75" customHeight="true">
      <c r="A38" t="s" s="30"/>
      <c r="B38" t="s" s="22"/>
      <c r="C38" t="s" s="22"/>
      <c r="D38" t="s" s="22"/>
      <c r="E38" t="s" s="22"/>
      <c r="F38" t="s" s="22"/>
      <c r="G38" t="s" s="22"/>
      <c r="H38" t="s" s="22"/>
      <c r="I38" t="s" s="22"/>
      <c r="J38" t="s" s="22"/>
      <c r="K38" t="s" s="22"/>
      <c r="L38" t="s" s="22"/>
    </row>
    <row r="39" ht="15.75" customHeight="true">
      <c r="A39" t="s" s="30"/>
      <c r="B39" t="s" s="22"/>
      <c r="C39" t="s" s="22"/>
      <c r="D39" t="s" s="22"/>
      <c r="E39" t="s" s="22"/>
      <c r="F39" t="s" s="22"/>
      <c r="G39" t="s" s="22"/>
      <c r="H39" t="s" s="22"/>
      <c r="I39" t="s" s="22"/>
      <c r="J39" t="s" s="22"/>
      <c r="K39" t="s" s="22"/>
      <c r="L39" t="s" s="22"/>
    </row>
    <row r="40" ht="15.75" customHeight="true">
      <c r="A40" t="s" s="30"/>
      <c r="B40" t="s" s="22"/>
      <c r="C40" t="s" s="22"/>
      <c r="D40" t="s" s="22"/>
      <c r="E40" t="s" s="22"/>
      <c r="F40" t="s" s="22"/>
      <c r="G40" t="s" s="22"/>
      <c r="H40" t="s" s="22"/>
      <c r="I40" t="s" s="22"/>
      <c r="J40" t="s" s="22"/>
      <c r="K40" t="s" s="22"/>
      <c r="L40" t="s" s="22"/>
    </row>
    <row r="41" ht="15.75" customHeight="true">
      <c r="A41" t="s" s="30"/>
      <c r="B41" t="s" s="22"/>
      <c r="C41" t="s" s="22"/>
      <c r="D41" t="s" s="22"/>
      <c r="E41" t="s" s="22"/>
      <c r="F41" t="s" s="22"/>
      <c r="G41" t="s" s="22"/>
      <c r="H41" t="s" s="22"/>
      <c r="I41" t="s" s="22"/>
      <c r="J41" t="s" s="22"/>
      <c r="K41" t="s" s="22"/>
      <c r="L41" t="s" s="22"/>
    </row>
    <row r="42" ht="15.75" customHeight="true">
      <c r="A42" t="s" s="30"/>
      <c r="B42" t="s" s="22"/>
      <c r="C42" t="s" s="22"/>
      <c r="D42" t="s" s="22"/>
      <c r="E42" t="s" s="22"/>
      <c r="F42" t="s" s="22"/>
      <c r="G42" t="s" s="22"/>
      <c r="H42" t="s" s="22"/>
      <c r="I42" t="s" s="22"/>
      <c r="J42" t="s" s="22"/>
      <c r="K42" t="s" s="22"/>
      <c r="L42" t="s" s="22"/>
    </row>
    <row r="43" ht="15.75" customHeight="true">
      <c r="A43" t="s" s="30"/>
      <c r="B43" t="s" s="22"/>
      <c r="C43" t="s" s="22"/>
      <c r="D43" t="s" s="22"/>
      <c r="E43" t="s" s="22"/>
      <c r="F43" t="s" s="22"/>
      <c r="G43" t="s" s="22"/>
      <c r="H43" t="s" s="22"/>
      <c r="I43" t="s" s="22"/>
      <c r="J43" t="s" s="22"/>
      <c r="K43" t="s" s="22"/>
      <c r="L43" t="s" s="22"/>
    </row>
    <row r="44" ht="15.75" customHeight="true">
      <c r="A44" t="s" s="30"/>
      <c r="B44" t="s" s="22"/>
      <c r="C44" t="s" s="22"/>
      <c r="D44" t="s" s="22"/>
      <c r="E44" t="s" s="22"/>
      <c r="F44" t="s" s="22"/>
      <c r="G44" t="s" s="22"/>
      <c r="H44" t="s" s="22"/>
      <c r="I44" t="s" s="22"/>
      <c r="J44" t="s" s="22"/>
      <c r="K44" t="s" s="22"/>
      <c r="L44" t="s" s="22"/>
    </row>
    <row r="45" ht="15.75" customHeight="true">
      <c r="A45" t="s" s="30"/>
      <c r="B45" t="s" s="22"/>
      <c r="C45" t="s" s="22"/>
      <c r="D45" t="s" s="22"/>
      <c r="E45" t="s" s="22"/>
      <c r="F45" t="s" s="22"/>
      <c r="G45" t="s" s="22"/>
      <c r="H45" t="s" s="22"/>
      <c r="I45" t="s" s="22"/>
      <c r="J45" t="s" s="22"/>
      <c r="K45" t="s" s="22"/>
      <c r="L45" t="s" s="22"/>
    </row>
    <row r="46" ht="15.75" customHeight="true">
      <c r="A46" t="s" s="30"/>
      <c r="B46" t="s" s="22"/>
      <c r="C46" t="s" s="22"/>
      <c r="D46" t="s" s="22"/>
      <c r="E46" t="s" s="22"/>
      <c r="F46" t="s" s="22"/>
      <c r="G46" t="s" s="22"/>
      <c r="H46" t="s" s="22"/>
      <c r="I46" t="s" s="22"/>
      <c r="J46" t="s" s="22"/>
      <c r="K46" t="s" s="22"/>
      <c r="L46" t="s" s="22"/>
    </row>
    <row r="47" ht="15.75" customHeight="true">
      <c r="A47" t="s" s="30"/>
      <c r="B47" t="s" s="22"/>
      <c r="C47" t="s" s="22"/>
      <c r="D47" t="s" s="22"/>
      <c r="E47" t="s" s="22"/>
      <c r="F47" t="s" s="22"/>
      <c r="G47" t="s" s="22"/>
      <c r="H47" t="s" s="22"/>
      <c r="I47" t="s" s="22"/>
      <c r="J47" t="s" s="22"/>
      <c r="K47" t="s" s="22"/>
      <c r="L47" t="s" s="22"/>
    </row>
    <row r="48" ht="15.75" customHeight="true">
      <c r="A48" t="s" s="30"/>
      <c r="B48" t="s" s="22"/>
      <c r="C48" t="s" s="22"/>
      <c r="D48" t="s" s="22"/>
      <c r="E48" t="s" s="22"/>
      <c r="F48" t="s" s="22"/>
      <c r="G48" t="s" s="22"/>
      <c r="H48" t="s" s="22"/>
      <c r="I48" t="s" s="22"/>
      <c r="J48" t="s" s="22"/>
      <c r="K48" t="s" s="22"/>
      <c r="L48" t="s" s="22"/>
    </row>
    <row r="49" ht="15.75" customHeight="true">
      <c r="A49" t="s" s="30"/>
      <c r="B49" t="s" s="22"/>
      <c r="C49" t="s" s="22"/>
      <c r="D49" t="s" s="22"/>
      <c r="E49" t="s" s="22"/>
      <c r="F49" t="s" s="22"/>
      <c r="G49" t="s" s="22"/>
      <c r="H49" t="s" s="22"/>
      <c r="I49" t="s" s="22"/>
      <c r="J49" t="s" s="22"/>
      <c r="K49" t="s" s="22"/>
      <c r="L49" t="s" s="22"/>
    </row>
    <row r="50" ht="15.75" customHeight="true">
      <c r="A50" t="s" s="30"/>
      <c r="B50" t="s" s="22"/>
      <c r="C50" t="s" s="22"/>
      <c r="D50" t="s" s="22"/>
      <c r="E50" t="s" s="22"/>
      <c r="F50" t="s" s="22"/>
      <c r="G50" t="s" s="22"/>
      <c r="H50" t="s" s="22"/>
      <c r="I50" t="s" s="22"/>
      <c r="J50" t="s" s="22"/>
      <c r="K50" t="s" s="22"/>
      <c r="L50" t="s" s="22"/>
    </row>
    <row r="51" ht="15.75" customHeight="true">
      <c r="A51" t="s" s="30"/>
      <c r="B51" t="s" s="22"/>
      <c r="C51" t="s" s="22"/>
      <c r="D51" t="s" s="22"/>
      <c r="E51" t="s" s="22"/>
      <c r="F51" t="s" s="22"/>
      <c r="G51" t="s" s="22"/>
      <c r="H51" t="s" s="22"/>
      <c r="I51" t="s" s="22"/>
      <c r="J51" t="s" s="22"/>
      <c r="K51" t="s" s="22"/>
      <c r="L51" t="s" s="22"/>
    </row>
    <row r="52" ht="15.75" customHeight="true">
      <c r="A52" t="s" s="30"/>
      <c r="B52" t="s" s="22"/>
      <c r="C52" t="s" s="22"/>
      <c r="D52" t="s" s="22"/>
      <c r="E52" t="s" s="22"/>
      <c r="F52" t="s" s="22"/>
      <c r="G52" t="s" s="22"/>
      <c r="H52" t="s" s="22"/>
      <c r="I52" t="s" s="22"/>
      <c r="J52" t="s" s="22"/>
      <c r="K52" t="s" s="22"/>
      <c r="L52" t="s" s="22"/>
    </row>
    <row r="53" ht="15.75" customHeight="true">
      <c r="A53" t="s" s="30"/>
      <c r="B53" t="s" s="22"/>
      <c r="C53" t="s" s="22"/>
      <c r="D53" t="s" s="22"/>
      <c r="E53" t="s" s="22"/>
      <c r="F53" t="s" s="22"/>
      <c r="G53" t="s" s="22"/>
      <c r="H53" t="s" s="22"/>
      <c r="I53" t="s" s="22"/>
      <c r="J53" t="s" s="22"/>
      <c r="K53" t="s" s="22"/>
      <c r="L53" t="s" s="22"/>
    </row>
    <row r="54" ht="15.75" customHeight="true">
      <c r="A54" t="s" s="30"/>
      <c r="B54" t="s" s="22"/>
      <c r="C54" t="s" s="22"/>
      <c r="D54" t="s" s="22"/>
      <c r="E54" t="s" s="22"/>
      <c r="F54" t="s" s="22"/>
      <c r="G54" t="s" s="22"/>
      <c r="H54" t="s" s="22"/>
      <c r="I54" t="s" s="22"/>
      <c r="J54" t="s" s="22"/>
      <c r="K54" t="s" s="22"/>
      <c r="L54" t="s" s="22"/>
    </row>
    <row r="55" ht="15.75" customHeight="true">
      <c r="A55" t="s" s="30"/>
      <c r="B55" t="s" s="22"/>
      <c r="C55" t="s" s="22"/>
      <c r="D55" t="s" s="22"/>
      <c r="E55" t="s" s="22"/>
      <c r="F55" t="s" s="22"/>
      <c r="G55" t="s" s="22"/>
      <c r="H55" t="s" s="22"/>
      <c r="I55" t="s" s="22"/>
      <c r="J55" t="s" s="22"/>
      <c r="K55" t="s" s="22"/>
      <c r="L55" t="s" s="22"/>
    </row>
    <row r="56" ht="15.75" customHeight="true">
      <c r="A56" t="s" s="30"/>
      <c r="B56" t="s" s="22"/>
      <c r="C56" t="s" s="22"/>
      <c r="D56" t="s" s="22"/>
      <c r="E56" t="s" s="22"/>
      <c r="F56" t="s" s="22"/>
      <c r="G56" t="s" s="22"/>
      <c r="H56" t="s" s="22"/>
      <c r="I56" t="s" s="22"/>
      <c r="J56" t="s" s="22"/>
      <c r="K56" t="s" s="22"/>
      <c r="L56" t="s" s="22"/>
    </row>
    <row r="57" ht="15.75" customHeight="true">
      <c r="A57" t="s" s="30"/>
      <c r="B57" t="s" s="22"/>
      <c r="C57" t="s" s="22"/>
      <c r="D57" t="s" s="22"/>
      <c r="E57" t="s" s="22"/>
      <c r="F57" t="s" s="22"/>
      <c r="G57" t="s" s="22"/>
      <c r="H57" t="s" s="22"/>
      <c r="I57" t="s" s="22"/>
      <c r="J57" t="s" s="22"/>
      <c r="K57" t="s" s="22"/>
      <c r="L57" t="s" s="22"/>
    </row>
    <row r="58" ht="15.75" customHeight="true">
      <c r="A58" t="s" s="30"/>
      <c r="B58" t="s" s="22"/>
      <c r="C58" t="s" s="22"/>
      <c r="D58" t="s" s="22"/>
      <c r="E58" t="s" s="22"/>
      <c r="F58" t="s" s="22"/>
      <c r="G58" t="s" s="22"/>
      <c r="H58" t="s" s="22"/>
      <c r="I58" t="s" s="22"/>
      <c r="J58" t="s" s="22"/>
      <c r="K58" t="s" s="22"/>
      <c r="L58" t="s" s="22"/>
    </row>
    <row r="59" ht="15.75" customHeight="true">
      <c r="A59" t="s" s="13"/>
      <c r="B59" t="s" s="14"/>
      <c r="C59" t="s" s="14"/>
      <c r="D59" t="s" s="14"/>
      <c r="E59" t="s" s="14"/>
      <c r="F59" t="s" s="14"/>
      <c r="G59" t="s" s="14"/>
      <c r="H59" t="s" s="14"/>
      <c r="I59" t="s" s="14"/>
      <c r="J59" t="s" s="14"/>
      <c r="K59" t="s" s="14"/>
      <c r="L59" t="s" s="14"/>
    </row>
    <row r="60" ht="15.75" customHeight="true">
      <c r="A60" t="s" s="13"/>
      <c r="B60" t="s" s="14"/>
      <c r="C60" t="s" s="14"/>
      <c r="D60" t="s" s="14"/>
      <c r="E60" t="s" s="14"/>
      <c r="F60" t="s" s="14"/>
      <c r="G60" t="s" s="14"/>
      <c r="H60" t="s" s="14"/>
      <c r="I60" t="s" s="14"/>
      <c r="J60" t="s" s="14"/>
      <c r="K60" t="s" s="14"/>
      <c r="L60" t="s" s="14"/>
    </row>
    <row r="61" ht="15.75" customHeight="true">
      <c r="A61" t="s" s="13"/>
      <c r="B61" t="s" s="14"/>
      <c r="C61" t="s" s="14"/>
      <c r="D61" t="s" s="14"/>
      <c r="E61" t="s" s="14"/>
      <c r="F61" t="s" s="14"/>
      <c r="G61" t="s" s="14"/>
      <c r="H61" t="s" s="14"/>
      <c r="I61" t="s" s="14"/>
      <c r="J61" t="s" s="14"/>
      <c r="K61" t="s" s="14"/>
      <c r="L61" t="s" s="14"/>
    </row>
    <row r="62" ht="15.75" customHeight="true">
      <c r="A62" t="s" s="13"/>
      <c r="B62" t="s" s="14"/>
      <c r="C62" t="s" s="14"/>
      <c r="D62" t="s" s="14"/>
      <c r="E62" t="s" s="14"/>
      <c r="F62" t="s" s="14"/>
      <c r="G62" t="s" s="14"/>
      <c r="H62" t="s" s="14"/>
      <c r="I62" t="s" s="14"/>
      <c r="J62" t="s" s="14"/>
      <c r="K62" t="s" s="14"/>
      <c r="L62" t="s" s="14"/>
    </row>
    <row r="63" ht="15.75" customHeight="true">
      <c r="A63" t="s" s="13"/>
      <c r="B63" t="s" s="14"/>
      <c r="C63" t="s" s="14"/>
      <c r="D63" t="s" s="14"/>
      <c r="E63" t="s" s="14"/>
      <c r="F63" t="s" s="14"/>
      <c r="G63" t="s" s="14"/>
      <c r="H63" t="s" s="14"/>
      <c r="I63" t="s" s="14"/>
      <c r="J63" t="s" s="14"/>
      <c r="K63" t="s" s="14"/>
      <c r="L63" t="s" s="14"/>
    </row>
    <row r="64" ht="15.75" customHeight="true">
      <c r="A64" t="s" s="13"/>
      <c r="B64" t="s" s="14"/>
      <c r="C64" t="s" s="14"/>
      <c r="D64" t="s" s="14"/>
      <c r="E64" t="s" s="14"/>
      <c r="F64" t="s" s="14"/>
      <c r="G64" t="s" s="14"/>
      <c r="H64" t="s" s="14"/>
      <c r="I64" t="s" s="14"/>
      <c r="J64" t="s" s="14"/>
      <c r="K64" t="s" s="14"/>
      <c r="L64" t="s" s="14"/>
    </row>
    <row r="65" ht="15.75" customHeight="true">
      <c r="A65" t="s" s="13"/>
      <c r="B65" t="s" s="14"/>
      <c r="C65" t="s" s="14"/>
      <c r="D65" t="s" s="14"/>
      <c r="E65" t="s" s="14"/>
      <c r="F65" t="s" s="14"/>
      <c r="G65" t="s" s="14"/>
      <c r="H65" t="s" s="14"/>
      <c r="I65" t="s" s="14"/>
      <c r="J65" t="s" s="14"/>
      <c r="K65" t="s" s="14"/>
      <c r="L65" t="s" s="14"/>
    </row>
    <row r="66" ht="15.75" customHeight="true">
      <c r="A66" t="s" s="13"/>
      <c r="B66" t="s" s="14"/>
      <c r="C66" t="s" s="14"/>
      <c r="D66" t="s" s="14"/>
      <c r="E66" t="s" s="14"/>
      <c r="F66" t="s" s="14"/>
      <c r="G66" t="s" s="14"/>
      <c r="H66" t="s" s="14"/>
      <c r="I66" t="s" s="14"/>
      <c r="J66" t="s" s="14"/>
      <c r="K66" t="s" s="14"/>
      <c r="L66" t="s" s="14"/>
    </row>
    <row r="67" ht="15.75" customHeight="true">
      <c r="A67" t="s" s="13"/>
      <c r="B67" t="s" s="14"/>
      <c r="C67" t="s" s="14"/>
      <c r="D67" t="s" s="14"/>
      <c r="E67" t="s" s="14"/>
      <c r="F67" t="s" s="14"/>
      <c r="G67" t="s" s="14"/>
      <c r="H67" t="s" s="14"/>
      <c r="I67" t="s" s="14"/>
      <c r="J67" t="s" s="14"/>
      <c r="K67" t="s" s="14"/>
      <c r="L67" t="s" s="14"/>
    </row>
    <row r="68" ht="15.75" customHeight="true">
      <c r="A68" t="s" s="13"/>
      <c r="B68" t="s" s="14"/>
      <c r="C68" t="s" s="14"/>
      <c r="D68" t="s" s="14"/>
      <c r="E68" t="s" s="14"/>
      <c r="F68" t="s" s="14"/>
      <c r="G68" t="s" s="14"/>
      <c r="H68" t="s" s="14"/>
      <c r="I68" t="s" s="14"/>
      <c r="J68" t="s" s="14"/>
      <c r="K68" t="s" s="14"/>
      <c r="L68" t="s" s="14"/>
    </row>
    <row r="69" ht="15.75" customHeight="true">
      <c r="A69" t="s" s="13"/>
      <c r="B69" t="s" s="14"/>
      <c r="C69" t="s" s="14"/>
      <c r="D69" t="s" s="14"/>
      <c r="E69" t="s" s="14"/>
      <c r="F69" t="s" s="14"/>
      <c r="G69" t="s" s="14"/>
      <c r="H69" t="s" s="14"/>
      <c r="I69" t="s" s="14"/>
      <c r="J69" t="s" s="14"/>
      <c r="K69" t="s" s="14"/>
      <c r="L69" t="s" s="14"/>
    </row>
    <row r="70" ht="15.75" customHeight="true">
      <c r="A70" t="s" s="13"/>
      <c r="B70" t="s" s="14"/>
      <c r="C70" t="s" s="14"/>
      <c r="D70" t="s" s="14"/>
      <c r="E70" t="s" s="14"/>
      <c r="F70" t="s" s="14"/>
      <c r="G70" t="s" s="14"/>
      <c r="H70" t="s" s="14"/>
      <c r="I70" t="s" s="14"/>
      <c r="J70" t="s" s="14"/>
      <c r="K70" t="s" s="14"/>
      <c r="L70" t="s" s="14"/>
    </row>
    <row r="71" ht="15.75" customHeight="true">
      <c r="A71" t="s" s="13"/>
      <c r="B71" t="s" s="14"/>
      <c r="C71" t="s" s="14"/>
      <c r="D71" t="s" s="14"/>
      <c r="E71" t="s" s="14"/>
      <c r="F71" t="s" s="14"/>
      <c r="G71" t="s" s="14"/>
      <c r="H71" t="s" s="14"/>
      <c r="I71" t="s" s="14"/>
      <c r="J71" t="s" s="14"/>
      <c r="K71" t="s" s="14"/>
      <c r="L71" t="s" s="14"/>
    </row>
    <row r="72" ht="15.75" customHeight="true">
      <c r="A72" t="s" s="13"/>
      <c r="B72" t="s" s="14"/>
      <c r="C72" t="s" s="14"/>
      <c r="D72" t="s" s="14"/>
      <c r="E72" t="s" s="14"/>
      <c r="F72" t="s" s="14"/>
      <c r="G72" t="s" s="14"/>
      <c r="H72" t="s" s="14"/>
      <c r="I72" t="s" s="14"/>
      <c r="J72" t="s" s="14"/>
      <c r="K72" t="s" s="14"/>
      <c r="L72" t="s" s="14"/>
    </row>
    <row r="73" ht="15.75" customHeight="true">
      <c r="A73" t="s" s="13"/>
      <c r="B73" t="s" s="14"/>
      <c r="C73" t="s" s="14"/>
      <c r="D73" t="s" s="14"/>
      <c r="E73" t="s" s="14"/>
      <c r="F73" t="s" s="14"/>
      <c r="G73" t="s" s="14"/>
      <c r="H73" t="s" s="14"/>
      <c r="I73" t="s" s="14"/>
      <c r="J73" t="s" s="14"/>
      <c r="K73" t="s" s="14"/>
      <c r="L73" t="s" s="14"/>
    </row>
    <row r="74" ht="15.75" customHeight="true">
      <c r="A74" t="s" s="13"/>
      <c r="B74" t="s" s="14"/>
      <c r="C74" t="s" s="14"/>
      <c r="D74" t="s" s="14"/>
      <c r="E74" t="s" s="14"/>
      <c r="F74" t="s" s="14"/>
      <c r="G74" t="s" s="14"/>
      <c r="H74" t="s" s="14"/>
      <c r="I74" t="s" s="14"/>
      <c r="J74" t="s" s="14"/>
      <c r="K74" t="s" s="14"/>
      <c r="L74" t="s" s="14"/>
    </row>
    <row r="75" ht="15.75" customHeight="true">
      <c r="A75" t="s" s="13"/>
      <c r="B75" t="s" s="14"/>
      <c r="C75" t="s" s="14"/>
      <c r="D75" t="s" s="14"/>
      <c r="E75" t="s" s="14"/>
      <c r="F75" t="s" s="14"/>
      <c r="G75" t="s" s="14"/>
      <c r="H75" t="s" s="14"/>
      <c r="I75" t="s" s="14"/>
      <c r="J75" t="s" s="14"/>
      <c r="K75" t="s" s="14"/>
      <c r="L75" t="s" s="14"/>
    </row>
    <row r="76" ht="15.75" customHeight="true">
      <c r="A76" t="s" s="13"/>
      <c r="B76" t="s" s="14"/>
      <c r="C76" t="s" s="14"/>
      <c r="D76" t="s" s="14"/>
      <c r="E76" t="s" s="14"/>
      <c r="F76" t="s" s="14"/>
      <c r="G76" t="s" s="14"/>
      <c r="H76" t="s" s="14"/>
      <c r="I76" t="s" s="14"/>
      <c r="J76" t="s" s="14"/>
      <c r="K76" t="s" s="14"/>
      <c r="L76" t="s" s="14"/>
    </row>
    <row r="77" ht="15.75" customHeight="true">
      <c r="A77" t="s" s="13"/>
      <c r="B77" t="s" s="14"/>
      <c r="C77" t="s" s="14"/>
      <c r="D77" t="s" s="14"/>
      <c r="E77" t="s" s="14"/>
      <c r="F77" t="s" s="14"/>
      <c r="G77" t="s" s="14"/>
      <c r="H77" t="s" s="14"/>
      <c r="I77" t="s" s="14"/>
      <c r="J77" t="s" s="14"/>
      <c r="K77" t="s" s="14"/>
      <c r="L77" t="s" s="14"/>
    </row>
    <row r="78" ht="15.75" customHeight="true">
      <c r="A78" t="s" s="13"/>
      <c r="B78" t="s" s="14"/>
      <c r="C78" t="s" s="14"/>
      <c r="D78" t="s" s="14"/>
      <c r="E78" t="s" s="14"/>
      <c r="F78" t="s" s="14"/>
      <c r="G78" t="s" s="14"/>
      <c r="H78" t="s" s="14"/>
      <c r="I78" t="s" s="14"/>
      <c r="J78" t="s" s="14"/>
      <c r="K78" t="s" s="14"/>
      <c r="L78" t="s" s="14"/>
    </row>
    <row r="79" ht="15.75" customHeight="true">
      <c r="A79" t="s" s="13"/>
      <c r="B79" t="s" s="14"/>
      <c r="C79" t="s" s="14"/>
      <c r="D79" t="s" s="14"/>
      <c r="E79" t="s" s="14"/>
      <c r="F79" t="s" s="14"/>
      <c r="G79" t="s" s="14"/>
      <c r="H79" t="s" s="14"/>
      <c r="I79" t="s" s="14"/>
      <c r="J79" t="s" s="14"/>
      <c r="K79" t="s" s="14"/>
      <c r="L79" t="s" s="14"/>
    </row>
    <row r="80" ht="15.75" customHeight="true">
      <c r="A80" t="s" s="13"/>
      <c r="B80" t="s" s="14"/>
      <c r="C80" t="s" s="14"/>
      <c r="D80" t="s" s="14"/>
      <c r="E80" t="s" s="14"/>
      <c r="F80" t="s" s="14"/>
      <c r="G80" t="s" s="14"/>
      <c r="H80" t="s" s="14"/>
      <c r="I80" t="s" s="14"/>
      <c r="J80" t="s" s="14"/>
      <c r="K80" t="s" s="14"/>
      <c r="L80" t="s" s="14"/>
    </row>
    <row r="81" ht="15.75" customHeight="true">
      <c r="A81" t="s" s="13"/>
      <c r="B81" t="s" s="14"/>
      <c r="C81" t="s" s="14"/>
      <c r="D81" t="s" s="14"/>
      <c r="E81" t="s" s="14"/>
      <c r="F81" t="s" s="14"/>
      <c r="G81" t="s" s="14"/>
      <c r="H81" t="s" s="14"/>
      <c r="I81" t="s" s="14"/>
      <c r="J81" t="s" s="14"/>
      <c r="K81" t="s" s="14"/>
      <c r="L81" t="s" s="14"/>
    </row>
    <row r="82" ht="15.75" customHeight="true">
      <c r="A82" t="s" s="13"/>
      <c r="B82" t="s" s="14"/>
      <c r="C82" t="s" s="14"/>
      <c r="D82" t="s" s="14"/>
      <c r="E82" t="s" s="14"/>
      <c r="F82" t="s" s="14"/>
      <c r="G82" t="s" s="14"/>
      <c r="H82" t="s" s="14"/>
      <c r="I82" t="s" s="14"/>
      <c r="J82" t="s" s="14"/>
      <c r="K82" t="s" s="14"/>
      <c r="L82" t="s" s="14"/>
    </row>
    <row r="83" ht="15.75" customHeight="true">
      <c r="A83" t="s" s="13"/>
      <c r="B83" t="s" s="14"/>
      <c r="C83" t="s" s="14"/>
      <c r="D83" t="s" s="14"/>
      <c r="E83" t="s" s="14"/>
      <c r="F83" t="s" s="14"/>
      <c r="G83" t="s" s="14"/>
      <c r="H83" t="s" s="14"/>
      <c r="I83" t="s" s="14"/>
      <c r="J83" t="s" s="14"/>
      <c r="K83" t="s" s="14"/>
      <c r="L83" t="s" s="14"/>
    </row>
    <row r="84" ht="15.75" customHeight="true">
      <c r="A84" t="s" s="13"/>
      <c r="B84" t="s" s="14"/>
      <c r="C84" t="s" s="14"/>
      <c r="D84" t="s" s="14"/>
      <c r="E84" t="s" s="14"/>
      <c r="F84" t="s" s="14"/>
      <c r="G84" t="s" s="14"/>
      <c r="H84" t="s" s="14"/>
      <c r="I84" t="s" s="14"/>
      <c r="J84" t="s" s="14"/>
      <c r="K84" t="s" s="14"/>
      <c r="L84" t="s" s="14"/>
    </row>
    <row r="85" ht="15.75" customHeight="true">
      <c r="A85" t="s" s="13"/>
      <c r="B85" t="s" s="14"/>
      <c r="C85" t="s" s="14"/>
      <c r="D85" t="s" s="14"/>
      <c r="E85" t="s" s="14"/>
      <c r="F85" t="s" s="14"/>
      <c r="G85" t="s" s="14"/>
      <c r="H85" t="s" s="14"/>
      <c r="I85" t="s" s="14"/>
      <c r="J85" t="s" s="14"/>
      <c r="K85" t="s" s="14"/>
      <c r="L85" t="s" s="14"/>
    </row>
    <row r="86" ht="15.75" customHeight="true">
      <c r="A86" t="s" s="13"/>
      <c r="B86" t="s" s="14"/>
      <c r="C86" t="s" s="14"/>
      <c r="D86" t="s" s="14"/>
      <c r="E86" t="s" s="14"/>
      <c r="F86" t="s" s="14"/>
      <c r="G86" t="s" s="14"/>
      <c r="H86" t="s" s="14"/>
      <c r="I86" t="s" s="14"/>
      <c r="J86" t="s" s="14"/>
      <c r="K86" t="s" s="14"/>
      <c r="L86" t="s" s="14"/>
    </row>
    <row r="87" ht="15.75" customHeight="true">
      <c r="A87" t="s" s="13"/>
      <c r="B87" t="s" s="14"/>
      <c r="C87" t="s" s="14"/>
      <c r="D87" t="s" s="14"/>
      <c r="E87" t="s" s="14"/>
      <c r="F87" t="s" s="14"/>
      <c r="G87" t="s" s="14"/>
      <c r="H87" t="s" s="14"/>
      <c r="I87" t="s" s="14"/>
      <c r="J87" t="s" s="14"/>
      <c r="K87" t="s" s="14"/>
      <c r="L87" t="s" s="14"/>
    </row>
    <row r="88" ht="15.75" customHeight="true">
      <c r="A88" t="s" s="13"/>
      <c r="B88" t="s" s="14"/>
      <c r="C88" t="s" s="14"/>
      <c r="D88" t="s" s="14"/>
      <c r="E88" t="s" s="14"/>
      <c r="F88" t="s" s="14"/>
      <c r="G88" t="s" s="14"/>
      <c r="H88" t="s" s="14"/>
      <c r="I88" t="s" s="14"/>
      <c r="J88" t="s" s="14"/>
      <c r="K88" t="s" s="14"/>
      <c r="L88" t="s" s="14"/>
    </row>
    <row r="89" ht="15.75" customHeight="true">
      <c r="A89" t="s" s="13"/>
      <c r="B89" t="s" s="14"/>
      <c r="C89" t="s" s="14"/>
      <c r="D89" t="s" s="14"/>
      <c r="E89" t="s" s="14"/>
      <c r="F89" t="s" s="14"/>
      <c r="G89" t="s" s="14"/>
      <c r="H89" t="s" s="14"/>
      <c r="I89" t="s" s="14"/>
      <c r="J89" t="s" s="14"/>
      <c r="K89" t="s" s="14"/>
      <c r="L89" t="s" s="14"/>
    </row>
    <row r="90" ht="15.75" customHeight="true">
      <c r="A90" t="s" s="13"/>
      <c r="B90" t="s" s="14"/>
      <c r="C90" t="s" s="14"/>
      <c r="D90" t="s" s="14"/>
      <c r="E90" t="s" s="14"/>
      <c r="F90" t="s" s="14"/>
      <c r="G90" t="s" s="14"/>
      <c r="H90" t="s" s="14"/>
      <c r="I90" t="s" s="14"/>
      <c r="J90" t="s" s="14"/>
      <c r="K90" t="s" s="14"/>
      <c r="L90" t="s" s="14"/>
    </row>
    <row r="91" ht="15.75" customHeight="true">
      <c r="A91" t="s" s="13"/>
      <c r="B91" t="s" s="14"/>
      <c r="C91" t="s" s="14"/>
      <c r="D91" t="s" s="14"/>
      <c r="E91" t="s" s="14"/>
      <c r="F91" t="s" s="14"/>
      <c r="G91" t="s" s="14"/>
      <c r="H91" t="s" s="14"/>
      <c r="I91" t="s" s="14"/>
      <c r="J91" t="s" s="14"/>
      <c r="K91" t="s" s="14"/>
      <c r="L91" t="s" s="14"/>
    </row>
    <row r="92" ht="15.75" customHeight="true">
      <c r="A92" t="s" s="13"/>
      <c r="B92" t="s" s="14"/>
      <c r="C92" t="s" s="14"/>
      <c r="D92" t="s" s="14"/>
      <c r="E92" t="s" s="14"/>
      <c r="F92" t="s" s="14"/>
      <c r="G92" t="s" s="14"/>
      <c r="H92" t="s" s="14"/>
      <c r="I92" t="s" s="14"/>
      <c r="J92" t="s" s="14"/>
      <c r="K92" t="s" s="14"/>
      <c r="L92" t="s" s="14"/>
    </row>
    <row r="93" ht="15.75" customHeight="true">
      <c r="A93" t="s" s="13"/>
      <c r="B93" t="s" s="14"/>
      <c r="C93" t="s" s="14"/>
      <c r="D93" t="s" s="14"/>
      <c r="E93" t="s" s="14"/>
      <c r="F93" t="s" s="14"/>
      <c r="G93" t="s" s="14"/>
      <c r="H93" t="s" s="14"/>
      <c r="I93" t="s" s="14"/>
      <c r="J93" t="s" s="14"/>
      <c r="K93" t="s" s="14"/>
      <c r="L93" t="s" s="14"/>
    </row>
    <row r="94" ht="15.75" customHeight="true">
      <c r="A94" t="s" s="13"/>
      <c r="B94" t="s" s="14"/>
      <c r="C94" t="s" s="14"/>
      <c r="D94" t="s" s="14"/>
      <c r="E94" t="s" s="14"/>
      <c r="F94" t="s" s="14"/>
      <c r="G94" t="s" s="14"/>
      <c r="H94" t="s" s="14"/>
      <c r="I94" t="s" s="14"/>
      <c r="J94" t="s" s="14"/>
      <c r="K94" t="s" s="14"/>
      <c r="L94" t="s" s="14"/>
    </row>
    <row r="95" ht="15.75" customHeight="true">
      <c r="A95" t="s" s="13"/>
      <c r="B95" t="s" s="14"/>
      <c r="C95" t="s" s="14"/>
      <c r="D95" t="s" s="14"/>
      <c r="E95" t="s" s="14"/>
      <c r="F95" t="s" s="14"/>
      <c r="G95" t="s" s="14"/>
      <c r="H95" t="s" s="14"/>
      <c r="I95" t="s" s="14"/>
      <c r="J95" t="s" s="14"/>
      <c r="K95" t="s" s="14"/>
      <c r="L95" t="s" s="14"/>
    </row>
    <row r="96" ht="15.75" customHeight="true">
      <c r="A96" t="s" s="13"/>
      <c r="B96" t="s" s="14"/>
      <c r="C96" t="s" s="14"/>
      <c r="D96" t="s" s="14"/>
      <c r="E96" t="s" s="14"/>
      <c r="F96" t="s" s="14"/>
      <c r="G96" t="s" s="14"/>
      <c r="H96" t="s" s="14"/>
      <c r="I96" t="s" s="14"/>
      <c r="J96" t="s" s="14"/>
      <c r="K96" t="s" s="14"/>
      <c r="L96" t="s" s="14"/>
    </row>
    <row r="97" ht="15.75" customHeight="true">
      <c r="A97" t="s" s="13"/>
      <c r="B97" t="s" s="14"/>
      <c r="C97" t="s" s="14"/>
      <c r="D97" t="s" s="14"/>
      <c r="E97" t="s" s="14"/>
      <c r="F97" t="s" s="14"/>
      <c r="G97" t="s" s="14"/>
      <c r="H97" t="s" s="14"/>
      <c r="I97" t="s" s="14"/>
      <c r="J97" t="s" s="14"/>
      <c r="K97" t="s" s="14"/>
      <c r="L97" t="s" s="14"/>
    </row>
    <row r="98" ht="15.75" customHeight="true">
      <c r="A98" t="s" s="13"/>
      <c r="B98" t="s" s="14"/>
      <c r="C98" t="s" s="14"/>
      <c r="D98" t="s" s="14"/>
      <c r="E98" t="s" s="14"/>
      <c r="F98" t="s" s="14"/>
      <c r="G98" t="s" s="14"/>
      <c r="H98" t="s" s="14"/>
      <c r="I98" t="s" s="14"/>
      <c r="J98" t="s" s="14"/>
      <c r="K98" t="s" s="14"/>
      <c r="L98" t="s" s="14"/>
    </row>
    <row r="99" ht="15.75" customHeight="true">
      <c r="A99" t="s" s="13"/>
      <c r="B99" t="s" s="14"/>
      <c r="C99" t="s" s="14"/>
      <c r="D99" t="s" s="14"/>
      <c r="E99" t="s" s="14"/>
      <c r="F99" t="s" s="14"/>
      <c r="G99" t="s" s="14"/>
      <c r="H99" t="s" s="14"/>
      <c r="I99" t="s" s="14"/>
      <c r="J99" t="s" s="14"/>
      <c r="K99" t="s" s="14"/>
      <c r="L99" t="s" s="14"/>
    </row>
    <row r="100" ht="15.75" customHeight="true">
      <c r="A100" t="s" s="13"/>
      <c r="B100" t="s" s="14"/>
      <c r="C100" t="s" s="14"/>
      <c r="D100" t="s" s="14"/>
      <c r="E100" t="s" s="14"/>
      <c r="F100" t="s" s="14"/>
      <c r="G100" t="s" s="14"/>
      <c r="H100" t="s" s="14"/>
      <c r="I100" t="s" s="14"/>
      <c r="J100" t="s" s="14"/>
      <c r="K100" t="s" s="14"/>
      <c r="L100" t="s" s="14"/>
    </row>
    <row r="101" ht="15.75" customHeight="true">
      <c r="A101" t="s" s="13"/>
      <c r="B101" t="s" s="14"/>
      <c r="C101" t="s" s="14"/>
      <c r="D101" t="s" s="14"/>
      <c r="E101" t="s" s="14"/>
      <c r="F101" t="s" s="14"/>
      <c r="G101" t="s" s="14"/>
      <c r="H101" t="s" s="14"/>
      <c r="I101" t="s" s="14"/>
      <c r="J101" t="s" s="14"/>
      <c r="K101" t="s" s="14"/>
      <c r="L101" t="s" s="14"/>
    </row>
    <row r="102" ht="15.75" customHeight="true">
      <c r="A102" t="s" s="13"/>
      <c r="B102" t="s" s="14"/>
      <c r="C102" t="s" s="14"/>
      <c r="D102" t="s" s="14"/>
      <c r="E102" t="s" s="14"/>
      <c r="F102" t="s" s="14"/>
      <c r="G102" t="s" s="14"/>
      <c r="H102" t="s" s="14"/>
      <c r="I102" t="s" s="14"/>
      <c r="J102" t="s" s="14"/>
      <c r="K102" t="s" s="14"/>
      <c r="L102" t="s" s="14"/>
    </row>
    <row r="103" ht="15.75" customHeight="true">
      <c r="A103" t="s" s="13"/>
      <c r="B103" t="s" s="14"/>
      <c r="C103" t="s" s="14"/>
      <c r="D103" t="s" s="14"/>
      <c r="E103" t="s" s="14"/>
      <c r="F103" t="s" s="14"/>
      <c r="G103" t="s" s="14"/>
      <c r="H103" t="s" s="14"/>
      <c r="I103" t="s" s="14"/>
      <c r="J103" t="s" s="14"/>
      <c r="K103" t="s" s="14"/>
      <c r="L103" t="s" s="14"/>
    </row>
    <row r="104" ht="15.75" customHeight="true">
      <c r="A104" t="s" s="13"/>
      <c r="B104" t="s" s="14"/>
      <c r="C104" t="s" s="14"/>
      <c r="D104" t="s" s="14"/>
      <c r="E104" t="s" s="14"/>
      <c r="F104" t="s" s="14"/>
      <c r="G104" t="s" s="14"/>
      <c r="H104" t="s" s="14"/>
      <c r="I104" t="s" s="14"/>
      <c r="J104" t="s" s="14"/>
      <c r="K104" t="s" s="14"/>
      <c r="L104" t="s" s="14"/>
    </row>
    <row r="105" ht="15.75" customHeight="true">
      <c r="A105" t="s" s="13"/>
      <c r="B105" t="s" s="14"/>
      <c r="C105" t="s" s="14"/>
      <c r="D105" t="s" s="14"/>
      <c r="E105" t="s" s="14"/>
      <c r="F105" t="s" s="14"/>
      <c r="G105" t="s" s="14"/>
      <c r="H105" t="s" s="14"/>
      <c r="I105" t="s" s="14"/>
      <c r="J105" t="s" s="14"/>
      <c r="K105" t="s" s="14"/>
      <c r="L105" t="s" s="14"/>
    </row>
    <row r="106" ht="15.75" customHeight="true">
      <c r="A106" t="s" s="13"/>
      <c r="B106" t="s" s="14"/>
      <c r="C106" t="s" s="14"/>
      <c r="D106" t="s" s="14"/>
      <c r="E106" t="s" s="14"/>
      <c r="F106" t="s" s="14"/>
      <c r="G106" t="s" s="14"/>
      <c r="H106" t="s" s="14"/>
      <c r="I106" t="s" s="14"/>
      <c r="J106" t="s" s="14"/>
      <c r="K106" t="s" s="14"/>
      <c r="L106" t="s" s="14"/>
    </row>
    <row r="107" ht="15.75" customHeight="true">
      <c r="A107" t="s" s="13"/>
      <c r="B107" t="s" s="14"/>
      <c r="C107" t="s" s="14"/>
      <c r="D107" t="s" s="14"/>
      <c r="E107" t="s" s="14"/>
      <c r="F107" t="s" s="14"/>
      <c r="G107" t="s" s="14"/>
      <c r="H107" t="s" s="14"/>
      <c r="I107" t="s" s="14"/>
      <c r="J107" t="s" s="14"/>
      <c r="K107" t="s" s="14"/>
      <c r="L107" t="s" s="14"/>
    </row>
    <row r="108" ht="15.75" customHeight="true">
      <c r="A108" t="s" s="13"/>
      <c r="B108" t="s" s="14"/>
      <c r="C108" t="s" s="14"/>
      <c r="D108" t="s" s="14"/>
      <c r="E108" t="s" s="14"/>
      <c r="F108" t="s" s="14"/>
      <c r="G108" t="s" s="14"/>
      <c r="H108" t="s" s="14"/>
      <c r="I108" t="s" s="14"/>
      <c r="J108" t="s" s="14"/>
      <c r="K108" t="s" s="14"/>
      <c r="L108" t="s" s="14"/>
    </row>
    <row r="109" ht="15.75" customHeight="true">
      <c r="A109" t="s" s="13"/>
      <c r="B109" t="s" s="14"/>
      <c r="C109" t="s" s="14"/>
      <c r="D109" t="s" s="14"/>
      <c r="E109" t="s" s="14"/>
      <c r="F109" t="s" s="14"/>
      <c r="G109" t="s" s="14"/>
      <c r="H109" t="s" s="14"/>
      <c r="I109" t="s" s="14"/>
      <c r="J109" t="s" s="14"/>
      <c r="K109" t="s" s="14"/>
      <c r="L109" t="s" s="14"/>
    </row>
    <row r="110" ht="15.75" customHeight="true">
      <c r="A110" t="s" s="15"/>
      <c r="B110" t="s" s="8"/>
      <c r="C110" t="s" s="8"/>
      <c r="D110" t="s" s="8"/>
      <c r="E110" t="s" s="8"/>
      <c r="F110" t="s" s="8"/>
      <c r="G110" t="s" s="8"/>
      <c r="H110" t="s" s="8"/>
      <c r="I110" t="s" s="8"/>
      <c r="J110" t="s" s="8"/>
      <c r="K110" t="s" s="8"/>
      <c r="L110" t="s" s="8"/>
    </row>
    <row r="111" ht="15.75" customHeight="true">
      <c r="A111" t="s" s="15"/>
      <c r="B111" t="s" s="8"/>
      <c r="C111" t="s" s="8"/>
      <c r="D111" t="s" s="8"/>
      <c r="E111" t="s" s="8"/>
      <c r="F111" t="s" s="8"/>
      <c r="G111" t="s" s="8"/>
      <c r="H111" t="s" s="8"/>
      <c r="I111" t="s" s="8"/>
      <c r="J111" t="s" s="8"/>
      <c r="K111" t="s" s="8"/>
      <c r="L111" t="s" s="8"/>
    </row>
    <row r="112" ht="15.75" customHeight="true">
      <c r="A112" t="s" s="15"/>
      <c r="B112" t="s" s="8"/>
      <c r="C112" t="s" s="8"/>
      <c r="D112" t="s" s="8"/>
      <c r="E112" t="s" s="8"/>
      <c r="F112" t="s" s="8"/>
      <c r="G112" t="s" s="8"/>
      <c r="H112" t="s" s="8"/>
      <c r="I112" t="s" s="8"/>
      <c r="J112" t="s" s="8"/>
      <c r="K112" t="s" s="8"/>
      <c r="L112" t="s" s="8"/>
    </row>
    <row r="113" ht="15.75" customHeight="true">
      <c r="A113" t="s" s="15"/>
      <c r="B113" t="s" s="8"/>
      <c r="C113" t="s" s="8"/>
      <c r="D113" t="s" s="8"/>
      <c r="E113" t="s" s="8"/>
      <c r="F113" t="s" s="8"/>
      <c r="G113" t="s" s="8"/>
      <c r="H113" t="s" s="8"/>
      <c r="I113" t="s" s="8"/>
      <c r="J113" t="s" s="8"/>
      <c r="K113" t="s" s="8"/>
      <c r="L113" t="s" s="8"/>
    </row>
    <row r="114" ht="15.75" customHeight="true">
      <c r="A114" t="s" s="15"/>
      <c r="B114" t="s" s="8"/>
      <c r="C114" t="s" s="8"/>
      <c r="D114" t="s" s="8"/>
      <c r="E114" t="s" s="8"/>
      <c r="F114" t="s" s="8"/>
      <c r="G114" t="s" s="8"/>
      <c r="H114" t="s" s="8"/>
      <c r="I114" t="s" s="8"/>
      <c r="J114" t="s" s="8"/>
      <c r="K114" t="s" s="8"/>
      <c r="L114" t="s" s="8"/>
    </row>
    <row r="115" ht="15.75" customHeight="true">
      <c r="A115" t="s" s="15"/>
      <c r="B115" t="s" s="8"/>
      <c r="C115" t="s" s="8"/>
      <c r="D115" t="s" s="8"/>
      <c r="E115" t="s" s="8"/>
      <c r="F115" t="s" s="8"/>
      <c r="G115" t="s" s="8"/>
      <c r="H115" t="s" s="8"/>
      <c r="I115" t="s" s="8"/>
      <c r="J115" t="s" s="8"/>
      <c r="K115" t="s" s="8"/>
      <c r="L115" t="s" s="8"/>
    </row>
    <row r="116" ht="15.75" customHeight="true">
      <c r="A116" t="s" s="15"/>
      <c r="B116" t="s" s="8"/>
      <c r="C116" t="s" s="8"/>
      <c r="D116" t="s" s="8"/>
      <c r="E116" t="s" s="8"/>
      <c r="F116" t="s" s="8"/>
      <c r="G116" t="s" s="8"/>
      <c r="H116" t="s" s="8"/>
      <c r="I116" t="s" s="8"/>
      <c r="J116" t="s" s="8"/>
      <c r="K116" t="s" s="8"/>
      <c r="L116" t="s" s="8"/>
    </row>
    <row r="117" ht="15.75" customHeight="true">
      <c r="A117" t="s" s="15"/>
      <c r="B117" t="s" s="8"/>
      <c r="C117" t="s" s="8"/>
      <c r="D117" t="s" s="8"/>
      <c r="E117" t="s" s="8"/>
      <c r="F117" t="s" s="8"/>
      <c r="G117" t="s" s="8"/>
      <c r="H117" t="s" s="8"/>
      <c r="I117" t="s" s="8"/>
      <c r="J117" t="s" s="8"/>
      <c r="K117" t="s" s="8"/>
      <c r="L117" t="s" s="8"/>
    </row>
    <row r="118" ht="15.75" customHeight="true">
      <c r="A118" t="s" s="15"/>
      <c r="B118" t="s" s="8"/>
      <c r="C118" t="s" s="8"/>
      <c r="D118" t="s" s="8"/>
      <c r="E118" t="s" s="8"/>
      <c r="F118" t="s" s="8"/>
      <c r="G118" t="s" s="8"/>
      <c r="H118" t="s" s="8"/>
      <c r="I118" t="s" s="8"/>
      <c r="J118" t="s" s="8"/>
      <c r="K118" t="s" s="8"/>
      <c r="L118" t="s" s="8"/>
    </row>
    <row r="119" ht="15.75" customHeight="true">
      <c r="A119" t="s" s="15"/>
      <c r="B119" t="s" s="8"/>
      <c r="C119" t="s" s="8"/>
      <c r="D119" t="s" s="8"/>
      <c r="E119" t="s" s="8"/>
      <c r="F119" t="s" s="8"/>
      <c r="G119" t="s" s="8"/>
      <c r="H119" t="s" s="8"/>
      <c r="I119" t="s" s="8"/>
      <c r="J119" t="s" s="8"/>
      <c r="K119" t="s" s="8"/>
      <c r="L119" t="s" s="8"/>
    </row>
    <row r="120" ht="15.75" customHeight="true">
      <c r="A120" t="s" s="15"/>
      <c r="B120" t="s" s="8"/>
      <c r="C120" t="s" s="8"/>
      <c r="D120" t="s" s="8"/>
      <c r="E120" t="s" s="8"/>
      <c r="F120" t="s" s="8"/>
      <c r="G120" t="s" s="8"/>
      <c r="H120" t="s" s="8"/>
      <c r="I120" t="s" s="8"/>
      <c r="J120" t="s" s="8"/>
      <c r="K120" t="s" s="8"/>
      <c r="L120" t="s" s="8"/>
    </row>
    <row r="121" ht="15.75" customHeight="true">
      <c r="A121" t="s" s="15"/>
      <c r="B121" t="s" s="8"/>
      <c r="C121" t="s" s="8"/>
      <c r="D121" t="s" s="8"/>
      <c r="E121" t="s" s="8"/>
      <c r="F121" t="s" s="8"/>
      <c r="G121" t="s" s="8"/>
      <c r="H121" t="s" s="8"/>
      <c r="I121" t="s" s="8"/>
      <c r="J121" t="s" s="8"/>
      <c r="K121" t="s" s="8"/>
      <c r="L121" t="s" s="8"/>
    </row>
    <row r="122" ht="15.75" customHeight="true">
      <c r="A122" t="s" s="15"/>
      <c r="B122" t="s" s="8"/>
      <c r="C122" t="s" s="8"/>
      <c r="D122" t="s" s="8"/>
      <c r="E122" t="s" s="8"/>
      <c r="F122" t="s" s="8"/>
      <c r="G122" t="s" s="8"/>
      <c r="H122" t="s" s="8"/>
      <c r="I122" t="s" s="8"/>
      <c r="J122" t="s" s="8"/>
      <c r="K122" t="s" s="8"/>
      <c r="L122" t="s" s="8"/>
    </row>
    <row r="123" ht="15.75" customHeight="true">
      <c r="A123" t="s" s="15"/>
      <c r="B123" t="s" s="8"/>
      <c r="C123" t="s" s="8"/>
      <c r="D123" t="s" s="8"/>
      <c r="E123" t="s" s="8"/>
      <c r="F123" t="s" s="8"/>
      <c r="G123" t="s" s="8"/>
      <c r="H123" t="s" s="8"/>
      <c r="I123" t="s" s="8"/>
      <c r="J123" t="s" s="8"/>
      <c r="K123" t="s" s="8"/>
      <c r="L123" t="s" s="8"/>
    </row>
    <row r="124" ht="15.75" customHeight="true">
      <c r="A124" t="s" s="15"/>
      <c r="B124" t="s" s="8"/>
      <c r="C124" t="s" s="8"/>
      <c r="D124" t="s" s="8"/>
      <c r="E124" t="s" s="8"/>
      <c r="F124" t="s" s="8"/>
      <c r="G124" t="s" s="8"/>
      <c r="H124" t="s" s="8"/>
      <c r="I124" t="s" s="8"/>
      <c r="J124" t="s" s="8"/>
      <c r="K124" t="s" s="8"/>
      <c r="L124" t="s" s="8"/>
    </row>
    <row r="125" ht="15.75" customHeight="true">
      <c r="A125" t="s" s="15"/>
      <c r="B125" t="s" s="8"/>
      <c r="C125" t="s" s="8"/>
      <c r="D125" t="s" s="8"/>
      <c r="E125" t="s" s="8"/>
      <c r="F125" t="s" s="8"/>
      <c r="G125" t="s" s="8"/>
      <c r="H125" t="s" s="8"/>
      <c r="I125" t="s" s="8"/>
      <c r="J125" t="s" s="8"/>
      <c r="K125" t="s" s="8"/>
      <c r="L125" t="s" s="8"/>
    </row>
    <row r="126" ht="15.75" customHeight="true">
      <c r="A126" t="s" s="15"/>
      <c r="B126" t="s" s="8"/>
      <c r="C126" t="s" s="8"/>
      <c r="D126" t="s" s="8"/>
      <c r="E126" t="s" s="8"/>
      <c r="F126" t="s" s="8"/>
      <c r="G126" t="s" s="8"/>
      <c r="H126" t="s" s="8"/>
      <c r="I126" t="s" s="8"/>
      <c r="J126" t="s" s="8"/>
      <c r="K126" t="s" s="8"/>
      <c r="L126" t="s" s="8"/>
    </row>
    <row r="127" ht="15.75" customHeight="true">
      <c r="A127" t="s" s="15"/>
      <c r="B127" t="s" s="8"/>
      <c r="C127" t="s" s="8"/>
      <c r="D127" t="s" s="8"/>
      <c r="E127" t="s" s="8"/>
      <c r="F127" t="s" s="8"/>
      <c r="G127" t="s" s="8"/>
      <c r="H127" t="s" s="8"/>
      <c r="I127" t="s" s="8"/>
      <c r="J127" t="s" s="8"/>
      <c r="K127" t="s" s="8"/>
      <c r="L127" t="s" s="8"/>
    </row>
    <row r="128" ht="15.75" customHeight="true">
      <c r="A128" t="s" s="15"/>
      <c r="B128" t="s" s="8"/>
      <c r="C128" t="s" s="8"/>
      <c r="D128" t="s" s="8"/>
      <c r="E128" t="s" s="8"/>
      <c r="F128" t="s" s="8"/>
      <c r="G128" t="s" s="8"/>
      <c r="H128" t="s" s="8"/>
      <c r="I128" t="s" s="8"/>
      <c r="J128" t="s" s="8"/>
      <c r="K128" t="s" s="8"/>
      <c r="L128" t="s" s="8"/>
    </row>
    <row r="129" ht="15.75" customHeight="true">
      <c r="A129" t="s" s="15"/>
      <c r="B129" t="s" s="8"/>
      <c r="C129" t="s" s="8"/>
      <c r="D129" t="s" s="8"/>
      <c r="E129" t="s" s="8"/>
      <c r="F129" t="s" s="8"/>
      <c r="G129" t="s" s="8"/>
      <c r="H129" t="s" s="8"/>
      <c r="I129" t="s" s="8"/>
      <c r="J129" t="s" s="8"/>
      <c r="K129" t="s" s="8"/>
      <c r="L129" t="s" s="8"/>
    </row>
    <row r="130" ht="15.75" customHeight="true">
      <c r="A130" t="s" s="15"/>
      <c r="B130" t="s" s="8"/>
      <c r="C130" t="s" s="8"/>
      <c r="D130" t="s" s="8"/>
      <c r="E130" t="s" s="8"/>
      <c r="F130" t="s" s="8"/>
      <c r="G130" t="s" s="8"/>
      <c r="H130" t="s" s="8"/>
      <c r="I130" t="s" s="8"/>
      <c r="J130" t="s" s="8"/>
      <c r="K130" t="s" s="8"/>
      <c r="L130" t="s" s="8"/>
    </row>
    <row r="131" ht="15.75" customHeight="true">
      <c r="A131" t="s" s="15"/>
      <c r="B131" t="s" s="8"/>
      <c r="C131" t="s" s="8"/>
      <c r="D131" t="s" s="8"/>
      <c r="E131" t="s" s="8"/>
      <c r="F131" t="s" s="8"/>
      <c r="G131" t="s" s="8"/>
      <c r="H131" t="s" s="8"/>
      <c r="I131" t="s" s="8"/>
      <c r="J131" t="s" s="8"/>
      <c r="K131" t="s" s="8"/>
      <c r="L131" t="s" s="8"/>
    </row>
    <row r="132" ht="15.75" customHeight="true">
      <c r="A132" t="s" s="15"/>
      <c r="B132" t="s" s="8"/>
      <c r="C132" t="s" s="8"/>
      <c r="D132" t="s" s="8"/>
      <c r="E132" t="s" s="8"/>
      <c r="F132" t="s" s="8"/>
      <c r="G132" t="s" s="8"/>
      <c r="H132" t="s" s="8"/>
      <c r="I132" t="s" s="8"/>
      <c r="J132" t="s" s="8"/>
      <c r="K132" t="s" s="8"/>
      <c r="L132" t="s" s="8"/>
    </row>
    <row r="133" ht="15.75" customHeight="true">
      <c r="A133" t="s" s="15"/>
      <c r="B133" t="s" s="8"/>
      <c r="C133" t="s" s="8"/>
      <c r="D133" t="s" s="8"/>
      <c r="E133" t="s" s="8"/>
      <c r="F133" t="s" s="8"/>
      <c r="G133" t="s" s="8"/>
      <c r="H133" t="s" s="8"/>
      <c r="I133" t="s" s="8"/>
      <c r="J133" t="s" s="8"/>
      <c r="K133" t="s" s="8"/>
      <c r="L133" t="s" s="8"/>
    </row>
    <row r="134" ht="15.75" customHeight="true">
      <c r="A134" t="s" s="15"/>
      <c r="B134" t="s" s="8"/>
      <c r="C134" t="s" s="8"/>
      <c r="D134" t="s" s="8"/>
      <c r="E134" t="s" s="8"/>
      <c r="F134" t="s" s="8"/>
      <c r="G134" t="s" s="8"/>
      <c r="H134" t="s" s="8"/>
      <c r="I134" t="s" s="8"/>
      <c r="J134" t="s" s="8"/>
      <c r="K134" t="s" s="8"/>
      <c r="L134" t="s" s="8"/>
    </row>
    <row r="135" ht="15.75" customHeight="true">
      <c r="A135" t="s" s="15"/>
      <c r="B135" t="s" s="8"/>
      <c r="C135" t="s" s="8"/>
      <c r="D135" t="s" s="8"/>
      <c r="E135" t="s" s="8"/>
      <c r="F135" t="s" s="8"/>
      <c r="G135" t="s" s="8"/>
      <c r="H135" t="s" s="8"/>
      <c r="I135" t="s" s="8"/>
      <c r="J135" t="s" s="8"/>
      <c r="K135" t="s" s="8"/>
      <c r="L135" t="s" s="8"/>
    </row>
    <row r="136" ht="15.75" customHeight="true">
      <c r="A136" t="s" s="15"/>
      <c r="B136" t="s" s="8"/>
      <c r="C136" t="s" s="8"/>
      <c r="D136" t="s" s="8"/>
      <c r="E136" t="s" s="8"/>
      <c r="F136" t="s" s="8"/>
      <c r="G136" t="s" s="8"/>
      <c r="H136" t="s" s="8"/>
      <c r="I136" t="s" s="8"/>
      <c r="J136" t="s" s="8"/>
      <c r="K136" t="s" s="8"/>
      <c r="L136" t="s" s="8"/>
    </row>
    <row r="137" ht="15.75" customHeight="true">
      <c r="A137" t="s" s="15"/>
      <c r="B137" t="s" s="8"/>
      <c r="C137" t="s" s="8"/>
      <c r="D137" t="s" s="8"/>
      <c r="E137" t="s" s="8"/>
      <c r="F137" t="s" s="8"/>
      <c r="G137" t="s" s="8"/>
      <c r="H137" t="s" s="8"/>
      <c r="I137" t="s" s="8"/>
      <c r="J137" t="s" s="8"/>
      <c r="K137" t="s" s="8"/>
      <c r="L137" t="s" s="8"/>
    </row>
    <row r="138" ht="15.75" customHeight="true">
      <c r="A138" t="s" s="15"/>
      <c r="B138" t="s" s="8"/>
      <c r="C138" t="s" s="8"/>
      <c r="D138" t="s" s="8"/>
      <c r="E138" t="s" s="8"/>
      <c r="F138" t="s" s="8"/>
      <c r="G138" t="s" s="8"/>
      <c r="H138" t="s" s="8"/>
      <c r="I138" t="s" s="8"/>
      <c r="J138" t="s" s="8"/>
      <c r="K138" t="s" s="8"/>
      <c r="L138" t="s" s="8"/>
    </row>
    <row r="139" ht="15.75" customHeight="true">
      <c r="A139" t="s" s="15"/>
      <c r="B139" t="s" s="8"/>
      <c r="C139" t="s" s="8"/>
      <c r="D139" t="s" s="8"/>
      <c r="E139" t="s" s="8"/>
      <c r="F139" t="s" s="8"/>
      <c r="G139" t="s" s="8"/>
      <c r="H139" t="s" s="8"/>
      <c r="I139" t="s" s="8"/>
      <c r="J139" t="s" s="8"/>
      <c r="K139" t="s" s="8"/>
      <c r="L139" t="s" s="8"/>
    </row>
    <row r="140" ht="15.75" customHeight="true">
      <c r="A140" t="s" s="15"/>
      <c r="B140" t="s" s="8"/>
      <c r="C140" t="s" s="8"/>
      <c r="D140" t="s" s="8"/>
      <c r="E140" t="s" s="8"/>
      <c r="F140" t="s" s="8"/>
      <c r="G140" t="s" s="8"/>
      <c r="H140" t="s" s="8"/>
      <c r="I140" t="s" s="8"/>
      <c r="J140" t="s" s="8"/>
      <c r="K140" t="s" s="8"/>
      <c r="L140" t="s" s="8"/>
    </row>
    <row r="141" ht="15.75" customHeight="true">
      <c r="A141" t="s" s="15"/>
      <c r="B141" t="s" s="8"/>
      <c r="C141" t="s" s="8"/>
      <c r="D141" t="s" s="8"/>
      <c r="E141" t="s" s="8"/>
      <c r="F141" t="s" s="8"/>
      <c r="G141" t="s" s="8"/>
      <c r="H141" t="s" s="8"/>
      <c r="I141" t="s" s="8"/>
      <c r="J141" t="s" s="8"/>
      <c r="K141" t="s" s="8"/>
      <c r="L141" t="s" s="8"/>
    </row>
    <row r="142" ht="15.75" customHeight="true">
      <c r="A142" t="s" s="15"/>
      <c r="B142" t="s" s="8"/>
      <c r="C142" t="s" s="8"/>
      <c r="D142" t="s" s="8"/>
      <c r="E142" t="s" s="8"/>
      <c r="F142" t="s" s="8"/>
      <c r="G142" t="s" s="8"/>
      <c r="H142" t="s" s="8"/>
      <c r="I142" t="s" s="8"/>
      <c r="J142" t="s" s="8"/>
      <c r="K142" t="s" s="8"/>
      <c r="L142" t="s" s="8"/>
    </row>
    <row r="143" ht="15.75" customHeight="true">
      <c r="A143" t="s" s="15"/>
      <c r="B143" t="s" s="8"/>
      <c r="C143" t="s" s="8"/>
      <c r="D143" t="s" s="8"/>
      <c r="E143" t="s" s="8"/>
      <c r="F143" t="s" s="8"/>
      <c r="G143" t="s" s="8"/>
      <c r="H143" t="s" s="8"/>
      <c r="I143" t="s" s="8"/>
      <c r="J143" t="s" s="8"/>
      <c r="K143" t="s" s="8"/>
      <c r="L143" t="s" s="8"/>
    </row>
    <row r="144" ht="15.75" customHeight="true">
      <c r="A144" t="s" s="15"/>
      <c r="B144" t="s" s="8"/>
      <c r="C144" t="s" s="8"/>
      <c r="D144" t="s" s="8"/>
      <c r="E144" t="s" s="8"/>
      <c r="F144" t="s" s="8"/>
      <c r="G144" t="s" s="8"/>
      <c r="H144" t="s" s="8"/>
      <c r="I144" t="s" s="8"/>
      <c r="J144" t="s" s="8"/>
      <c r="K144" t="s" s="8"/>
      <c r="L144" t="s" s="8"/>
    </row>
    <row r="145" ht="15.75" customHeight="true">
      <c r="A145" t="s" s="15"/>
      <c r="B145" t="s" s="8"/>
      <c r="C145" t="s" s="8"/>
      <c r="D145" t="s" s="8"/>
      <c r="E145" t="s" s="8"/>
      <c r="F145" t="s" s="8"/>
      <c r="G145" t="s" s="8"/>
      <c r="H145" t="s" s="8"/>
      <c r="I145" t="s" s="8"/>
      <c r="J145" t="s" s="8"/>
      <c r="K145" t="s" s="8"/>
      <c r="L145" t="s" s="8"/>
    </row>
    <row r="146" ht="15.75" customHeight="true">
      <c r="A146" t="s" s="15"/>
      <c r="B146" t="s" s="8"/>
      <c r="C146" t="s" s="8"/>
      <c r="D146" t="s" s="8"/>
      <c r="E146" t="s" s="8"/>
      <c r="F146" t="s" s="8"/>
      <c r="G146" t="s" s="8"/>
      <c r="H146" t="s" s="8"/>
      <c r="I146" t="s" s="8"/>
      <c r="J146" t="s" s="8"/>
      <c r="K146" t="s" s="8"/>
      <c r="L146" t="s" s="8"/>
    </row>
    <row r="147" ht="15.75" customHeight="true">
      <c r="A147" t="s" s="15"/>
      <c r="B147" t="s" s="8"/>
      <c r="C147" t="s" s="8"/>
      <c r="D147" t="s" s="8"/>
      <c r="E147" t="s" s="8"/>
      <c r="F147" t="s" s="8"/>
      <c r="G147" t="s" s="8"/>
      <c r="H147" t="s" s="8"/>
      <c r="I147" t="s" s="8"/>
      <c r="J147" t="s" s="8"/>
      <c r="K147" t="s" s="8"/>
      <c r="L147" t="s" s="8"/>
    </row>
    <row r="148" ht="15.75" customHeight="true">
      <c r="A148" t="s" s="15"/>
      <c r="B148" t="s" s="8"/>
      <c r="C148" t="s" s="8"/>
      <c r="D148" t="s" s="8"/>
      <c r="E148" t="s" s="8"/>
      <c r="F148" t="s" s="8"/>
      <c r="G148" t="s" s="8"/>
      <c r="H148" t="s" s="8"/>
      <c r="I148" t="s" s="8"/>
      <c r="J148" t="s" s="8"/>
      <c r="K148" t="s" s="8"/>
      <c r="L148" t="s" s="8"/>
    </row>
    <row r="149" ht="15.75" customHeight="true">
      <c r="A149" t="s" s="15"/>
      <c r="B149" t="s" s="8"/>
      <c r="C149" t="s" s="8"/>
      <c r="D149" t="s" s="8"/>
      <c r="E149" t="s" s="8"/>
      <c r="F149" t="s" s="8"/>
      <c r="G149" t="s" s="8"/>
      <c r="H149" t="s" s="8"/>
      <c r="I149" t="s" s="8"/>
      <c r="J149" t="s" s="8"/>
      <c r="K149" t="s" s="8"/>
      <c r="L149" t="s" s="8"/>
    </row>
    <row r="150" ht="15.75" customHeight="true">
      <c r="A150" t="s" s="15"/>
      <c r="B150" t="s" s="8"/>
      <c r="C150" t="s" s="8"/>
      <c r="D150" t="s" s="8"/>
      <c r="E150" t="s" s="8"/>
      <c r="F150" t="s" s="8"/>
      <c r="G150" t="s" s="8"/>
      <c r="H150" t="s" s="8"/>
      <c r="I150" t="s" s="8"/>
      <c r="J150" t="s" s="8"/>
      <c r="K150" t="s" s="8"/>
      <c r="L150" t="s" s="8"/>
    </row>
    <row r="151" ht="15.75" customHeight="true">
      <c r="A151" t="s" s="15"/>
      <c r="B151" t="s" s="8"/>
      <c r="C151" t="s" s="8"/>
      <c r="D151" t="s" s="8"/>
      <c r="E151" t="s" s="8"/>
      <c r="F151" t="s" s="8"/>
      <c r="G151" t="s" s="8"/>
      <c r="H151" t="s" s="8"/>
      <c r="I151" t="s" s="8"/>
      <c r="J151" t="s" s="8"/>
      <c r="K151" t="s" s="8"/>
      <c r="L151" t="s" s="8"/>
    </row>
    <row r="152" ht="15.75" customHeight="true">
      <c r="A152" t="s" s="15"/>
      <c r="B152" t="s" s="8"/>
      <c r="C152" t="s" s="8"/>
      <c r="D152" t="s" s="8"/>
      <c r="E152" t="s" s="8"/>
      <c r="F152" t="s" s="8"/>
      <c r="G152" t="s" s="8"/>
      <c r="H152" t="s" s="8"/>
      <c r="I152" t="s" s="8"/>
      <c r="J152" t="s" s="8"/>
      <c r="K152" t="s" s="8"/>
      <c r="L152" t="s" s="8"/>
    </row>
    <row r="153" ht="15.75" customHeight="true">
      <c r="A153" t="s" s="15"/>
      <c r="B153" t="s" s="8"/>
      <c r="C153" t="s" s="8"/>
      <c r="D153" t="s" s="8"/>
      <c r="E153" t="s" s="8"/>
      <c r="F153" t="s" s="8"/>
      <c r="G153" t="s" s="8"/>
      <c r="H153" t="s" s="8"/>
      <c r="I153" t="s" s="8"/>
      <c r="J153" t="s" s="8"/>
      <c r="K153" t="s" s="8"/>
      <c r="L153" t="s" s="8"/>
    </row>
    <row r="154" ht="15.75" customHeight="true">
      <c r="A154" t="s" s="15"/>
      <c r="B154" t="s" s="8"/>
      <c r="C154" t="s" s="8"/>
      <c r="D154" t="s" s="8"/>
      <c r="E154" t="s" s="8"/>
      <c r="F154" t="s" s="8"/>
      <c r="G154" t="s" s="8"/>
      <c r="H154" t="s" s="8"/>
      <c r="I154" t="s" s="8"/>
      <c r="J154" t="s" s="8"/>
      <c r="K154" t="s" s="8"/>
      <c r="L154" t="s" s="8"/>
    </row>
    <row r="155" ht="15.75" customHeight="true">
      <c r="A155" t="s" s="15"/>
      <c r="B155" t="s" s="8"/>
      <c r="C155" t="s" s="8"/>
      <c r="D155" t="s" s="8"/>
      <c r="E155" t="s" s="8"/>
      <c r="F155" t="s" s="8"/>
      <c r="G155" t="s" s="8"/>
      <c r="H155" t="s" s="8"/>
      <c r="I155" t="s" s="8"/>
      <c r="J155" t="s" s="8"/>
      <c r="K155" t="s" s="8"/>
      <c r="L155" t="s" s="8"/>
    </row>
    <row r="156" ht="15.75" customHeight="true">
      <c r="A156" t="s" s="15"/>
      <c r="B156" t="s" s="8"/>
      <c r="C156" t="s" s="8"/>
      <c r="D156" t="s" s="8"/>
      <c r="E156" t="s" s="8"/>
      <c r="F156" t="s" s="8"/>
      <c r="G156" t="s" s="8"/>
      <c r="H156" t="s" s="8"/>
      <c r="I156" t="s" s="8"/>
      <c r="J156" t="s" s="8"/>
      <c r="K156" t="s" s="8"/>
      <c r="L156" t="s" s="8"/>
    </row>
    <row r="157" ht="15.75" customHeight="true">
      <c r="A157" t="s" s="15"/>
      <c r="B157" t="s" s="8"/>
      <c r="C157" t="s" s="8"/>
      <c r="D157" t="s" s="8"/>
      <c r="E157" t="s" s="8"/>
      <c r="F157" t="s" s="8"/>
      <c r="G157" t="s" s="8"/>
      <c r="H157" t="s" s="8"/>
      <c r="I157" t="s" s="8"/>
      <c r="J157" t="s" s="8"/>
      <c r="K157" t="s" s="8"/>
      <c r="L157" t="s" s="8"/>
    </row>
    <row r="158" ht="15.75" customHeight="true">
      <c r="A158" t="s" s="15"/>
      <c r="B158" t="s" s="8"/>
      <c r="C158" t="s" s="8"/>
      <c r="D158" t="s" s="8"/>
      <c r="E158" t="s" s="8"/>
      <c r="F158" t="s" s="8"/>
      <c r="G158" t="s" s="8"/>
      <c r="H158" t="s" s="8"/>
      <c r="I158" t="s" s="8"/>
      <c r="J158" t="s" s="8"/>
      <c r="K158" t="s" s="8"/>
      <c r="L158" t="s" s="8"/>
    </row>
    <row r="159" ht="15.75" customHeight="true">
      <c r="A159" t="s" s="15"/>
      <c r="B159" t="s" s="8"/>
      <c r="C159" t="s" s="8"/>
      <c r="D159" t="s" s="8"/>
      <c r="E159" t="s" s="8"/>
      <c r="F159" t="s" s="8"/>
      <c r="G159" t="s" s="8"/>
      <c r="H159" t="s" s="8"/>
      <c r="I159" t="s" s="8"/>
      <c r="J159" t="s" s="8"/>
      <c r="K159" t="s" s="8"/>
      <c r="L159" t="s" s="8"/>
    </row>
    <row r="160" ht="15.75" customHeight="true">
      <c r="A160" t="s" s="15"/>
      <c r="B160" t="s" s="8"/>
      <c r="C160" t="s" s="8"/>
      <c r="D160" t="s" s="8"/>
      <c r="E160" t="s" s="8"/>
      <c r="F160" t="s" s="8"/>
      <c r="G160" t="s" s="8"/>
      <c r="H160" t="s" s="8"/>
      <c r="I160" t="s" s="8"/>
      <c r="J160" t="s" s="8"/>
      <c r="K160" t="s" s="8"/>
      <c r="L160" t="s" s="8"/>
    </row>
    <row r="161" ht="15.75" customHeight="true">
      <c r="A161" t="s" s="15"/>
      <c r="B161" t="s" s="8"/>
      <c r="C161" t="s" s="8"/>
      <c r="D161" t="s" s="8"/>
      <c r="E161" t="s" s="8"/>
      <c r="F161" t="s" s="8"/>
      <c r="G161" t="s" s="8"/>
      <c r="H161" t="s" s="8"/>
      <c r="I161" t="s" s="8"/>
      <c r="J161" t="s" s="8"/>
      <c r="K161" t="s" s="8"/>
      <c r="L161" t="s" s="8"/>
    </row>
    <row r="162" ht="15.75" customHeight="true">
      <c r="A162" t="s" s="15"/>
      <c r="B162" t="s" s="8"/>
      <c r="C162" t="s" s="8"/>
      <c r="D162" t="s" s="8"/>
      <c r="E162" t="s" s="8"/>
      <c r="F162" t="s" s="8"/>
      <c r="G162" t="s" s="8"/>
      <c r="H162" t="s" s="8"/>
      <c r="I162" t="s" s="8"/>
      <c r="J162" t="s" s="8"/>
      <c r="K162" t="s" s="8"/>
      <c r="L162" t="s" s="8"/>
    </row>
    <row r="163" ht="15.75" customHeight="true">
      <c r="A163" t="s" s="15"/>
      <c r="B163" t="s" s="8"/>
      <c r="C163" t="s" s="8"/>
      <c r="D163" t="s" s="8"/>
      <c r="E163" t="s" s="8"/>
      <c r="F163" t="s" s="8"/>
      <c r="G163" t="s" s="8"/>
      <c r="H163" t="s" s="8"/>
      <c r="I163" t="s" s="8"/>
      <c r="J163" t="s" s="8"/>
      <c r="K163" t="s" s="8"/>
      <c r="L163" t="s" s="8"/>
    </row>
    <row r="164" ht="15.75" customHeight="true">
      <c r="A164" t="s" s="15"/>
      <c r="B164" t="s" s="8"/>
      <c r="C164" t="s" s="8"/>
      <c r="D164" t="s" s="8"/>
      <c r="E164" t="s" s="8"/>
      <c r="F164" t="s" s="8"/>
      <c r="G164" t="s" s="8"/>
      <c r="H164" t="s" s="8"/>
      <c r="I164" t="s" s="8"/>
      <c r="J164" t="s" s="8"/>
      <c r="K164" t="s" s="8"/>
      <c r="L164" t="s" s="8"/>
    </row>
    <row r="165" ht="15.75" customHeight="true">
      <c r="A165" t="s" s="15"/>
      <c r="B165" t="s" s="8"/>
      <c r="C165" t="s" s="8"/>
      <c r="D165" t="s" s="8"/>
      <c r="E165" t="s" s="8"/>
      <c r="F165" t="s" s="8"/>
      <c r="G165" t="s" s="8"/>
      <c r="H165" t="s" s="8"/>
      <c r="I165" t="s" s="8"/>
      <c r="J165" t="s" s="8"/>
      <c r="K165" t="s" s="8"/>
      <c r="L165" t="s" s="8"/>
    </row>
    <row r="166" ht="15.75" customHeight="true">
      <c r="A166" t="s" s="15"/>
      <c r="B166" t="s" s="8"/>
      <c r="C166" t="s" s="8"/>
      <c r="D166" t="s" s="8"/>
      <c r="E166" t="s" s="8"/>
      <c r="F166" t="s" s="8"/>
      <c r="G166" t="s" s="8"/>
      <c r="H166" t="s" s="8"/>
      <c r="I166" t="s" s="8"/>
      <c r="J166" t="s" s="8"/>
      <c r="K166" t="s" s="8"/>
      <c r="L166" t="s" s="8"/>
    </row>
    <row r="167" ht="15.75" customHeight="true">
      <c r="A167" t="s" s="15"/>
      <c r="B167" t="s" s="8"/>
      <c r="C167" t="s" s="8"/>
      <c r="D167" t="s" s="8"/>
      <c r="E167" t="s" s="8"/>
      <c r="F167" t="s" s="8"/>
      <c r="G167" t="s" s="8"/>
      <c r="H167" t="s" s="8"/>
      <c r="I167" t="s" s="8"/>
      <c r="J167" t="s" s="8"/>
      <c r="K167" t="s" s="8"/>
      <c r="L167" t="s" s="8"/>
    </row>
    <row r="168" ht="15.75" customHeight="true">
      <c r="A168" t="s" s="15"/>
      <c r="B168" t="s" s="8"/>
      <c r="C168" t="s" s="8"/>
      <c r="D168" t="s" s="8"/>
      <c r="E168" t="s" s="8"/>
      <c r="F168" t="s" s="8"/>
      <c r="G168" t="s" s="8"/>
      <c r="H168" t="s" s="8"/>
      <c r="I168" t="s" s="8"/>
      <c r="J168" t="s" s="8"/>
      <c r="K168" t="s" s="8"/>
      <c r="L168" t="s" s="8"/>
    </row>
    <row r="169" ht="15.75" customHeight="true">
      <c r="A169" t="s" s="15"/>
      <c r="B169" t="s" s="8"/>
      <c r="C169" t="s" s="8"/>
      <c r="D169" t="s" s="8"/>
      <c r="E169" t="s" s="8"/>
      <c r="F169" t="s" s="8"/>
      <c r="G169" t="s" s="8"/>
      <c r="H169" t="s" s="8"/>
      <c r="I169" t="s" s="8"/>
      <c r="J169" t="s" s="8"/>
      <c r="K169" t="s" s="8"/>
      <c r="L169" t="s" s="8"/>
    </row>
    <row r="170" ht="15.75" customHeight="true">
      <c r="A170" t="s" s="15"/>
      <c r="B170" t="s" s="8"/>
      <c r="C170" t="s" s="8"/>
      <c r="D170" t="s" s="8"/>
      <c r="E170" t="s" s="8"/>
      <c r="F170" t="s" s="8"/>
      <c r="G170" t="s" s="8"/>
      <c r="H170" t="s" s="8"/>
      <c r="I170" t="s" s="8"/>
      <c r="J170" t="s" s="8"/>
      <c r="K170" t="s" s="8"/>
      <c r="L170" t="s" s="8"/>
    </row>
    <row r="171" ht="15.75" customHeight="true">
      <c r="A171" t="s" s="15"/>
      <c r="B171" t="s" s="8"/>
      <c r="C171" t="s" s="8"/>
      <c r="D171" t="s" s="8"/>
      <c r="E171" t="s" s="8"/>
      <c r="F171" t="s" s="8"/>
      <c r="G171" t="s" s="8"/>
      <c r="H171" t="s" s="8"/>
      <c r="I171" t="s" s="8"/>
      <c r="J171" t="s" s="8"/>
      <c r="K171" t="s" s="8"/>
      <c r="L171" t="s" s="8"/>
    </row>
    <row r="172" ht="15.75" customHeight="true">
      <c r="A172" t="s" s="15"/>
      <c r="B172" t="s" s="8"/>
      <c r="C172" t="s" s="8"/>
      <c r="D172" t="s" s="8"/>
      <c r="E172" t="s" s="8"/>
      <c r="F172" t="s" s="8"/>
      <c r="G172" t="s" s="8"/>
      <c r="H172" t="s" s="8"/>
      <c r="I172" t="s" s="8"/>
      <c r="J172" t="s" s="8"/>
      <c r="K172" t="s" s="8"/>
      <c r="L172" t="s" s="8"/>
    </row>
    <row r="173" ht="15.75" customHeight="true">
      <c r="A173" t="s" s="15"/>
      <c r="B173" t="s" s="8"/>
      <c r="C173" t="s" s="8"/>
      <c r="D173" t="s" s="8"/>
      <c r="E173" t="s" s="8"/>
      <c r="F173" t="s" s="8"/>
      <c r="G173" t="s" s="8"/>
      <c r="H173" t="s" s="8"/>
      <c r="I173" t="s" s="8"/>
      <c r="J173" t="s" s="8"/>
      <c r="K173" t="s" s="8"/>
      <c r="L173" t="s" s="8"/>
    </row>
    <row r="174" ht="15.75" customHeight="true">
      <c r="A174" t="s" s="15"/>
      <c r="B174" t="s" s="8"/>
      <c r="C174" t="s" s="8"/>
      <c r="D174" t="s" s="8"/>
      <c r="E174" t="s" s="8"/>
      <c r="F174" t="s" s="8"/>
      <c r="G174" t="s" s="8"/>
      <c r="H174" t="s" s="8"/>
      <c r="I174" t="s" s="8"/>
      <c r="J174" t="s" s="8"/>
      <c r="K174" t="s" s="8"/>
      <c r="L174" t="s" s="8"/>
    </row>
    <row r="175" ht="15.75" customHeight="true">
      <c r="A175" t="s" s="15"/>
      <c r="B175" t="s" s="8"/>
      <c r="C175" t="s" s="8"/>
      <c r="D175" t="s" s="8"/>
      <c r="E175" t="s" s="8"/>
      <c r="F175" t="s" s="8"/>
      <c r="G175" t="s" s="8"/>
      <c r="H175" t="s" s="8"/>
      <c r="I175" t="s" s="8"/>
      <c r="J175" t="s" s="8"/>
      <c r="K175" t="s" s="8"/>
      <c r="L175" t="s" s="8"/>
    </row>
    <row r="176" ht="15.75" customHeight="true">
      <c r="A176" t="s" s="15"/>
      <c r="B176" t="s" s="8"/>
      <c r="C176" t="s" s="8"/>
      <c r="D176" t="s" s="8"/>
      <c r="E176" t="s" s="8"/>
      <c r="F176" t="s" s="8"/>
      <c r="G176" t="s" s="8"/>
      <c r="H176" t="s" s="8"/>
      <c r="I176" t="s" s="8"/>
      <c r="J176" t="s" s="8"/>
      <c r="K176" t="s" s="8"/>
      <c r="L176" t="s" s="8"/>
    </row>
    <row r="177" ht="15.75" customHeight="true">
      <c r="A177" t="s" s="15"/>
      <c r="B177" t="s" s="8"/>
      <c r="C177" t="s" s="8"/>
      <c r="D177" t="s" s="8"/>
      <c r="E177" t="s" s="8"/>
      <c r="F177" t="s" s="8"/>
      <c r="G177" t="s" s="8"/>
      <c r="H177" t="s" s="8"/>
      <c r="I177" t="s" s="8"/>
      <c r="J177" t="s" s="8"/>
      <c r="K177" t="s" s="8"/>
      <c r="L177" t="s" s="8"/>
    </row>
    <row r="178" ht="15.75" customHeight="true">
      <c r="A178" t="s" s="15"/>
      <c r="B178" t="s" s="8"/>
      <c r="C178" t="s" s="8"/>
      <c r="D178" t="s" s="8"/>
      <c r="E178" t="s" s="8"/>
      <c r="F178" t="s" s="8"/>
      <c r="G178" t="s" s="8"/>
      <c r="H178" t="s" s="8"/>
      <c r="I178" t="s" s="8"/>
      <c r="J178" t="s" s="8"/>
      <c r="K178" t="s" s="8"/>
      <c r="L178" t="s" s="8"/>
    </row>
    <row r="179" ht="15.75" customHeight="true">
      <c r="A179" t="s" s="15"/>
      <c r="B179" t="s" s="8"/>
      <c r="C179" t="s" s="8"/>
      <c r="D179" t="s" s="8"/>
      <c r="E179" t="s" s="8"/>
      <c r="F179" t="s" s="8"/>
      <c r="G179" t="s" s="8"/>
      <c r="H179" t="s" s="8"/>
      <c r="I179" t="s" s="8"/>
      <c r="J179" t="s" s="8"/>
      <c r="K179" t="s" s="8"/>
      <c r="L179" t="s" s="8"/>
    </row>
    <row r="180" ht="15.75" customHeight="true">
      <c r="A180" t="s" s="15"/>
      <c r="B180" t="s" s="8"/>
      <c r="C180" t="s" s="8"/>
      <c r="D180" t="s" s="8"/>
      <c r="E180" t="s" s="8"/>
      <c r="F180" t="s" s="8"/>
      <c r="G180" t="s" s="8"/>
      <c r="H180" t="s" s="8"/>
      <c r="I180" t="s" s="8"/>
      <c r="J180" t="s" s="8"/>
      <c r="K180" t="s" s="8"/>
      <c r="L180" t="s" s="8"/>
    </row>
    <row r="181" ht="15.75" customHeight="true">
      <c r="A181" t="s" s="15"/>
      <c r="B181" t="s" s="8"/>
      <c r="C181" t="s" s="8"/>
      <c r="D181" t="s" s="8"/>
      <c r="E181" t="s" s="8"/>
      <c r="F181" t="s" s="8"/>
      <c r="G181" t="s" s="8"/>
      <c r="H181" t="s" s="8"/>
      <c r="I181" t="s" s="8"/>
      <c r="J181" t="s" s="8"/>
      <c r="K181" t="s" s="8"/>
      <c r="L181" t="s" s="8"/>
    </row>
    <row r="182" ht="15.75" customHeight="true">
      <c r="A182" t="s" s="15"/>
      <c r="B182" t="s" s="8"/>
      <c r="C182" t="s" s="8"/>
      <c r="D182" t="s" s="8"/>
      <c r="E182" t="s" s="8"/>
      <c r="F182" t="s" s="8"/>
      <c r="G182" t="s" s="8"/>
      <c r="H182" t="s" s="8"/>
      <c r="I182" t="s" s="8"/>
      <c r="J182" t="s" s="8"/>
      <c r="K182" t="s" s="8"/>
      <c r="L182" t="s" s="8"/>
    </row>
    <row r="183" ht="15.75" customHeight="true">
      <c r="A183" t="s" s="15"/>
      <c r="B183" t="s" s="8"/>
      <c r="C183" t="s" s="8"/>
      <c r="D183" t="s" s="8"/>
      <c r="E183" t="s" s="8"/>
      <c r="F183" t="s" s="8"/>
      <c r="G183" t="s" s="8"/>
      <c r="H183" t="s" s="8"/>
      <c r="I183" t="s" s="8"/>
      <c r="J183" t="s" s="8"/>
      <c r="K183" t="s" s="8"/>
      <c r="L183" t="s" s="8"/>
    </row>
    <row r="184" ht="15.75" customHeight="true">
      <c r="A184" t="s" s="15"/>
      <c r="B184" t="s" s="8"/>
      <c r="C184" t="s" s="8"/>
      <c r="D184" t="s" s="8"/>
      <c r="E184" t="s" s="8"/>
      <c r="F184" t="s" s="8"/>
      <c r="G184" t="s" s="8"/>
      <c r="H184" t="s" s="8"/>
      <c r="I184" t="s" s="8"/>
      <c r="J184" t="s" s="8"/>
      <c r="K184" t="s" s="8"/>
      <c r="L184" t="s" s="8"/>
    </row>
    <row r="185" ht="15.75" customHeight="true">
      <c r="A185" t="s" s="15"/>
      <c r="B185" t="s" s="8"/>
      <c r="C185" t="s" s="8"/>
      <c r="D185" t="s" s="8"/>
      <c r="E185" t="s" s="8"/>
      <c r="F185" t="s" s="8"/>
      <c r="G185" t="s" s="8"/>
      <c r="H185" t="s" s="8"/>
      <c r="I185" t="s" s="8"/>
      <c r="J185" t="s" s="8"/>
      <c r="K185" t="s" s="8"/>
      <c r="L185" t="s" s="8"/>
    </row>
    <row r="186" ht="15.75" customHeight="true">
      <c r="A186" t="s" s="15"/>
      <c r="B186" t="s" s="8"/>
      <c r="C186" t="s" s="8"/>
      <c r="D186" t="s" s="8"/>
      <c r="E186" t="s" s="8"/>
      <c r="F186" t="s" s="8"/>
      <c r="G186" t="s" s="8"/>
      <c r="H186" t="s" s="8"/>
      <c r="I186" t="s" s="8"/>
      <c r="J186" t="s" s="8"/>
      <c r="K186" t="s" s="8"/>
      <c r="L186" t="s" s="8"/>
    </row>
    <row r="187" ht="15.75" customHeight="true">
      <c r="A187" t="s" s="15"/>
      <c r="B187" t="s" s="8"/>
      <c r="C187" t="s" s="8"/>
      <c r="D187" t="s" s="8"/>
      <c r="E187" t="s" s="8"/>
      <c r="F187" t="s" s="8"/>
      <c r="G187" t="s" s="8"/>
      <c r="H187" t="s" s="8"/>
      <c r="I187" t="s" s="8"/>
      <c r="J187" t="s" s="8"/>
      <c r="K187" t="s" s="8"/>
      <c r="L187" t="s" s="8"/>
    </row>
    <row r="188" ht="15.75" customHeight="true">
      <c r="A188" t="s" s="15"/>
      <c r="B188" t="s" s="8"/>
      <c r="C188" t="s" s="8"/>
      <c r="D188" t="s" s="8"/>
      <c r="E188" t="s" s="8"/>
      <c r="F188" t="s" s="8"/>
      <c r="G188" t="s" s="8"/>
      <c r="H188" t="s" s="8"/>
      <c r="I188" t="s" s="8"/>
      <c r="J188" t="s" s="8"/>
      <c r="K188" t="s" s="8"/>
      <c r="L188" t="s" s="8"/>
    </row>
    <row r="189" ht="15.75" customHeight="true">
      <c r="A189" t="s" s="15"/>
      <c r="B189" t="s" s="8"/>
      <c r="C189" t="s" s="8"/>
      <c r="D189" t="s" s="8"/>
      <c r="E189" t="s" s="8"/>
      <c r="F189" t="s" s="8"/>
      <c r="G189" t="s" s="8"/>
      <c r="H189" t="s" s="8"/>
      <c r="I189" t="s" s="8"/>
      <c r="J189" t="s" s="8"/>
      <c r="K189" t="s" s="8"/>
      <c r="L189" t="s" s="8"/>
    </row>
    <row r="190" ht="15.75" customHeight="true">
      <c r="A190" t="s" s="15"/>
      <c r="B190" t="s" s="8"/>
      <c r="C190" t="s" s="8"/>
      <c r="D190" t="s" s="8"/>
      <c r="E190" t="s" s="8"/>
      <c r="F190" t="s" s="8"/>
      <c r="G190" t="s" s="8"/>
      <c r="H190" t="s" s="8"/>
      <c r="I190" t="s" s="8"/>
      <c r="J190" t="s" s="8"/>
      <c r="K190" t="s" s="8"/>
      <c r="L190" t="s" s="8"/>
    </row>
    <row r="191" ht="15.75" customHeight="true">
      <c r="A191" t="s" s="15"/>
      <c r="B191" t="s" s="8"/>
      <c r="C191" t="s" s="8"/>
      <c r="D191" t="s" s="8"/>
      <c r="E191" t="s" s="8"/>
      <c r="F191" t="s" s="8"/>
      <c r="G191" t="s" s="8"/>
      <c r="H191" t="s" s="8"/>
      <c r="I191" t="s" s="8"/>
      <c r="J191" t="s" s="8"/>
      <c r="K191" t="s" s="8"/>
      <c r="L191" t="s" s="8"/>
    </row>
    <row r="192" ht="15.75" customHeight="true">
      <c r="A192" t="s" s="15"/>
      <c r="B192" t="s" s="8"/>
      <c r="C192" t="s" s="8"/>
      <c r="D192" t="s" s="8"/>
      <c r="E192" t="s" s="8"/>
      <c r="F192" t="s" s="8"/>
      <c r="G192" t="s" s="8"/>
      <c r="H192" t="s" s="8"/>
      <c r="I192" t="s" s="8"/>
      <c r="J192" t="s" s="8"/>
      <c r="K192" t="s" s="8"/>
      <c r="L192" t="s" s="8"/>
    </row>
    <row r="193" ht="15.75" customHeight="true">
      <c r="A193" t="s" s="15"/>
      <c r="B193" t="s" s="8"/>
      <c r="C193" t="s" s="8"/>
      <c r="D193" t="s" s="8"/>
      <c r="E193" t="s" s="8"/>
      <c r="F193" t="s" s="8"/>
      <c r="G193" t="s" s="8"/>
      <c r="H193" t="s" s="8"/>
      <c r="I193" t="s" s="8"/>
      <c r="J193" t="s" s="8"/>
      <c r="K193" t="s" s="8"/>
      <c r="L193" t="s" s="8"/>
    </row>
    <row r="194" ht="15.75" customHeight="true">
      <c r="A194" t="s" s="15"/>
      <c r="B194" t="s" s="8"/>
      <c r="C194" t="s" s="8"/>
      <c r="D194" t="s" s="8"/>
      <c r="E194" t="s" s="8"/>
      <c r="F194" t="s" s="8"/>
      <c r="G194" t="s" s="8"/>
      <c r="H194" t="s" s="8"/>
      <c r="I194" t="s" s="8"/>
      <c r="J194" t="s" s="8"/>
      <c r="K194" t="s" s="8"/>
      <c r="L194" t="s" s="8"/>
    </row>
    <row r="195" ht="15.75" customHeight="true">
      <c r="A195" t="s" s="15"/>
      <c r="B195" t="s" s="8"/>
      <c r="C195" t="s" s="8"/>
      <c r="D195" t="s" s="8"/>
      <c r="E195" t="s" s="8"/>
      <c r="F195" t="s" s="8"/>
      <c r="G195" t="s" s="8"/>
      <c r="H195" t="s" s="8"/>
      <c r="I195" t="s" s="8"/>
      <c r="J195" t="s" s="8"/>
      <c r="K195" t="s" s="8"/>
      <c r="L195" t="s" s="8"/>
    </row>
    <row r="196" ht="15.75" customHeight="true">
      <c r="A196" t="s" s="15"/>
      <c r="B196" t="s" s="8"/>
      <c r="C196" t="s" s="8"/>
      <c r="D196" t="s" s="8"/>
      <c r="E196" t="s" s="8"/>
      <c r="F196" t="s" s="8"/>
      <c r="G196" t="s" s="8"/>
      <c r="H196" t="s" s="8"/>
      <c r="I196" t="s" s="8"/>
      <c r="J196" t="s" s="8"/>
      <c r="K196" t="s" s="8"/>
      <c r="L196" t="s" s="8"/>
    </row>
    <row r="197" ht="15.75" customHeight="true">
      <c r="A197" t="s" s="15"/>
      <c r="B197" t="s" s="8"/>
      <c r="C197" t="s" s="8"/>
      <c r="D197" t="s" s="8"/>
      <c r="E197" t="s" s="8"/>
      <c r="F197" t="s" s="8"/>
      <c r="G197" t="s" s="8"/>
      <c r="H197" t="s" s="8"/>
      <c r="I197" t="s" s="8"/>
      <c r="J197" t="s" s="8"/>
      <c r="K197" t="s" s="8"/>
      <c r="L197" t="s" s="8"/>
    </row>
    <row r="198" ht="15.75" customHeight="true">
      <c r="A198" t="s" s="15"/>
      <c r="B198" t="s" s="8"/>
      <c r="C198" t="s" s="8"/>
      <c r="D198" t="s" s="8"/>
      <c r="E198" t="s" s="8"/>
      <c r="F198" t="s" s="8"/>
      <c r="G198" t="s" s="8"/>
      <c r="H198" t="s" s="8"/>
      <c r="I198" t="s" s="8"/>
      <c r="J198" t="s" s="8"/>
      <c r="K198" t="s" s="8"/>
      <c r="L198" t="s" s="8"/>
    </row>
    <row r="199" ht="15.75" customHeight="true">
      <c r="A199" t="s" s="15"/>
      <c r="B199" t="s" s="8"/>
      <c r="C199" t="s" s="8"/>
      <c r="D199" t="s" s="8"/>
      <c r="E199" t="s" s="8"/>
      <c r="F199" t="s" s="8"/>
      <c r="G199" t="s" s="8"/>
      <c r="H199" t="s" s="8"/>
      <c r="I199" t="s" s="8"/>
      <c r="J199" t="s" s="8"/>
      <c r="K199" t="s" s="8"/>
      <c r="L199" t="s" s="8"/>
    </row>
    <row r="200" ht="15.75" customHeight="true">
      <c r="A200" t="s" s="15"/>
      <c r="B200" t="s" s="8"/>
      <c r="C200" t="s" s="8"/>
      <c r="D200" t="s" s="8"/>
      <c r="E200" t="s" s="8"/>
      <c r="F200" t="s" s="8"/>
      <c r="G200" t="s" s="8"/>
      <c r="H200" t="s" s="8"/>
      <c r="I200" t="s" s="8"/>
      <c r="J200" t="s" s="8"/>
      <c r="K200" t="s" s="8"/>
      <c r="L200" t="s" s="8"/>
    </row>
    <row r="201" ht="15.75" customHeight="true">
      <c r="A201" t="s" s="15"/>
      <c r="B201" t="s" s="8"/>
      <c r="C201" t="s" s="8"/>
      <c r="D201" t="s" s="8"/>
      <c r="E201" t="s" s="8"/>
      <c r="F201" t="s" s="8"/>
      <c r="G201" t="s" s="8"/>
      <c r="H201" t="s" s="8"/>
      <c r="I201" t="s" s="8"/>
      <c r="J201" t="s" s="8"/>
      <c r="K201" t="s" s="8"/>
      <c r="L201" t="s" s="8"/>
    </row>
    <row r="202" ht="15.75" customHeight="true">
      <c r="A202" t="s" s="15"/>
      <c r="B202" t="s" s="8"/>
      <c r="C202" t="s" s="8"/>
      <c r="D202" t="s" s="8"/>
      <c r="E202" t="s" s="8"/>
      <c r="F202" t="s" s="8"/>
      <c r="G202" t="s" s="8"/>
      <c r="H202" t="s" s="8"/>
      <c r="I202" t="s" s="8"/>
      <c r="J202" t="s" s="8"/>
      <c r="K202" t="s" s="8"/>
      <c r="L202" t="s" s="8"/>
    </row>
    <row r="203" ht="15.75" customHeight="true">
      <c r="A203" t="s" s="15"/>
      <c r="B203" t="s" s="8"/>
      <c r="C203" t="s" s="8"/>
      <c r="D203" t="s" s="8"/>
      <c r="E203" t="s" s="8"/>
      <c r="F203" t="s" s="8"/>
      <c r="G203" t="s" s="8"/>
      <c r="H203" t="s" s="8"/>
      <c r="I203" t="s" s="8"/>
      <c r="J203" t="s" s="8"/>
      <c r="K203" t="s" s="8"/>
      <c r="L203" t="s" s="8"/>
    </row>
    <row r="204" ht="15.75" customHeight="true">
      <c r="A204" t="s" s="15"/>
      <c r="B204" t="s" s="8"/>
      <c r="C204" t="s" s="8"/>
      <c r="D204" t="s" s="8"/>
      <c r="E204" t="s" s="8"/>
      <c r="F204" t="s" s="8"/>
      <c r="G204" t="s" s="8"/>
      <c r="H204" t="s" s="8"/>
      <c r="I204" t="s" s="8"/>
      <c r="J204" t="s" s="8"/>
      <c r="K204" t="s" s="8"/>
      <c r="L204" t="s" s="8"/>
    </row>
    <row r="205" ht="15.75" customHeight="true">
      <c r="A205" t="s" s="15"/>
      <c r="B205" t="s" s="8"/>
      <c r="C205" t="s" s="8"/>
      <c r="D205" t="s" s="8"/>
      <c r="E205" t="s" s="8"/>
      <c r="F205" t="s" s="8"/>
      <c r="G205" t="s" s="8"/>
      <c r="H205" t="s" s="8"/>
      <c r="I205" t="s" s="8"/>
      <c r="J205" t="s" s="8"/>
      <c r="K205" t="s" s="8"/>
      <c r="L205" t="s" s="8"/>
    </row>
    <row r="206" ht="15.75" customHeight="true">
      <c r="A206" t="s" s="15"/>
      <c r="B206" t="s" s="8"/>
      <c r="C206" t="s" s="8"/>
      <c r="D206" t="s" s="8"/>
      <c r="E206" t="s" s="8"/>
      <c r="F206" t="s" s="8"/>
      <c r="G206" t="s" s="8"/>
      <c r="H206" t="s" s="8"/>
      <c r="I206" t="s" s="8"/>
      <c r="J206" t="s" s="8"/>
      <c r="K206" t="s" s="8"/>
      <c r="L206" t="s" s="8"/>
    </row>
    <row r="207" ht="15.75" customHeight="true">
      <c r="A207" t="s" s="15"/>
      <c r="B207" t="s" s="8"/>
      <c r="C207" t="s" s="8"/>
      <c r="D207" t="s" s="8"/>
      <c r="E207" t="s" s="8"/>
      <c r="F207" t="s" s="8"/>
      <c r="G207" t="s" s="8"/>
      <c r="H207" t="s" s="8"/>
      <c r="I207" t="s" s="8"/>
      <c r="J207" t="s" s="8"/>
      <c r="K207" t="s" s="8"/>
      <c r="L207" t="s" s="8"/>
    </row>
    <row r="208" ht="15.75" customHeight="true">
      <c r="A208" t="s" s="15"/>
      <c r="B208" t="s" s="8"/>
      <c r="C208" t="s" s="8"/>
      <c r="D208" t="s" s="8"/>
      <c r="E208" t="s" s="8"/>
      <c r="F208" t="s" s="8"/>
      <c r="G208" t="s" s="8"/>
      <c r="H208" t="s" s="8"/>
      <c r="I208" t="s" s="8"/>
      <c r="J208" t="s" s="8"/>
      <c r="K208" t="s" s="8"/>
      <c r="L208" t="s" s="8"/>
    </row>
    <row r="209" ht="15.75" customHeight="true">
      <c r="A209" t="s" s="15"/>
      <c r="B209" t="s" s="8"/>
      <c r="C209" t="s" s="8"/>
      <c r="D209" t="s" s="8"/>
      <c r="E209" t="s" s="8"/>
      <c r="F209" t="s" s="8"/>
      <c r="G209" t="s" s="8"/>
      <c r="H209" t="s" s="8"/>
      <c r="I209" t="s" s="8"/>
      <c r="J209" t="s" s="8"/>
      <c r="K209" t="s" s="8"/>
      <c r="L209" t="s" s="8"/>
    </row>
    <row r="210" ht="15.75" customHeight="true">
      <c r="A210" t="s" s="15"/>
      <c r="B210" t="s" s="8"/>
      <c r="C210" t="s" s="8"/>
      <c r="D210" t="s" s="8"/>
      <c r="E210" t="s" s="8"/>
      <c r="F210" t="s" s="8"/>
      <c r="G210" t="s" s="8"/>
      <c r="H210" t="s" s="8"/>
      <c r="I210" t="s" s="8"/>
      <c r="J210" t="s" s="8"/>
      <c r="K210" t="s" s="8"/>
      <c r="L210" t="s" s="8"/>
    </row>
    <row r="211" ht="15.75" customHeight="true">
      <c r="A211" t="s" s="15"/>
      <c r="B211" t="s" s="8"/>
      <c r="C211" t="s" s="8"/>
      <c r="D211" t="s" s="8"/>
      <c r="E211" t="s" s="8"/>
      <c r="F211" t="s" s="8"/>
      <c r="G211" t="s" s="8"/>
      <c r="H211" t="s" s="8"/>
      <c r="I211" t="s" s="8"/>
      <c r="J211" t="s" s="8"/>
      <c r="K211" t="s" s="8"/>
      <c r="L211" t="s" s="8"/>
    </row>
    <row r="212" ht="15.75" customHeight="true">
      <c r="A212" t="s" s="15"/>
      <c r="B212" t="s" s="8"/>
      <c r="C212" t="s" s="8"/>
      <c r="D212" t="s" s="8"/>
      <c r="E212" t="s" s="8"/>
      <c r="F212" t="s" s="8"/>
      <c r="G212" t="s" s="8"/>
      <c r="H212" t="s" s="8"/>
      <c r="I212" t="s" s="8"/>
      <c r="J212" t="s" s="8"/>
      <c r="K212" t="s" s="8"/>
      <c r="L212" t="s" s="8"/>
    </row>
    <row r="213" ht="15.75" customHeight="true">
      <c r="A213" t="s" s="15"/>
      <c r="B213" t="s" s="8"/>
      <c r="C213" t="s" s="8"/>
      <c r="D213" t="s" s="8"/>
      <c r="E213" t="s" s="8"/>
      <c r="F213" t="s" s="8"/>
      <c r="G213" t="s" s="8"/>
      <c r="H213" t="s" s="8"/>
      <c r="I213" t="s" s="8"/>
      <c r="J213" t="s" s="8"/>
      <c r="K213" t="s" s="8"/>
      <c r="L213" t="s" s="8"/>
    </row>
    <row r="214" ht="15.75" customHeight="true">
      <c r="A214" t="s" s="15"/>
      <c r="B214" t="s" s="8"/>
      <c r="C214" t="s" s="8"/>
      <c r="D214" t="s" s="8"/>
      <c r="E214" t="s" s="8"/>
      <c r="F214" t="s" s="8"/>
      <c r="G214" t="s" s="8"/>
      <c r="H214" t="s" s="8"/>
      <c r="I214" t="s" s="8"/>
      <c r="J214" t="s" s="8"/>
      <c r="K214" t="s" s="8"/>
      <c r="L214" t="s" s="8"/>
    </row>
    <row r="215" ht="15.75" customHeight="true">
      <c r="A215" t="s" s="15"/>
      <c r="B215" t="s" s="8"/>
      <c r="C215" t="s" s="8"/>
      <c r="D215" t="s" s="8"/>
      <c r="E215" t="s" s="8"/>
      <c r="F215" t="s" s="8"/>
      <c r="G215" t="s" s="8"/>
      <c r="H215" t="s" s="8"/>
      <c r="I215" t="s" s="8"/>
      <c r="J215" t="s" s="8"/>
      <c r="K215" t="s" s="8"/>
      <c r="L215" t="s" s="8"/>
    </row>
    <row r="216" ht="15.75" customHeight="true">
      <c r="A216" t="s" s="15"/>
      <c r="B216" t="s" s="8"/>
      <c r="C216" t="s" s="8"/>
      <c r="D216" t="s" s="8"/>
      <c r="E216" t="s" s="8"/>
      <c r="F216" t="s" s="8"/>
      <c r="G216" t="s" s="8"/>
      <c r="H216" t="s" s="8"/>
      <c r="I216" t="s" s="8"/>
      <c r="J216" t="s" s="8"/>
      <c r="K216" t="s" s="8"/>
      <c r="L216" t="s" s="8"/>
    </row>
    <row r="217" ht="15.75" customHeight="true">
      <c r="A217" t="s" s="15"/>
      <c r="B217" t="s" s="8"/>
      <c r="C217" t="s" s="8"/>
      <c r="D217" t="s" s="8"/>
      <c r="E217" t="s" s="8"/>
      <c r="F217" t="s" s="8"/>
      <c r="G217" t="s" s="8"/>
      <c r="H217" t="s" s="8"/>
      <c r="I217" t="s" s="8"/>
      <c r="J217" t="s" s="8"/>
      <c r="K217" t="s" s="8"/>
      <c r="L217" t="s" s="8"/>
    </row>
    <row r="218" ht="15.75" customHeight="true">
      <c r="A218" t="s" s="15"/>
      <c r="B218" t="s" s="8"/>
      <c r="C218" t="s" s="8"/>
      <c r="D218" t="s" s="8"/>
      <c r="E218" t="s" s="8"/>
      <c r="F218" t="s" s="8"/>
      <c r="G218" t="s" s="8"/>
      <c r="H218" t="s" s="8"/>
      <c r="I218" t="s" s="8"/>
      <c r="J218" t="s" s="8"/>
      <c r="K218" t="s" s="8"/>
      <c r="L218" t="s" s="8"/>
    </row>
    <row r="219" ht="15.75" customHeight="true">
      <c r="A219" t="s" s="15"/>
      <c r="B219" t="s" s="8"/>
      <c r="C219" t="s" s="8"/>
      <c r="D219" t="s" s="8"/>
      <c r="E219" t="s" s="8"/>
      <c r="F219" t="s" s="8"/>
      <c r="G219" t="s" s="8"/>
      <c r="H219" t="s" s="8"/>
      <c r="I219" t="s" s="8"/>
      <c r="J219" t="s" s="8"/>
      <c r="K219" t="s" s="8"/>
      <c r="L219" t="s" s="8"/>
    </row>
    <row r="220" ht="15.75" customHeight="true">
      <c r="A220" t="s" s="15"/>
      <c r="B220" t="s" s="8"/>
      <c r="C220" t="s" s="8"/>
      <c r="D220" t="s" s="8"/>
      <c r="E220" t="s" s="8"/>
      <c r="F220" t="s" s="8"/>
      <c r="G220" t="s" s="8"/>
      <c r="H220" t="s" s="8"/>
      <c r="I220" t="s" s="8"/>
      <c r="J220" t="s" s="8"/>
      <c r="K220" t="s" s="8"/>
      <c r="L220" t="s" s="8"/>
    </row>
    <row r="221" ht="15.75" customHeight="true">
      <c r="A221" t="s" s="15"/>
      <c r="B221" t="s" s="8"/>
      <c r="C221" t="s" s="8"/>
      <c r="D221" t="s" s="8"/>
      <c r="E221" t="s" s="8"/>
      <c r="F221" t="s" s="8"/>
      <c r="G221" t="s" s="8"/>
      <c r="H221" t="s" s="8"/>
      <c r="I221" t="s" s="8"/>
      <c r="J221" t="s" s="8"/>
      <c r="K221" t="s" s="8"/>
      <c r="L221" t="s" s="8"/>
    </row>
    <row r="222" ht="15.75" customHeight="true">
      <c r="A222" t="s" s="15"/>
      <c r="B222" t="s" s="8"/>
      <c r="C222" t="s" s="8"/>
      <c r="D222" t="s" s="8"/>
      <c r="E222" t="s" s="8"/>
      <c r="F222" t="s" s="8"/>
      <c r="G222" t="s" s="8"/>
      <c r="H222" t="s" s="8"/>
      <c r="I222" t="s" s="8"/>
      <c r="J222" t="s" s="8"/>
      <c r="K222" t="s" s="8"/>
      <c r="L222" t="s" s="8"/>
    </row>
    <row r="223" ht="15.75" customHeight="true">
      <c r="A223" t="s" s="15"/>
      <c r="B223" t="s" s="8"/>
      <c r="C223" t="s" s="8"/>
      <c r="D223" t="s" s="8"/>
      <c r="E223" t="s" s="8"/>
      <c r="F223" t="s" s="8"/>
      <c r="G223" t="s" s="8"/>
      <c r="H223" t="s" s="8"/>
      <c r="I223" t="s" s="8"/>
      <c r="J223" t="s" s="8"/>
      <c r="K223" t="s" s="8"/>
      <c r="L223" t="s" s="8"/>
    </row>
    <row r="224" ht="15.75" customHeight="true">
      <c r="A224" t="s" s="15"/>
      <c r="B224" t="s" s="8"/>
      <c r="C224" t="s" s="8"/>
      <c r="D224" t="s" s="8"/>
      <c r="E224" t="s" s="8"/>
      <c r="F224" t="s" s="8"/>
      <c r="G224" t="s" s="8"/>
      <c r="H224" t="s" s="8"/>
      <c r="I224" t="s" s="8"/>
      <c r="J224" t="s" s="8"/>
      <c r="K224" t="s" s="8"/>
      <c r="L224" t="s" s="8"/>
    </row>
    <row r="225" ht="15.75" customHeight="true">
      <c r="A225" t="s" s="15"/>
      <c r="B225" t="s" s="8"/>
      <c r="C225" t="s" s="8"/>
      <c r="D225" t="s" s="8"/>
      <c r="E225" t="s" s="8"/>
      <c r="F225" t="s" s="8"/>
      <c r="G225" t="s" s="8"/>
      <c r="H225" t="s" s="8"/>
      <c r="I225" t="s" s="8"/>
      <c r="J225" t="s" s="8"/>
      <c r="K225" t="s" s="8"/>
      <c r="L225" t="s" s="8"/>
    </row>
    <row r="226" ht="15.75" customHeight="true">
      <c r="A226" t="s" s="15"/>
      <c r="B226" t="s" s="8"/>
      <c r="C226" t="s" s="8"/>
      <c r="D226" t="s" s="8"/>
      <c r="E226" t="s" s="8"/>
      <c r="F226" t="s" s="8"/>
      <c r="G226" t="s" s="8"/>
      <c r="H226" t="s" s="8"/>
      <c r="I226" t="s" s="8"/>
      <c r="J226" t="s" s="8"/>
      <c r="K226" t="s" s="8"/>
      <c r="L226" t="s" s="8"/>
    </row>
    <row r="227" ht="15.75" customHeight="true">
      <c r="A227" t="s" s="15"/>
      <c r="B227" t="s" s="8"/>
      <c r="C227" t="s" s="8"/>
      <c r="D227" t="s" s="8"/>
      <c r="E227" t="s" s="8"/>
      <c r="F227" t="s" s="8"/>
      <c r="G227" t="s" s="8"/>
      <c r="H227" t="s" s="8"/>
      <c r="I227" t="s" s="8"/>
      <c r="J227" t="s" s="8"/>
      <c r="K227" t="s" s="8"/>
      <c r="L227" t="s" s="8"/>
    </row>
    <row r="228" ht="15.75" customHeight="true">
      <c r="A228" t="s" s="15"/>
      <c r="B228" t="s" s="8"/>
      <c r="C228" t="s" s="8"/>
      <c r="D228" t="s" s="8"/>
      <c r="E228" t="s" s="8"/>
      <c r="F228" t="s" s="8"/>
      <c r="G228" t="s" s="8"/>
      <c r="H228" t="s" s="8"/>
      <c r="I228" t="s" s="8"/>
      <c r="J228" t="s" s="8"/>
      <c r="K228" t="s" s="8"/>
      <c r="L228" t="s" s="8"/>
    </row>
    <row r="229" ht="15.75" customHeight="true">
      <c r="A229" t="s" s="15"/>
      <c r="B229" t="s" s="8"/>
      <c r="C229" t="s" s="8"/>
      <c r="D229" t="s" s="8"/>
      <c r="E229" t="s" s="8"/>
      <c r="F229" t="s" s="8"/>
      <c r="G229" t="s" s="8"/>
      <c r="H229" t="s" s="8"/>
      <c r="I229" t="s" s="8"/>
      <c r="J229" t="s" s="8"/>
      <c r="K229" t="s" s="8"/>
      <c r="L229" t="s" s="8"/>
    </row>
    <row r="230" ht="15.75" customHeight="true">
      <c r="A230" t="s" s="15"/>
      <c r="B230" t="s" s="8"/>
      <c r="C230" t="s" s="8"/>
      <c r="D230" t="s" s="8"/>
      <c r="E230" t="s" s="8"/>
      <c r="F230" t="s" s="8"/>
      <c r="G230" t="s" s="8"/>
      <c r="H230" t="s" s="8"/>
      <c r="I230" t="s" s="8"/>
      <c r="J230" t="s" s="8"/>
      <c r="K230" t="s" s="8"/>
      <c r="L230" t="s" s="8"/>
    </row>
    <row r="231" ht="15.75" customHeight="true">
      <c r="A231" t="s" s="15"/>
      <c r="B231" t="s" s="8"/>
      <c r="C231" t="s" s="8"/>
      <c r="D231" t="s" s="8"/>
      <c r="E231" t="s" s="8"/>
      <c r="F231" t="s" s="8"/>
      <c r="G231" t="s" s="8"/>
      <c r="H231" t="s" s="8"/>
      <c r="I231" t="s" s="8"/>
      <c r="J231" t="s" s="8"/>
      <c r="K231" t="s" s="8"/>
      <c r="L231" t="s" s="8"/>
    </row>
    <row r="232" ht="15.75" customHeight="true">
      <c r="A232" t="s" s="15"/>
      <c r="B232" t="s" s="8"/>
      <c r="C232" t="s" s="8"/>
      <c r="D232" t="s" s="8"/>
      <c r="E232" t="s" s="8"/>
      <c r="F232" t="s" s="8"/>
      <c r="G232" t="s" s="8"/>
      <c r="H232" t="s" s="8"/>
      <c r="I232" t="s" s="8"/>
      <c r="J232" t="s" s="8"/>
      <c r="K232" t="s" s="8"/>
      <c r="L232" t="s" s="8"/>
    </row>
    <row r="233" ht="15.75" customHeight="true">
      <c r="A233" t="s" s="15"/>
      <c r="B233" t="s" s="8"/>
      <c r="C233" t="s" s="8"/>
      <c r="D233" t="s" s="8"/>
      <c r="E233" t="s" s="8"/>
      <c r="F233" t="s" s="8"/>
      <c r="G233" t="s" s="8"/>
      <c r="H233" t="s" s="8"/>
      <c r="I233" t="s" s="8"/>
      <c r="J233" t="s" s="8"/>
      <c r="K233" t="s" s="8"/>
      <c r="L233" t="s" s="8"/>
    </row>
    <row r="234" ht="15.75" customHeight="true">
      <c r="A234" t="s" s="15"/>
      <c r="B234" t="s" s="8"/>
      <c r="C234" t="s" s="8"/>
      <c r="D234" t="s" s="8"/>
      <c r="E234" t="s" s="8"/>
      <c r="F234" t="s" s="8"/>
      <c r="G234" t="s" s="8"/>
      <c r="H234" t="s" s="8"/>
      <c r="I234" t="s" s="8"/>
      <c r="J234" t="s" s="8"/>
      <c r="K234" t="s" s="8"/>
      <c r="L234" t="s" s="8"/>
    </row>
    <row r="235" ht="15.75" customHeight="true">
      <c r="A235" t="s" s="15"/>
      <c r="B235" t="s" s="8"/>
      <c r="C235" t="s" s="8"/>
      <c r="D235" t="s" s="8"/>
      <c r="E235" t="s" s="8"/>
      <c r="F235" t="s" s="8"/>
      <c r="G235" t="s" s="8"/>
      <c r="H235" t="s" s="8"/>
      <c r="I235" t="s" s="8"/>
      <c r="J235" t="s" s="8"/>
      <c r="K235" t="s" s="8"/>
      <c r="L235" t="s" s="8"/>
    </row>
    <row r="236" ht="15.75" customHeight="true">
      <c r="A236" t="s" s="15"/>
      <c r="B236" t="s" s="8"/>
      <c r="C236" t="s" s="8"/>
      <c r="D236" t="s" s="8"/>
      <c r="E236" t="s" s="8"/>
      <c r="F236" t="s" s="8"/>
      <c r="G236" t="s" s="8"/>
      <c r="H236" t="s" s="8"/>
      <c r="I236" t="s" s="8"/>
      <c r="J236" t="s" s="8"/>
      <c r="K236" t="s" s="8"/>
      <c r="L236" t="s" s="8"/>
    </row>
    <row r="237" ht="15.75" customHeight="true">
      <c r="A237" t="s" s="15"/>
      <c r="B237" t="s" s="8"/>
      <c r="C237" t="s" s="8"/>
      <c r="D237" t="s" s="8"/>
      <c r="E237" t="s" s="8"/>
      <c r="F237" t="s" s="8"/>
      <c r="G237" t="s" s="8"/>
      <c r="H237" t="s" s="8"/>
      <c r="I237" t="s" s="8"/>
      <c r="J237" t="s" s="8"/>
      <c r="K237" t="s" s="8"/>
      <c r="L237" t="s" s="8"/>
    </row>
    <row r="238" ht="15.75" customHeight="true">
      <c r="A238" t="s" s="15"/>
      <c r="B238" t="s" s="8"/>
      <c r="C238" t="s" s="8"/>
      <c r="D238" t="s" s="8"/>
      <c r="E238" t="s" s="8"/>
      <c r="F238" t="s" s="8"/>
      <c r="G238" t="s" s="8"/>
      <c r="H238" t="s" s="8"/>
      <c r="I238" t="s" s="8"/>
      <c r="J238" t="s" s="8"/>
      <c r="K238" t="s" s="8"/>
      <c r="L238" t="s" s="8"/>
    </row>
    <row r="239" ht="15.75" customHeight="true">
      <c r="A239" t="s" s="15"/>
      <c r="B239" t="s" s="8"/>
      <c r="C239" t="s" s="8"/>
      <c r="D239" t="s" s="8"/>
      <c r="E239" t="s" s="8"/>
      <c r="F239" t="s" s="8"/>
      <c r="G239" t="s" s="8"/>
      <c r="H239" t="s" s="8"/>
      <c r="I239" t="s" s="8"/>
      <c r="J239" t="s" s="8"/>
      <c r="K239" t="s" s="8"/>
      <c r="L239" t="s" s="8"/>
    </row>
    <row r="240" ht="15.75" customHeight="true">
      <c r="A240" t="s" s="15"/>
      <c r="B240" t="s" s="8"/>
      <c r="C240" t="s" s="8"/>
      <c r="D240" t="s" s="8"/>
      <c r="E240" t="s" s="8"/>
      <c r="F240" t="s" s="8"/>
      <c r="G240" t="s" s="8"/>
      <c r="H240" t="s" s="8"/>
      <c r="I240" t="s" s="8"/>
      <c r="J240" t="s" s="8"/>
      <c r="K240" t="s" s="8"/>
      <c r="L240" t="s" s="8"/>
    </row>
    <row r="241" ht="15.75" customHeight="true">
      <c r="A241" t="s" s="15"/>
      <c r="B241" t="s" s="8"/>
      <c r="C241" t="s" s="8"/>
      <c r="D241" t="s" s="8"/>
      <c r="E241" t="s" s="8"/>
      <c r="F241" t="s" s="8"/>
      <c r="G241" t="s" s="8"/>
      <c r="H241" t="s" s="8"/>
      <c r="I241" t="s" s="8"/>
      <c r="J241" t="s" s="8"/>
      <c r="K241" t="s" s="8"/>
      <c r="L241" t="s" s="8"/>
    </row>
    <row r="242" ht="15.75" customHeight="true">
      <c r="A242" t="s" s="15"/>
      <c r="B242" t="s" s="8"/>
      <c r="C242" t="s" s="8"/>
      <c r="D242" t="s" s="8"/>
      <c r="E242" t="s" s="8"/>
      <c r="F242" t="s" s="8"/>
      <c r="G242" t="s" s="8"/>
      <c r="H242" t="s" s="8"/>
      <c r="I242" t="s" s="8"/>
      <c r="J242" t="s" s="8"/>
      <c r="K242" t="s" s="8"/>
      <c r="L242" t="s" s="8"/>
    </row>
    <row r="243" ht="15.75" customHeight="true">
      <c r="A243" t="s" s="15"/>
      <c r="B243" t="s" s="8"/>
      <c r="C243" t="s" s="8"/>
      <c r="D243" t="s" s="8"/>
      <c r="E243" t="s" s="8"/>
      <c r="F243" t="s" s="8"/>
      <c r="G243" t="s" s="8"/>
      <c r="H243" t="s" s="8"/>
      <c r="I243" t="s" s="8"/>
      <c r="J243" t="s" s="8"/>
      <c r="K243" t="s" s="8"/>
      <c r="L243" t="s" s="8"/>
    </row>
    <row r="244" ht="15.75" customHeight="true">
      <c r="A244" t="s" s="15"/>
      <c r="B244" t="s" s="8"/>
      <c r="C244" t="s" s="8"/>
      <c r="D244" t="s" s="8"/>
      <c r="E244" t="s" s="8"/>
      <c r="F244" t="s" s="8"/>
      <c r="G244" t="s" s="8"/>
      <c r="H244" t="s" s="8"/>
      <c r="I244" t="s" s="8"/>
      <c r="J244" t="s" s="8"/>
      <c r="K244" t="s" s="8"/>
      <c r="L244" t="s" s="8"/>
    </row>
    <row r="245" ht="15.75" customHeight="true">
      <c r="A245" t="s" s="15"/>
      <c r="B245" t="s" s="8"/>
      <c r="C245" t="s" s="8"/>
      <c r="D245" t="s" s="8"/>
      <c r="E245" t="s" s="8"/>
      <c r="F245" t="s" s="8"/>
      <c r="G245" t="s" s="8"/>
      <c r="H245" t="s" s="8"/>
      <c r="I245" t="s" s="8"/>
      <c r="J245" t="s" s="8"/>
      <c r="K245" t="s" s="8"/>
      <c r="L245" t="s" s="8"/>
    </row>
    <row r="246" ht="15.75" customHeight="true">
      <c r="A246" t="s" s="15"/>
      <c r="B246" t="s" s="8"/>
      <c r="C246" t="s" s="8"/>
      <c r="D246" t="s" s="8"/>
      <c r="E246" t="s" s="8"/>
      <c r="F246" t="s" s="8"/>
      <c r="G246" t="s" s="8"/>
      <c r="H246" t="s" s="8"/>
      <c r="I246" t="s" s="8"/>
      <c r="J246" t="s" s="8"/>
      <c r="K246" t="s" s="8"/>
      <c r="L246" t="s" s="8"/>
    </row>
    <row r="247" ht="15.75" customHeight="true">
      <c r="A247" t="s" s="15"/>
      <c r="B247" t="s" s="8"/>
      <c r="C247" t="s" s="8"/>
      <c r="D247" t="s" s="8"/>
      <c r="E247" t="s" s="8"/>
      <c r="F247" t="s" s="8"/>
      <c r="G247" t="s" s="8"/>
      <c r="H247" t="s" s="8"/>
      <c r="I247" t="s" s="8"/>
      <c r="J247" t="s" s="8"/>
      <c r="K247" t="s" s="8"/>
      <c r="L247" t="s" s="8"/>
    </row>
    <row r="248" ht="15.75" customHeight="true">
      <c r="A248" t="s" s="15"/>
      <c r="B248" t="s" s="8"/>
      <c r="C248" t="s" s="8"/>
      <c r="D248" t="s" s="8"/>
      <c r="E248" t="s" s="8"/>
      <c r="F248" t="s" s="8"/>
      <c r="G248" t="s" s="8"/>
      <c r="H248" t="s" s="8"/>
      <c r="I248" t="s" s="8"/>
      <c r="J248" t="s" s="8"/>
      <c r="K248" t="s" s="8"/>
      <c r="L248" t="s" s="8"/>
    </row>
    <row r="249" ht="15.75" customHeight="true">
      <c r="A249" t="s" s="15"/>
      <c r="B249" t="s" s="8"/>
      <c r="C249" t="s" s="8"/>
      <c r="D249" t="s" s="8"/>
      <c r="E249" t="s" s="8"/>
      <c r="F249" t="s" s="8"/>
      <c r="G249" t="s" s="8"/>
      <c r="H249" t="s" s="8"/>
      <c r="I249" t="s" s="8"/>
      <c r="J249" t="s" s="8"/>
      <c r="K249" t="s" s="8"/>
      <c r="L249" t="s" s="8"/>
    </row>
    <row r="250" ht="15.75" customHeight="true">
      <c r="A250" t="s" s="15"/>
      <c r="B250" t="s" s="8"/>
      <c r="C250" t="s" s="8"/>
      <c r="D250" t="s" s="8"/>
      <c r="E250" t="s" s="8"/>
      <c r="F250" t="s" s="8"/>
      <c r="G250" t="s" s="8"/>
      <c r="H250" t="s" s="8"/>
      <c r="I250" t="s" s="8"/>
      <c r="J250" t="s" s="8"/>
      <c r="K250" t="s" s="8"/>
      <c r="L250" t="s" s="8"/>
    </row>
    <row r="251" ht="15.75" customHeight="true">
      <c r="A251" t="s" s="15"/>
      <c r="B251" t="s" s="8"/>
      <c r="C251" t="s" s="8"/>
      <c r="D251" t="s" s="8"/>
      <c r="E251" t="s" s="8"/>
      <c r="F251" t="s" s="8"/>
      <c r="G251" t="s" s="8"/>
      <c r="H251" t="s" s="8"/>
      <c r="I251" t="s" s="8"/>
      <c r="J251" t="s" s="8"/>
      <c r="K251" t="s" s="8"/>
      <c r="L251" t="s" s="8"/>
    </row>
    <row r="252" ht="15.75" customHeight="true">
      <c r="A252" t="s" s="15"/>
      <c r="B252" t="s" s="8"/>
      <c r="C252" t="s" s="8"/>
      <c r="D252" t="s" s="8"/>
      <c r="E252" t="s" s="8"/>
      <c r="F252" t="s" s="8"/>
      <c r="G252" t="s" s="8"/>
      <c r="H252" t="s" s="8"/>
      <c r="I252" t="s" s="8"/>
      <c r="J252" t="s" s="8"/>
      <c r="K252" t="s" s="8"/>
      <c r="L252" t="s" s="8"/>
    </row>
    <row r="253" ht="15.75" customHeight="true">
      <c r="A253" t="s" s="15"/>
      <c r="B253" t="s" s="8"/>
      <c r="C253" t="s" s="8"/>
      <c r="D253" t="s" s="8"/>
      <c r="E253" t="s" s="8"/>
      <c r="F253" t="s" s="8"/>
      <c r="G253" t="s" s="8"/>
      <c r="H253" t="s" s="8"/>
      <c r="I253" t="s" s="8"/>
      <c r="J253" t="s" s="8"/>
      <c r="K253" t="s" s="8"/>
      <c r="L253" t="s" s="8"/>
    </row>
    <row r="254" ht="15.75" customHeight="true">
      <c r="A254" t="s" s="15"/>
      <c r="B254" t="s" s="8"/>
      <c r="C254" t="s" s="8"/>
      <c r="D254" t="s" s="8"/>
      <c r="E254" t="s" s="8"/>
      <c r="F254" t="s" s="8"/>
      <c r="G254" t="s" s="8"/>
      <c r="H254" t="s" s="8"/>
      <c r="I254" t="s" s="8"/>
      <c r="J254" t="s" s="8"/>
      <c r="K254" t="s" s="8"/>
      <c r="L254" t="s" s="8"/>
    </row>
    <row r="255" ht="15.75" customHeight="true">
      <c r="A255" t="s" s="15"/>
      <c r="B255" t="s" s="8"/>
      <c r="C255" t="s" s="8"/>
      <c r="D255" t="s" s="8"/>
      <c r="E255" t="s" s="8"/>
      <c r="F255" t="s" s="8"/>
      <c r="G255" t="s" s="8"/>
      <c r="H255" t="s" s="8"/>
      <c r="I255" t="s" s="8"/>
      <c r="J255" t="s" s="8"/>
      <c r="K255" t="s" s="8"/>
      <c r="L255" t="s" s="8"/>
    </row>
    <row r="256" ht="15.75" customHeight="true">
      <c r="A256" t="s" s="15"/>
      <c r="B256" t="s" s="8"/>
      <c r="C256" t="s" s="8"/>
      <c r="D256" t="s" s="8"/>
      <c r="E256" t="s" s="8"/>
      <c r="F256" t="s" s="8"/>
      <c r="G256" t="s" s="8"/>
      <c r="H256" t="s" s="8"/>
      <c r="I256" t="s" s="8"/>
      <c r="J256" t="s" s="8"/>
      <c r="K256" t="s" s="8"/>
      <c r="L256" t="s" s="8"/>
    </row>
    <row r="257" ht="15.75" customHeight="true">
      <c r="A257" t="s" s="15"/>
      <c r="B257" t="s" s="8"/>
      <c r="C257" t="s" s="8"/>
      <c r="D257" t="s" s="8"/>
      <c r="E257" t="s" s="8"/>
      <c r="F257" t="s" s="8"/>
      <c r="G257" t="s" s="8"/>
      <c r="H257" t="s" s="8"/>
      <c r="I257" t="s" s="8"/>
      <c r="J257" t="s" s="8"/>
      <c r="K257" t="s" s="8"/>
      <c r="L257" t="s" s="8"/>
    </row>
    <row r="258" ht="15.75" customHeight="true">
      <c r="A258" t="s" s="15"/>
      <c r="B258" t="s" s="8"/>
      <c r="C258" t="s" s="8"/>
      <c r="D258" t="s" s="8"/>
      <c r="E258" t="s" s="8"/>
      <c r="F258" t="s" s="8"/>
      <c r="G258" t="s" s="8"/>
      <c r="H258" t="s" s="8"/>
      <c r="I258" t="s" s="8"/>
      <c r="J258" t="s" s="8"/>
      <c r="K258" t="s" s="8"/>
      <c r="L258" t="s" s="8"/>
    </row>
    <row r="259" ht="15.75" customHeight="true">
      <c r="A259" t="s" s="15"/>
      <c r="B259" t="s" s="8"/>
      <c r="C259" t="s" s="8"/>
      <c r="D259" t="s" s="8"/>
      <c r="E259" t="s" s="8"/>
      <c r="F259" t="s" s="8"/>
      <c r="G259" t="s" s="8"/>
      <c r="H259" t="s" s="8"/>
      <c r="I259" t="s" s="8"/>
      <c r="J259" t="s" s="8"/>
      <c r="K259" t="s" s="8"/>
      <c r="L259" t="s" s="8"/>
    </row>
    <row r="260" ht="15.75" customHeight="true">
      <c r="A260" t="s" s="15"/>
      <c r="B260" t="s" s="8"/>
      <c r="C260" t="s" s="8"/>
      <c r="D260" t="s" s="8"/>
      <c r="E260" t="s" s="8"/>
      <c r="F260" t="s" s="8"/>
      <c r="G260" t="s" s="8"/>
      <c r="H260" t="s" s="8"/>
      <c r="I260" t="s" s="8"/>
      <c r="J260" t="s" s="8"/>
      <c r="K260" t="s" s="8"/>
      <c r="L260" t="s" s="8"/>
    </row>
    <row r="261" ht="15.75" customHeight="true">
      <c r="A261" t="s" s="15"/>
      <c r="B261" t="s" s="8"/>
      <c r="C261" t="s" s="8"/>
      <c r="D261" t="s" s="8"/>
      <c r="E261" t="s" s="8"/>
      <c r="F261" t="s" s="8"/>
      <c r="G261" t="s" s="8"/>
      <c r="H261" t="s" s="8"/>
      <c r="I261" t="s" s="8"/>
      <c r="J261" t="s" s="8"/>
      <c r="K261" t="s" s="8"/>
      <c r="L261" t="s" s="8"/>
    </row>
    <row r="262" ht="15.75" customHeight="true">
      <c r="A262" t="s" s="15"/>
      <c r="B262" t="s" s="8"/>
      <c r="C262" t="s" s="8"/>
      <c r="D262" t="s" s="8"/>
      <c r="E262" t="s" s="8"/>
      <c r="F262" t="s" s="8"/>
      <c r="G262" t="s" s="8"/>
      <c r="H262" t="s" s="8"/>
      <c r="I262" t="s" s="8"/>
      <c r="J262" t="s" s="8"/>
      <c r="K262" t="s" s="8"/>
      <c r="L262" t="s" s="8"/>
    </row>
    <row r="263" ht="15.75" customHeight="true">
      <c r="A263" t="s" s="15"/>
      <c r="B263" t="s" s="8"/>
      <c r="C263" t="s" s="8"/>
      <c r="D263" t="s" s="8"/>
      <c r="E263" t="s" s="8"/>
      <c r="F263" t="s" s="8"/>
      <c r="G263" t="s" s="8"/>
      <c r="H263" t="s" s="8"/>
      <c r="I263" t="s" s="8"/>
      <c r="J263" t="s" s="8"/>
      <c r="K263" t="s" s="8"/>
      <c r="L263" t="s" s="8"/>
    </row>
    <row r="264" ht="15.75" customHeight="true">
      <c r="A264" t="s" s="15"/>
      <c r="B264" t="s" s="8"/>
      <c r="C264" t="s" s="8"/>
      <c r="D264" t="s" s="8"/>
      <c r="E264" t="s" s="8"/>
      <c r="F264" t="s" s="8"/>
      <c r="G264" t="s" s="8"/>
      <c r="H264" t="s" s="8"/>
      <c r="I264" t="s" s="8"/>
      <c r="J264" t="s" s="8"/>
      <c r="K264" t="s" s="8"/>
      <c r="L264" t="s" s="8"/>
    </row>
    <row r="265" ht="15.75" customHeight="true">
      <c r="A265" t="s" s="15"/>
      <c r="B265" t="s" s="8"/>
      <c r="C265" t="s" s="8"/>
      <c r="D265" t="s" s="8"/>
      <c r="E265" t="s" s="8"/>
      <c r="F265" t="s" s="8"/>
      <c r="G265" t="s" s="8"/>
      <c r="H265" t="s" s="8"/>
      <c r="I265" t="s" s="8"/>
      <c r="J265" t="s" s="8"/>
      <c r="K265" t="s" s="8"/>
      <c r="L265" t="s" s="8"/>
    </row>
    <row r="266" ht="15.75" customHeight="true">
      <c r="A266" t="s" s="15"/>
      <c r="B266" t="s" s="8"/>
      <c r="C266" t="s" s="8"/>
      <c r="D266" t="s" s="8"/>
      <c r="E266" t="s" s="8"/>
      <c r="F266" t="s" s="8"/>
      <c r="G266" t="s" s="8"/>
      <c r="H266" t="s" s="8"/>
      <c r="I266" t="s" s="8"/>
      <c r="J266" t="s" s="8"/>
      <c r="K266" t="s" s="8"/>
      <c r="L266" t="s" s="8"/>
    </row>
    <row r="267" ht="15.75" customHeight="true">
      <c r="A267" t="s" s="15"/>
      <c r="B267" t="s" s="8"/>
      <c r="C267" t="s" s="8"/>
      <c r="D267" t="s" s="8"/>
      <c r="E267" t="s" s="8"/>
      <c r="F267" t="s" s="8"/>
      <c r="G267" t="s" s="8"/>
      <c r="H267" t="s" s="8"/>
      <c r="I267" t="s" s="8"/>
      <c r="J267" t="s" s="8"/>
      <c r="K267" t="s" s="8"/>
      <c r="L267" t="s" s="8"/>
    </row>
    <row r="268" ht="15.75" customHeight="true">
      <c r="A268" t="s" s="15"/>
      <c r="B268" t="s" s="8"/>
      <c r="C268" t="s" s="8"/>
      <c r="D268" t="s" s="8"/>
      <c r="E268" t="s" s="8"/>
      <c r="F268" t="s" s="8"/>
      <c r="G268" t="s" s="8"/>
      <c r="H268" t="s" s="8"/>
      <c r="I268" t="s" s="8"/>
      <c r="J268" t="s" s="8"/>
      <c r="K268" t="s" s="8"/>
      <c r="L268" t="s" s="8"/>
    </row>
    <row r="269" ht="15.75" customHeight="true">
      <c r="A269" t="s" s="15"/>
      <c r="B269" t="s" s="8"/>
      <c r="C269" t="s" s="8"/>
      <c r="D269" t="s" s="8"/>
      <c r="E269" t="s" s="8"/>
      <c r="F269" t="s" s="8"/>
      <c r="G269" t="s" s="8"/>
      <c r="H269" t="s" s="8"/>
      <c r="I269" t="s" s="8"/>
      <c r="J269" t="s" s="8"/>
      <c r="K269" t="s" s="8"/>
      <c r="L269" t="s" s="8"/>
    </row>
    <row r="270" ht="15.75" customHeight="true">
      <c r="A270" t="s" s="15"/>
      <c r="B270" t="s" s="8"/>
      <c r="C270" t="s" s="8"/>
      <c r="D270" t="s" s="8"/>
      <c r="E270" t="s" s="8"/>
      <c r="F270" t="s" s="8"/>
      <c r="G270" t="s" s="8"/>
      <c r="H270" t="s" s="8"/>
      <c r="I270" t="s" s="8"/>
      <c r="J270" t="s" s="8"/>
      <c r="K270" t="s" s="8"/>
      <c r="L270" t="s" s="8"/>
    </row>
    <row r="271" ht="15.75" customHeight="true">
      <c r="A271" t="s" s="15"/>
      <c r="B271" t="s" s="8"/>
      <c r="C271" t="s" s="8"/>
      <c r="D271" t="s" s="8"/>
      <c r="E271" t="s" s="8"/>
      <c r="F271" t="s" s="8"/>
      <c r="G271" t="s" s="8"/>
      <c r="H271" t="s" s="8"/>
      <c r="I271" t="s" s="8"/>
      <c r="J271" t="s" s="8"/>
      <c r="K271" t="s" s="8"/>
      <c r="L271" t="s" s="8"/>
    </row>
    <row r="272" ht="15.75" customHeight="true">
      <c r="A272" t="s" s="15"/>
      <c r="B272" t="s" s="8"/>
      <c r="C272" t="s" s="8"/>
      <c r="D272" t="s" s="8"/>
      <c r="E272" t="s" s="8"/>
      <c r="F272" t="s" s="8"/>
      <c r="G272" t="s" s="8"/>
      <c r="H272" t="s" s="8"/>
      <c r="I272" t="s" s="8"/>
      <c r="J272" t="s" s="8"/>
      <c r="K272" t="s" s="8"/>
      <c r="L272" t="s" s="8"/>
    </row>
    <row r="273" ht="15.75" customHeight="true">
      <c r="A273" t="s" s="15"/>
      <c r="B273" t="s" s="8"/>
      <c r="C273" t="s" s="8"/>
      <c r="D273" t="s" s="8"/>
      <c r="E273" t="s" s="8"/>
      <c r="F273" t="s" s="8"/>
      <c r="G273" t="s" s="8"/>
      <c r="H273" t="s" s="8"/>
      <c r="I273" t="s" s="8"/>
      <c r="J273" t="s" s="8"/>
      <c r="K273" t="s" s="8"/>
      <c r="L273" t="s" s="8"/>
    </row>
    <row r="274" ht="15.75" customHeight="true">
      <c r="A274" t="s" s="15"/>
      <c r="B274" t="s" s="8"/>
      <c r="C274" t="s" s="8"/>
      <c r="D274" t="s" s="8"/>
      <c r="E274" t="s" s="8"/>
      <c r="F274" t="s" s="8"/>
      <c r="G274" t="s" s="8"/>
      <c r="H274" t="s" s="8"/>
      <c r="I274" t="s" s="8"/>
      <c r="J274" t="s" s="8"/>
      <c r="K274" t="s" s="8"/>
      <c r="L274" t="s" s="8"/>
    </row>
    <row r="275" ht="15.75" customHeight="true">
      <c r="A275" t="s" s="15"/>
      <c r="B275" t="s" s="8"/>
      <c r="C275" t="s" s="8"/>
      <c r="D275" t="s" s="8"/>
      <c r="E275" t="s" s="8"/>
      <c r="F275" t="s" s="8"/>
      <c r="G275" t="s" s="8"/>
      <c r="H275" t="s" s="8"/>
      <c r="I275" t="s" s="8"/>
      <c r="J275" t="s" s="8"/>
      <c r="K275" t="s" s="8"/>
      <c r="L275" t="s" s="8"/>
    </row>
    <row r="276" ht="15.75" customHeight="true">
      <c r="A276" t="s" s="15"/>
      <c r="B276" t="s" s="8"/>
      <c r="C276" t="s" s="8"/>
      <c r="D276" t="s" s="8"/>
      <c r="E276" t="s" s="8"/>
      <c r="F276" t="s" s="8"/>
      <c r="G276" t="s" s="8"/>
      <c r="H276" t="s" s="8"/>
      <c r="I276" t="s" s="8"/>
      <c r="J276" t="s" s="8"/>
      <c r="K276" t="s" s="8"/>
      <c r="L276" t="s" s="8"/>
    </row>
    <row r="277" ht="15.75" customHeight="true">
      <c r="A277" t="s" s="15"/>
      <c r="B277" t="s" s="8"/>
      <c r="C277" t="s" s="8"/>
      <c r="D277" t="s" s="8"/>
      <c r="E277" t="s" s="8"/>
      <c r="F277" t="s" s="8"/>
      <c r="G277" t="s" s="8"/>
      <c r="H277" t="s" s="8"/>
      <c r="I277" t="s" s="8"/>
      <c r="J277" t="s" s="8"/>
      <c r="K277" t="s" s="8"/>
      <c r="L277" t="s" s="8"/>
    </row>
    <row r="278" ht="15.75" customHeight="true">
      <c r="A278" t="s" s="15"/>
      <c r="B278" t="s" s="8"/>
      <c r="C278" t="s" s="8"/>
      <c r="D278" t="s" s="8"/>
      <c r="E278" t="s" s="8"/>
      <c r="F278" t="s" s="8"/>
      <c r="G278" t="s" s="8"/>
      <c r="H278" t="s" s="8"/>
      <c r="I278" t="s" s="8"/>
      <c r="J278" t="s" s="8"/>
      <c r="K278" t="s" s="8"/>
      <c r="L278" t="s" s="8"/>
    </row>
    <row r="279" ht="15.75" customHeight="true">
      <c r="A279" t="s" s="15"/>
      <c r="B279" t="s" s="8"/>
      <c r="C279" t="s" s="8"/>
      <c r="D279" t="s" s="8"/>
      <c r="E279" t="s" s="8"/>
      <c r="F279" t="s" s="8"/>
      <c r="G279" t="s" s="8"/>
      <c r="H279" t="s" s="8"/>
      <c r="I279" t="s" s="8"/>
      <c r="J279" t="s" s="8"/>
      <c r="K279" t="s" s="8"/>
      <c r="L279" t="s" s="8"/>
    </row>
    <row r="280" ht="15.75" customHeight="true">
      <c r="A280" t="s" s="15"/>
      <c r="B280" t="s" s="8"/>
      <c r="C280" t="s" s="8"/>
      <c r="D280" t="s" s="8"/>
      <c r="E280" t="s" s="8"/>
      <c r="F280" t="s" s="8"/>
      <c r="G280" t="s" s="8"/>
      <c r="H280" t="s" s="8"/>
      <c r="I280" t="s" s="8"/>
      <c r="J280" t="s" s="8"/>
      <c r="K280" t="s" s="8"/>
      <c r="L280" t="s" s="8"/>
    </row>
    <row r="281" ht="15.75" customHeight="true">
      <c r="A281" t="s" s="15"/>
      <c r="B281" t="s" s="8"/>
      <c r="C281" t="s" s="8"/>
      <c r="D281" t="s" s="8"/>
      <c r="E281" t="s" s="8"/>
      <c r="F281" t="s" s="8"/>
      <c r="G281" t="s" s="8"/>
      <c r="H281" t="s" s="8"/>
      <c r="I281" t="s" s="8"/>
      <c r="J281" t="s" s="8"/>
      <c r="K281" t="s" s="8"/>
      <c r="L281" t="s" s="8"/>
    </row>
    <row r="282" ht="15.75" customHeight="true">
      <c r="A282" t="s" s="15"/>
      <c r="B282" t="s" s="8"/>
      <c r="C282" t="s" s="8"/>
      <c r="D282" t="s" s="8"/>
      <c r="E282" t="s" s="8"/>
      <c r="F282" t="s" s="8"/>
      <c r="G282" t="s" s="8"/>
      <c r="H282" t="s" s="8"/>
      <c r="I282" t="s" s="8"/>
      <c r="J282" t="s" s="8"/>
      <c r="K282" t="s" s="8"/>
      <c r="L282" t="s" s="8"/>
    </row>
    <row r="283" ht="15.75" customHeight="true">
      <c r="A283" t="s" s="15"/>
      <c r="B283" t="s" s="8"/>
      <c r="C283" t="s" s="8"/>
      <c r="D283" t="s" s="8"/>
      <c r="E283" t="s" s="8"/>
      <c r="F283" t="s" s="8"/>
      <c r="G283" t="s" s="8"/>
      <c r="H283" t="s" s="8"/>
      <c r="I283" t="s" s="8"/>
      <c r="J283" t="s" s="8"/>
      <c r="K283" t="s" s="8"/>
      <c r="L283" t="s" s="8"/>
    </row>
    <row r="284" ht="15.75" customHeight="true">
      <c r="A284" t="s" s="15"/>
      <c r="B284" t="s" s="8"/>
      <c r="C284" t="s" s="8"/>
      <c r="D284" t="s" s="8"/>
      <c r="E284" t="s" s="8"/>
      <c r="F284" t="s" s="8"/>
      <c r="G284" t="s" s="8"/>
      <c r="H284" t="s" s="8"/>
      <c r="I284" t="s" s="8"/>
      <c r="J284" t="s" s="8"/>
      <c r="K284" t="s" s="8"/>
      <c r="L284" t="s" s="8"/>
    </row>
    <row r="285" ht="15.75" customHeight="true">
      <c r="A285" t="s" s="15"/>
      <c r="B285" t="s" s="8"/>
      <c r="C285" t="s" s="8"/>
      <c r="D285" t="s" s="8"/>
      <c r="E285" t="s" s="8"/>
      <c r="F285" t="s" s="8"/>
      <c r="G285" t="s" s="8"/>
      <c r="H285" t="s" s="8"/>
      <c r="I285" t="s" s="8"/>
      <c r="J285" t="s" s="8"/>
      <c r="K285" t="s" s="8"/>
      <c r="L285" t="s" s="8"/>
    </row>
    <row r="286" ht="15.75" customHeight="true">
      <c r="A286" t="s" s="15"/>
      <c r="B286" t="s" s="8"/>
      <c r="C286" t="s" s="8"/>
      <c r="D286" t="s" s="8"/>
      <c r="E286" t="s" s="8"/>
      <c r="F286" t="s" s="8"/>
      <c r="G286" t="s" s="8"/>
      <c r="H286" t="s" s="8"/>
      <c r="I286" t="s" s="8"/>
      <c r="J286" t="s" s="8"/>
      <c r="K286" t="s" s="8"/>
      <c r="L286" t="s" s="8"/>
    </row>
    <row r="287" ht="15.75" customHeight="true">
      <c r="A287" t="s" s="15"/>
      <c r="B287" t="s" s="8"/>
      <c r="C287" t="s" s="8"/>
      <c r="D287" t="s" s="8"/>
      <c r="E287" t="s" s="8"/>
      <c r="F287" t="s" s="8"/>
      <c r="G287" t="s" s="8"/>
      <c r="H287" t="s" s="8"/>
      <c r="I287" t="s" s="8"/>
      <c r="J287" t="s" s="8"/>
      <c r="K287" t="s" s="8"/>
      <c r="L287" t="s" s="8"/>
    </row>
    <row r="288" ht="15.75" customHeight="true">
      <c r="A288" t="s" s="15"/>
      <c r="B288" t="s" s="8"/>
      <c r="C288" t="s" s="8"/>
      <c r="D288" t="s" s="8"/>
      <c r="E288" t="s" s="8"/>
      <c r="F288" t="s" s="8"/>
      <c r="G288" t="s" s="8"/>
      <c r="H288" t="s" s="8"/>
      <c r="I288" t="s" s="8"/>
      <c r="J288" t="s" s="8"/>
      <c r="K288" t="s" s="8"/>
      <c r="L288" t="s" s="8"/>
    </row>
    <row r="289" ht="15.75" customHeight="true">
      <c r="A289" t="s" s="15"/>
      <c r="B289" t="s" s="8"/>
      <c r="C289" t="s" s="8"/>
      <c r="D289" t="s" s="8"/>
      <c r="E289" t="s" s="8"/>
      <c r="F289" t="s" s="8"/>
      <c r="G289" t="s" s="8"/>
      <c r="H289" t="s" s="8"/>
      <c r="I289" t="s" s="8"/>
      <c r="J289" t="s" s="8"/>
      <c r="K289" t="s" s="8"/>
      <c r="L289" t="s" s="8"/>
    </row>
    <row r="290" ht="15.75" customHeight="true">
      <c r="A290" t="s" s="15"/>
      <c r="B290" t="s" s="8"/>
      <c r="C290" t="s" s="8"/>
      <c r="D290" t="s" s="8"/>
      <c r="E290" t="s" s="8"/>
      <c r="F290" t="s" s="8"/>
      <c r="G290" t="s" s="8"/>
      <c r="H290" t="s" s="8"/>
      <c r="I290" t="s" s="8"/>
      <c r="J290" t="s" s="8"/>
      <c r="K290" t="s" s="8"/>
      <c r="L290" t="s" s="8"/>
    </row>
    <row r="291" ht="15.75" customHeight="true">
      <c r="A291" t="s" s="15"/>
      <c r="B291" t="s" s="8"/>
      <c r="C291" t="s" s="8"/>
      <c r="D291" t="s" s="8"/>
      <c r="E291" t="s" s="8"/>
      <c r="F291" t="s" s="8"/>
      <c r="G291" t="s" s="8"/>
      <c r="H291" t="s" s="8"/>
      <c r="I291" t="s" s="8"/>
      <c r="J291" t="s" s="8"/>
      <c r="K291" t="s" s="8"/>
      <c r="L291" t="s" s="8"/>
    </row>
    <row r="292" ht="15.75" customHeight="true">
      <c r="A292" t="s" s="15"/>
      <c r="B292" t="s" s="8"/>
      <c r="C292" t="s" s="8"/>
      <c r="D292" t="s" s="8"/>
      <c r="E292" t="s" s="8"/>
      <c r="F292" t="s" s="8"/>
      <c r="G292" t="s" s="8"/>
      <c r="H292" t="s" s="8"/>
      <c r="I292" t="s" s="8"/>
      <c r="J292" t="s" s="8"/>
      <c r="K292" t="s" s="8"/>
      <c r="L292" t="s" s="8"/>
    </row>
    <row r="293" ht="15.75" customHeight="true">
      <c r="A293" t="s" s="15"/>
      <c r="B293" t="s" s="8"/>
      <c r="C293" t="s" s="8"/>
      <c r="D293" t="s" s="8"/>
      <c r="E293" t="s" s="8"/>
      <c r="F293" t="s" s="8"/>
      <c r="G293" t="s" s="8"/>
      <c r="H293" t="s" s="8"/>
      <c r="I293" t="s" s="8"/>
      <c r="J293" t="s" s="8"/>
      <c r="K293" t="s" s="8"/>
      <c r="L293" t="s" s="8"/>
    </row>
    <row r="294" ht="15.75" customHeight="true">
      <c r="A294" t="s" s="15"/>
      <c r="B294" t="s" s="8"/>
      <c r="C294" t="s" s="8"/>
      <c r="D294" t="s" s="8"/>
      <c r="E294" t="s" s="8"/>
      <c r="F294" t="s" s="8"/>
      <c r="G294" t="s" s="8"/>
      <c r="H294" t="s" s="8"/>
      <c r="I294" t="s" s="8"/>
      <c r="J294" t="s" s="8"/>
      <c r="K294" t="s" s="8"/>
      <c r="L294" t="s" s="8"/>
    </row>
    <row r="295" ht="15.75" customHeight="true">
      <c r="A295" t="s" s="15"/>
      <c r="B295" t="s" s="8"/>
      <c r="C295" t="s" s="8"/>
      <c r="D295" t="s" s="8"/>
      <c r="E295" t="s" s="8"/>
      <c r="F295" t="s" s="8"/>
      <c r="G295" t="s" s="8"/>
      <c r="H295" t="s" s="8"/>
      <c r="I295" t="s" s="8"/>
      <c r="J295" t="s" s="8"/>
      <c r="K295" t="s" s="8"/>
      <c r="L295" t="s" s="8"/>
    </row>
    <row r="296" ht="15.75" customHeight="true">
      <c r="A296" t="s" s="15"/>
      <c r="B296" t="s" s="8"/>
      <c r="C296" t="s" s="8"/>
      <c r="D296" t="s" s="8"/>
      <c r="E296" t="s" s="8"/>
      <c r="F296" t="s" s="8"/>
      <c r="G296" t="s" s="8"/>
      <c r="H296" t="s" s="8"/>
      <c r="I296" t="s" s="8"/>
      <c r="J296" t="s" s="8"/>
      <c r="K296" t="s" s="8"/>
      <c r="L296" t="s" s="8"/>
    </row>
    <row r="297" ht="15.75" customHeight="true">
      <c r="A297" t="s" s="15"/>
      <c r="B297" t="s" s="8"/>
      <c r="C297" t="s" s="8"/>
      <c r="D297" t="s" s="8"/>
      <c r="E297" t="s" s="8"/>
      <c r="F297" t="s" s="8"/>
      <c r="G297" t="s" s="8"/>
      <c r="H297" t="s" s="8"/>
      <c r="I297" t="s" s="8"/>
      <c r="J297" t="s" s="8"/>
      <c r="K297" t="s" s="8"/>
      <c r="L297" t="s" s="8"/>
    </row>
    <row r="298" ht="15.75" customHeight="true">
      <c r="A298" t="s" s="15"/>
      <c r="B298" t="s" s="8"/>
      <c r="C298" t="s" s="8"/>
      <c r="D298" t="s" s="8"/>
      <c r="E298" t="s" s="8"/>
      <c r="F298" t="s" s="8"/>
      <c r="G298" t="s" s="8"/>
      <c r="H298" t="s" s="8"/>
      <c r="I298" t="s" s="8"/>
      <c r="J298" t="s" s="8"/>
      <c r="K298" t="s" s="8"/>
      <c r="L298" t="s" s="8"/>
    </row>
    <row r="299" ht="15.75" customHeight="true">
      <c r="A299" t="s" s="15"/>
      <c r="B299" t="s" s="8"/>
      <c r="C299" t="s" s="8"/>
      <c r="D299" t="s" s="8"/>
      <c r="E299" t="s" s="8"/>
      <c r="F299" t="s" s="8"/>
      <c r="G299" t="s" s="8"/>
      <c r="H299" t="s" s="8"/>
      <c r="I299" t="s" s="8"/>
      <c r="J299" t="s" s="8"/>
      <c r="K299" t="s" s="8"/>
      <c r="L299" t="s" s="8"/>
    </row>
    <row r="300" ht="15.75" customHeight="true">
      <c r="A300" t="s" s="15"/>
      <c r="B300" t="s" s="8"/>
      <c r="C300" t="s" s="8"/>
      <c r="D300" t="s" s="8"/>
      <c r="E300" t="s" s="8"/>
      <c r="F300" t="s" s="8"/>
      <c r="G300" t="s" s="8"/>
      <c r="H300" t="s" s="8"/>
      <c r="I300" t="s" s="8"/>
      <c r="J300" t="s" s="8"/>
      <c r="K300" t="s" s="8"/>
      <c r="L300" t="s" s="8"/>
    </row>
    <row r="301" ht="15.75" customHeight="true">
      <c r="A301" t="s" s="15"/>
      <c r="B301" t="s" s="8"/>
      <c r="C301" t="s" s="8"/>
      <c r="D301" t="s" s="8"/>
      <c r="E301" t="s" s="8"/>
      <c r="F301" t="s" s="8"/>
      <c r="G301" t="s" s="8"/>
      <c r="H301" t="s" s="8"/>
      <c r="I301" t="s" s="8"/>
      <c r="J301" t="s" s="8"/>
      <c r="K301" t="s" s="8"/>
      <c r="L301" t="s" s="8"/>
    </row>
    <row r="302" ht="15.75" customHeight="true">
      <c r="A302" t="s" s="15"/>
      <c r="B302" t="s" s="8"/>
      <c r="C302" t="s" s="8"/>
      <c r="D302" t="s" s="8"/>
      <c r="E302" t="s" s="8"/>
      <c r="F302" t="s" s="8"/>
      <c r="G302" t="s" s="8"/>
      <c r="H302" t="s" s="8"/>
      <c r="I302" t="s" s="8"/>
      <c r="J302" t="s" s="8"/>
      <c r="K302" t="s" s="8"/>
      <c r="L302" t="s" s="8"/>
    </row>
    <row r="303" ht="15.75" customHeight="true">
      <c r="A303" t="s" s="15"/>
      <c r="B303" t="s" s="8"/>
      <c r="C303" t="s" s="8"/>
      <c r="D303" t="s" s="8"/>
      <c r="E303" t="s" s="8"/>
      <c r="F303" t="s" s="8"/>
      <c r="G303" t="s" s="8"/>
      <c r="H303" t="s" s="8"/>
      <c r="I303" t="s" s="8"/>
      <c r="J303" t="s" s="8"/>
      <c r="K303" t="s" s="8"/>
      <c r="L303" t="s" s="8"/>
    </row>
    <row r="304" ht="15.75" customHeight="true">
      <c r="A304" t="s" s="15"/>
      <c r="B304" t="s" s="8"/>
      <c r="C304" t="s" s="8"/>
      <c r="D304" t="s" s="8"/>
      <c r="E304" t="s" s="8"/>
      <c r="F304" t="s" s="8"/>
      <c r="G304" t="s" s="8"/>
      <c r="H304" t="s" s="8"/>
      <c r="I304" t="s" s="8"/>
      <c r="J304" t="s" s="8"/>
      <c r="K304" t="s" s="8"/>
      <c r="L304" t="s" s="8"/>
    </row>
    <row r="305" ht="15.75" customHeight="true">
      <c r="A305" t="s" s="15"/>
      <c r="B305" t="s" s="8"/>
      <c r="C305" t="s" s="8"/>
      <c r="D305" t="s" s="8"/>
      <c r="E305" t="s" s="8"/>
      <c r="F305" t="s" s="8"/>
      <c r="G305" t="s" s="8"/>
      <c r="H305" t="s" s="8"/>
      <c r="I305" t="s" s="8"/>
      <c r="J305" t="s" s="8"/>
      <c r="K305" t="s" s="8"/>
      <c r="L305" t="s" s="8"/>
    </row>
    <row r="306" ht="15.75" customHeight="true">
      <c r="A306" t="s" s="15"/>
      <c r="B306" t="s" s="8"/>
      <c r="C306" t="s" s="8"/>
      <c r="D306" t="s" s="8"/>
      <c r="E306" t="s" s="8"/>
      <c r="F306" t="s" s="8"/>
      <c r="G306" t="s" s="8"/>
      <c r="H306" t="s" s="8"/>
      <c r="I306" t="s" s="8"/>
      <c r="J306" t="s" s="8"/>
      <c r="K306" t="s" s="8"/>
      <c r="L306" t="s" s="8"/>
    </row>
    <row r="307" ht="15.75" customHeight="true">
      <c r="A307" t="s" s="15"/>
      <c r="B307" t="s" s="8"/>
      <c r="C307" t="s" s="8"/>
      <c r="D307" t="s" s="8"/>
      <c r="E307" t="s" s="8"/>
      <c r="F307" t="s" s="8"/>
      <c r="G307" t="s" s="8"/>
      <c r="H307" t="s" s="8"/>
      <c r="I307" t="s" s="8"/>
      <c r="J307" t="s" s="8"/>
      <c r="K307" t="s" s="8"/>
      <c r="L307" t="s" s="8"/>
    </row>
    <row r="308" ht="15.75" customHeight="true">
      <c r="A308" t="s" s="15"/>
      <c r="B308" t="s" s="8"/>
      <c r="C308" t="s" s="8"/>
      <c r="D308" t="s" s="8"/>
      <c r="E308" t="s" s="8"/>
      <c r="F308" t="s" s="8"/>
      <c r="G308" t="s" s="8"/>
      <c r="H308" t="s" s="8"/>
      <c r="I308" t="s" s="8"/>
      <c r="J308" t="s" s="8"/>
      <c r="K308" t="s" s="8"/>
      <c r="L308" t="s" s="8"/>
    </row>
    <row r="309" ht="15.75" customHeight="true">
      <c r="A309" t="s" s="15"/>
      <c r="B309" t="s" s="8"/>
      <c r="C309" t="s" s="8"/>
      <c r="D309" t="s" s="8"/>
      <c r="E309" t="s" s="8"/>
      <c r="F309" t="s" s="8"/>
      <c r="G309" t="s" s="8"/>
      <c r="H309" t="s" s="8"/>
      <c r="I309" t="s" s="8"/>
      <c r="J309" t="s" s="8"/>
      <c r="K309" t="s" s="8"/>
      <c r="L309" t="s" s="8"/>
    </row>
    <row r="310" ht="15.75" customHeight="true">
      <c r="A310" t="s" s="15"/>
      <c r="B310" t="s" s="8"/>
      <c r="C310" t="s" s="8"/>
      <c r="D310" t="s" s="8"/>
      <c r="E310" t="s" s="8"/>
      <c r="F310" t="s" s="8"/>
      <c r="G310" t="s" s="8"/>
      <c r="H310" t="s" s="8"/>
      <c r="I310" t="s" s="8"/>
      <c r="J310" t="s" s="8"/>
      <c r="K310" t="s" s="8"/>
      <c r="L310" t="s" s="8"/>
    </row>
    <row r="311" ht="15.75" customHeight="true">
      <c r="A311" t="s" s="15"/>
      <c r="B311" t="s" s="8"/>
      <c r="C311" t="s" s="8"/>
      <c r="D311" t="s" s="8"/>
      <c r="E311" t="s" s="8"/>
      <c r="F311" t="s" s="8"/>
      <c r="G311" t="s" s="8"/>
      <c r="H311" t="s" s="8"/>
      <c r="I311" t="s" s="8"/>
      <c r="J311" t="s" s="8"/>
      <c r="K311" t="s" s="8"/>
      <c r="L311" t="s" s="8"/>
    </row>
    <row r="312" ht="15.75" customHeight="true">
      <c r="A312" t="s" s="15"/>
      <c r="B312" t="s" s="8"/>
      <c r="C312" t="s" s="8"/>
      <c r="D312" t="s" s="8"/>
      <c r="E312" t="s" s="8"/>
      <c r="F312" t="s" s="8"/>
      <c r="G312" t="s" s="8"/>
      <c r="H312" t="s" s="8"/>
      <c r="I312" t="s" s="8"/>
      <c r="J312" t="s" s="8"/>
      <c r="K312" t="s" s="8"/>
      <c r="L312" t="s" s="8"/>
    </row>
    <row r="313" ht="15.75" customHeight="true">
      <c r="A313" t="s" s="15"/>
      <c r="B313" t="s" s="8"/>
      <c r="C313" t="s" s="8"/>
      <c r="D313" t="s" s="8"/>
      <c r="E313" t="s" s="8"/>
      <c r="F313" t="s" s="8"/>
      <c r="G313" t="s" s="8"/>
      <c r="H313" t="s" s="8"/>
      <c r="I313" t="s" s="8"/>
      <c r="J313" t="s" s="8"/>
      <c r="K313" t="s" s="8"/>
      <c r="L313" t="s" s="8"/>
    </row>
    <row r="314" ht="15.75" customHeight="true">
      <c r="A314" t="s" s="15"/>
      <c r="B314" t="s" s="8"/>
      <c r="C314" t="s" s="8"/>
      <c r="D314" t="s" s="8"/>
      <c r="E314" t="s" s="8"/>
      <c r="F314" t="s" s="8"/>
      <c r="G314" t="s" s="8"/>
      <c r="H314" t="s" s="8"/>
      <c r="I314" t="s" s="8"/>
      <c r="J314" t="s" s="8"/>
      <c r="K314" t="s" s="8"/>
      <c r="L314" t="s" s="8"/>
    </row>
    <row r="315" ht="15.75" customHeight="true">
      <c r="A315" t="s" s="15"/>
      <c r="B315" t="s" s="8"/>
      <c r="C315" t="s" s="8"/>
      <c r="D315" t="s" s="8"/>
      <c r="E315" t="s" s="8"/>
      <c r="F315" t="s" s="8"/>
      <c r="G315" t="s" s="8"/>
      <c r="H315" t="s" s="8"/>
      <c r="I315" t="s" s="8"/>
      <c r="J315" t="s" s="8"/>
      <c r="K315" t="s" s="8"/>
      <c r="L315" t="s" s="8"/>
    </row>
    <row r="316" ht="15.75" customHeight="true">
      <c r="A316" t="s" s="15"/>
      <c r="B316" t="s" s="8"/>
      <c r="C316" t="s" s="8"/>
      <c r="D316" t="s" s="8"/>
      <c r="E316" t="s" s="8"/>
      <c r="F316" t="s" s="8"/>
      <c r="G316" t="s" s="8"/>
      <c r="H316" t="s" s="8"/>
      <c r="I316" t="s" s="8"/>
      <c r="J316" t="s" s="8"/>
      <c r="K316" t="s" s="8"/>
      <c r="L316" t="s" s="8"/>
    </row>
    <row r="317" ht="15.75" customHeight="true">
      <c r="A317" t="s" s="15"/>
      <c r="B317" t="s" s="8"/>
      <c r="C317" t="s" s="8"/>
      <c r="D317" t="s" s="8"/>
      <c r="E317" t="s" s="8"/>
      <c r="F317" t="s" s="8"/>
      <c r="G317" t="s" s="8"/>
      <c r="H317" t="s" s="8"/>
      <c r="I317" t="s" s="8"/>
      <c r="J317" t="s" s="8"/>
      <c r="K317" t="s" s="8"/>
      <c r="L317" t="s" s="8"/>
    </row>
    <row r="318" ht="15.75" customHeight="true">
      <c r="A318" t="s" s="15"/>
      <c r="B318" t="s" s="8"/>
      <c r="C318" t="s" s="8"/>
      <c r="D318" t="s" s="8"/>
      <c r="E318" t="s" s="8"/>
      <c r="F318" t="s" s="8"/>
      <c r="G318" t="s" s="8"/>
      <c r="H318" t="s" s="8"/>
      <c r="I318" t="s" s="8"/>
      <c r="J318" t="s" s="8"/>
      <c r="K318" t="s" s="8"/>
      <c r="L318" t="s" s="8"/>
    </row>
    <row r="319" ht="15.75" customHeight="true">
      <c r="A319" t="s" s="15"/>
      <c r="B319" t="s" s="8"/>
      <c r="C319" t="s" s="8"/>
      <c r="D319" t="s" s="8"/>
      <c r="E319" t="s" s="8"/>
      <c r="F319" t="s" s="8"/>
      <c r="G319" t="s" s="8"/>
      <c r="H319" t="s" s="8"/>
      <c r="I319" t="s" s="8"/>
      <c r="J319" t="s" s="8"/>
      <c r="K319" t="s" s="8"/>
      <c r="L319" t="s" s="8"/>
    </row>
    <row r="320" ht="15.75" customHeight="true">
      <c r="A320" t="s" s="15"/>
      <c r="B320" t="s" s="8"/>
      <c r="C320" t="s" s="8"/>
      <c r="D320" t="s" s="8"/>
      <c r="E320" t="s" s="8"/>
      <c r="F320" t="s" s="8"/>
      <c r="G320" t="s" s="8"/>
      <c r="H320" t="s" s="8"/>
      <c r="I320" t="s" s="8"/>
      <c r="J320" t="s" s="8"/>
      <c r="K320" t="s" s="8"/>
      <c r="L320" t="s" s="8"/>
    </row>
    <row r="321" ht="15.75" customHeight="true">
      <c r="A321" t="s" s="15"/>
      <c r="B321" t="s" s="8"/>
      <c r="C321" t="s" s="8"/>
      <c r="D321" t="s" s="8"/>
      <c r="E321" t="s" s="8"/>
      <c r="F321" t="s" s="8"/>
      <c r="G321" t="s" s="8"/>
      <c r="H321" t="s" s="8"/>
      <c r="I321" t="s" s="8"/>
      <c r="J321" t="s" s="8"/>
      <c r="K321" t="s" s="8"/>
      <c r="L321" t="s" s="8"/>
    </row>
    <row r="322" ht="15.75" customHeight="true">
      <c r="A322" t="s" s="15"/>
      <c r="B322" t="s" s="8"/>
      <c r="C322" t="s" s="8"/>
      <c r="D322" t="s" s="8"/>
      <c r="E322" t="s" s="8"/>
      <c r="F322" t="s" s="8"/>
      <c r="G322" t="s" s="8"/>
      <c r="H322" t="s" s="8"/>
      <c r="I322" t="s" s="8"/>
      <c r="J322" t="s" s="8"/>
      <c r="K322" t="s" s="8"/>
      <c r="L322" t="s" s="8"/>
    </row>
    <row r="323" ht="15.75" customHeight="true">
      <c r="A323" t="s" s="15"/>
      <c r="B323" t="s" s="8"/>
      <c r="C323" t="s" s="8"/>
      <c r="D323" t="s" s="8"/>
      <c r="E323" t="s" s="8"/>
      <c r="F323" t="s" s="8"/>
      <c r="G323" t="s" s="8"/>
      <c r="H323" t="s" s="8"/>
      <c r="I323" t="s" s="8"/>
      <c r="J323" t="s" s="8"/>
      <c r="K323" t="s" s="8"/>
      <c r="L323" t="s" s="8"/>
    </row>
    <row r="324" ht="15.75" customHeight="true">
      <c r="A324" t="s" s="15"/>
      <c r="B324" t="s" s="8"/>
      <c r="C324" t="s" s="8"/>
      <c r="D324" t="s" s="8"/>
      <c r="E324" t="s" s="8"/>
      <c r="F324" t="s" s="8"/>
      <c r="G324" t="s" s="8"/>
      <c r="H324" t="s" s="8"/>
      <c r="I324" t="s" s="8"/>
      <c r="J324" t="s" s="8"/>
      <c r="K324" t="s" s="8"/>
      <c r="L324" t="s" s="8"/>
    </row>
    <row r="325" ht="15.75" customHeight="true">
      <c r="A325" t="s" s="15"/>
      <c r="B325" t="s" s="8"/>
      <c r="C325" t="s" s="8"/>
      <c r="D325" t="s" s="8"/>
      <c r="E325" t="s" s="8"/>
      <c r="F325" t="s" s="8"/>
      <c r="G325" t="s" s="8"/>
      <c r="H325" t="s" s="8"/>
      <c r="I325" t="s" s="8"/>
      <c r="J325" t="s" s="8"/>
      <c r="K325" t="s" s="8"/>
      <c r="L325" t="s" s="8"/>
    </row>
    <row r="326" ht="15.75" customHeight="true">
      <c r="A326" t="s" s="15"/>
      <c r="B326" t="s" s="8"/>
      <c r="C326" t="s" s="8"/>
      <c r="D326" t="s" s="8"/>
      <c r="E326" t="s" s="8"/>
      <c r="F326" t="s" s="8"/>
      <c r="G326" t="s" s="8"/>
      <c r="H326" t="s" s="8"/>
      <c r="I326" t="s" s="8"/>
      <c r="J326" t="s" s="8"/>
      <c r="K326" t="s" s="8"/>
      <c r="L326" t="s" s="8"/>
    </row>
    <row r="327" ht="15.75" customHeight="true">
      <c r="A327" t="s" s="15"/>
      <c r="B327" t="s" s="8"/>
      <c r="C327" t="s" s="8"/>
      <c r="D327" t="s" s="8"/>
      <c r="E327" t="s" s="8"/>
      <c r="F327" t="s" s="8"/>
      <c r="G327" t="s" s="8"/>
      <c r="H327" t="s" s="8"/>
      <c r="I327" t="s" s="8"/>
      <c r="J327" t="s" s="8"/>
      <c r="K327" t="s" s="8"/>
      <c r="L327" t="s" s="8"/>
    </row>
    <row r="328" ht="15.75" customHeight="true">
      <c r="A328" t="s" s="15"/>
      <c r="B328" t="s" s="8"/>
      <c r="C328" t="s" s="8"/>
      <c r="D328" t="s" s="8"/>
      <c r="E328" t="s" s="8"/>
      <c r="F328" t="s" s="8"/>
      <c r="G328" t="s" s="8"/>
      <c r="H328" t="s" s="8"/>
      <c r="I328" t="s" s="8"/>
      <c r="J328" t="s" s="8"/>
      <c r="K328" t="s" s="8"/>
      <c r="L328" t="s" s="8"/>
    </row>
    <row r="329" ht="15.75" customHeight="true">
      <c r="A329" t="s" s="15"/>
      <c r="B329" t="s" s="8"/>
      <c r="C329" t="s" s="8"/>
      <c r="D329" t="s" s="8"/>
      <c r="E329" t="s" s="8"/>
      <c r="F329" t="s" s="8"/>
      <c r="G329" t="s" s="8"/>
      <c r="H329" t="s" s="8"/>
      <c r="I329" t="s" s="8"/>
      <c r="J329" t="s" s="8"/>
      <c r="K329" t="s" s="8"/>
      <c r="L329" t="s" s="8"/>
    </row>
    <row r="330" ht="15.75" customHeight="true">
      <c r="A330" t="s" s="15"/>
      <c r="B330" t="s" s="8"/>
      <c r="C330" t="s" s="8"/>
      <c r="D330" t="s" s="8"/>
      <c r="E330" t="s" s="8"/>
      <c r="F330" t="s" s="8"/>
      <c r="G330" t="s" s="8"/>
      <c r="H330" t="s" s="8"/>
      <c r="I330" t="s" s="8"/>
      <c r="J330" t="s" s="8"/>
      <c r="K330" t="s" s="8"/>
      <c r="L330" t="s" s="8"/>
    </row>
    <row r="331" ht="15.75" customHeight="true">
      <c r="A331" t="s" s="15"/>
      <c r="B331" t="s" s="8"/>
      <c r="C331" t="s" s="8"/>
      <c r="D331" t="s" s="8"/>
      <c r="E331" t="s" s="8"/>
      <c r="F331" t="s" s="8"/>
      <c r="G331" t="s" s="8"/>
      <c r="H331" t="s" s="8"/>
      <c r="I331" t="s" s="8"/>
      <c r="J331" t="s" s="8"/>
      <c r="K331" t="s" s="8"/>
      <c r="L331" t="s" s="8"/>
    </row>
    <row r="332" ht="15.75" customHeight="true">
      <c r="A332" t="s" s="15"/>
      <c r="B332" t="s" s="8"/>
      <c r="C332" t="s" s="8"/>
      <c r="D332" t="s" s="8"/>
      <c r="E332" t="s" s="8"/>
      <c r="F332" t="s" s="8"/>
      <c r="G332" t="s" s="8"/>
      <c r="H332" t="s" s="8"/>
      <c r="I332" t="s" s="8"/>
      <c r="J332" t="s" s="8"/>
      <c r="K332" t="s" s="8"/>
      <c r="L332" t="s" s="8"/>
    </row>
    <row r="333" ht="15.75" customHeight="true">
      <c r="A333" t="s" s="15"/>
      <c r="B333" t="s" s="8"/>
      <c r="C333" t="s" s="8"/>
      <c r="D333" t="s" s="8"/>
      <c r="E333" t="s" s="8"/>
      <c r="F333" t="s" s="8"/>
      <c r="G333" t="s" s="8"/>
      <c r="H333" t="s" s="8"/>
      <c r="I333" t="s" s="8"/>
      <c r="J333" t="s" s="8"/>
      <c r="K333" t="s" s="8"/>
      <c r="L333" t="s" s="8"/>
    </row>
    <row r="334" ht="15.75" customHeight="true">
      <c r="A334" t="s" s="15"/>
      <c r="B334" t="s" s="8"/>
      <c r="C334" t="s" s="8"/>
      <c r="D334" t="s" s="8"/>
      <c r="E334" t="s" s="8"/>
      <c r="F334" t="s" s="8"/>
      <c r="G334" t="s" s="8"/>
      <c r="H334" t="s" s="8"/>
      <c r="I334" t="s" s="8"/>
      <c r="J334" t="s" s="8"/>
      <c r="K334" t="s" s="8"/>
      <c r="L334" t="s" s="8"/>
    </row>
    <row r="335" ht="15.75" customHeight="true">
      <c r="A335" t="s" s="15"/>
      <c r="B335" t="s" s="8"/>
      <c r="C335" t="s" s="8"/>
      <c r="D335" t="s" s="8"/>
      <c r="E335" t="s" s="8"/>
      <c r="F335" t="s" s="8"/>
      <c r="G335" t="s" s="8"/>
      <c r="H335" t="s" s="8"/>
      <c r="I335" t="s" s="8"/>
      <c r="J335" t="s" s="8"/>
      <c r="K335" t="s" s="8"/>
      <c r="L335" t="s" s="8"/>
    </row>
    <row r="336" ht="15.75" customHeight="true">
      <c r="A336" t="s" s="15"/>
      <c r="B336" t="s" s="8"/>
      <c r="C336" t="s" s="8"/>
      <c r="D336" t="s" s="8"/>
      <c r="E336" t="s" s="8"/>
      <c r="F336" t="s" s="8"/>
      <c r="G336" t="s" s="8"/>
      <c r="H336" t="s" s="8"/>
      <c r="I336" t="s" s="8"/>
      <c r="J336" t="s" s="8"/>
      <c r="K336" t="s" s="8"/>
      <c r="L336" t="s" s="8"/>
    </row>
    <row r="337" ht="15.75" customHeight="true">
      <c r="A337" t="s" s="15"/>
      <c r="B337" t="s" s="8"/>
      <c r="C337" t="s" s="8"/>
      <c r="D337" t="s" s="8"/>
      <c r="E337" t="s" s="8"/>
      <c r="F337" t="s" s="8"/>
      <c r="G337" t="s" s="8"/>
      <c r="H337" t="s" s="8"/>
      <c r="I337" t="s" s="8"/>
      <c r="J337" t="s" s="8"/>
      <c r="K337" t="s" s="8"/>
      <c r="L337" t="s" s="8"/>
    </row>
    <row r="338" ht="15.75" customHeight="true">
      <c r="A338" t="s" s="15"/>
      <c r="B338" t="s" s="8"/>
      <c r="C338" t="s" s="8"/>
      <c r="D338" t="s" s="8"/>
      <c r="E338" t="s" s="8"/>
      <c r="F338" t="s" s="8"/>
      <c r="G338" t="s" s="8"/>
      <c r="H338" t="s" s="8"/>
      <c r="I338" t="s" s="8"/>
      <c r="J338" t="s" s="8"/>
      <c r="K338" t="s" s="8"/>
      <c r="L338" t="s" s="8"/>
    </row>
    <row r="339" ht="15.75" customHeight="true">
      <c r="A339" t="s" s="15"/>
      <c r="B339" t="s" s="8"/>
      <c r="C339" t="s" s="8"/>
      <c r="D339" t="s" s="8"/>
      <c r="E339" t="s" s="8"/>
      <c r="F339" t="s" s="8"/>
      <c r="G339" t="s" s="8"/>
      <c r="H339" t="s" s="8"/>
      <c r="I339" t="s" s="8"/>
      <c r="J339" t="s" s="8"/>
      <c r="K339" t="s" s="8"/>
      <c r="L339" t="s" s="8"/>
    </row>
    <row r="340" ht="15.75" customHeight="true">
      <c r="A340" t="s" s="15"/>
      <c r="B340" t="s" s="8"/>
      <c r="C340" t="s" s="8"/>
      <c r="D340" t="s" s="8"/>
      <c r="E340" t="s" s="8"/>
      <c r="F340" t="s" s="8"/>
      <c r="G340" t="s" s="8"/>
      <c r="H340" t="s" s="8"/>
      <c r="I340" t="s" s="8"/>
      <c r="J340" t="s" s="8"/>
      <c r="K340" t="s" s="8"/>
      <c r="L340" t="s" s="8"/>
    </row>
    <row r="341" ht="15.75" customHeight="true">
      <c r="A341" t="s" s="15"/>
      <c r="B341" t="s" s="8"/>
      <c r="C341" t="s" s="8"/>
      <c r="D341" t="s" s="8"/>
      <c r="E341" t="s" s="8"/>
      <c r="F341" t="s" s="8"/>
      <c r="G341" t="s" s="8"/>
      <c r="H341" t="s" s="8"/>
      <c r="I341" t="s" s="8"/>
      <c r="J341" t="s" s="8"/>
      <c r="K341" t="s" s="8"/>
      <c r="L341" t="s" s="8"/>
    </row>
    <row r="342" ht="15.75" customHeight="true">
      <c r="A342" t="s" s="15"/>
      <c r="B342" t="s" s="8"/>
      <c r="C342" t="s" s="8"/>
      <c r="D342" t="s" s="8"/>
      <c r="E342" t="s" s="8"/>
      <c r="F342" t="s" s="8"/>
      <c r="G342" t="s" s="8"/>
      <c r="H342" t="s" s="8"/>
      <c r="I342" t="s" s="8"/>
      <c r="J342" t="s" s="8"/>
      <c r="K342" t="s" s="8"/>
      <c r="L342" t="s" s="8"/>
    </row>
    <row r="343" ht="15.75" customHeight="true">
      <c r="A343" t="s" s="15"/>
      <c r="B343" t="s" s="8"/>
      <c r="C343" t="s" s="8"/>
      <c r="D343" t="s" s="8"/>
      <c r="E343" t="s" s="8"/>
      <c r="F343" t="s" s="8"/>
      <c r="G343" t="s" s="8"/>
      <c r="H343" t="s" s="8"/>
      <c r="I343" t="s" s="8"/>
      <c r="J343" t="s" s="8"/>
      <c r="K343" t="s" s="8"/>
      <c r="L343" t="s" s="8"/>
    </row>
    <row r="344" ht="15.75" customHeight="true">
      <c r="A344" t="s" s="15"/>
      <c r="B344" t="s" s="8"/>
      <c r="C344" t="s" s="8"/>
      <c r="D344" t="s" s="8"/>
      <c r="E344" t="s" s="8"/>
      <c r="F344" t="s" s="8"/>
      <c r="G344" t="s" s="8"/>
      <c r="H344" t="s" s="8"/>
      <c r="I344" t="s" s="8"/>
      <c r="J344" t="s" s="8"/>
      <c r="K344" t="s" s="8"/>
      <c r="L344" t="s" s="8"/>
    </row>
    <row r="345" ht="15.75" customHeight="true">
      <c r="A345" t="s" s="15"/>
      <c r="B345" t="s" s="8"/>
      <c r="C345" t="s" s="8"/>
      <c r="D345" t="s" s="8"/>
      <c r="E345" t="s" s="8"/>
      <c r="F345" t="s" s="8"/>
      <c r="G345" t="s" s="8"/>
      <c r="H345" t="s" s="8"/>
      <c r="I345" t="s" s="8"/>
      <c r="J345" t="s" s="8"/>
      <c r="K345" t="s" s="8"/>
      <c r="L345" t="s" s="8"/>
    </row>
    <row r="346" ht="15.75" customHeight="true">
      <c r="A346" t="s" s="15"/>
      <c r="B346" t="s" s="8"/>
      <c r="C346" t="s" s="8"/>
      <c r="D346" t="s" s="8"/>
      <c r="E346" t="s" s="8"/>
      <c r="F346" t="s" s="8"/>
      <c r="G346" t="s" s="8"/>
      <c r="H346" t="s" s="8"/>
      <c r="I346" t="s" s="8"/>
      <c r="J346" t="s" s="8"/>
      <c r="K346" t="s" s="8"/>
      <c r="L346" t="s" s="8"/>
    </row>
    <row r="347" ht="15.75" customHeight="true">
      <c r="A347" t="s" s="15"/>
      <c r="B347" t="s" s="8"/>
      <c r="C347" t="s" s="8"/>
      <c r="D347" t="s" s="8"/>
      <c r="E347" t="s" s="8"/>
      <c r="F347" t="s" s="8"/>
      <c r="G347" t="s" s="8"/>
      <c r="H347" t="s" s="8"/>
      <c r="I347" t="s" s="8"/>
      <c r="J347" t="s" s="8"/>
      <c r="K347" t="s" s="8"/>
      <c r="L347" t="s" s="8"/>
    </row>
    <row r="348" ht="15.75" customHeight="true">
      <c r="A348" t="s" s="15"/>
      <c r="B348" t="s" s="8"/>
      <c r="C348" t="s" s="8"/>
      <c r="D348" t="s" s="8"/>
      <c r="E348" t="s" s="8"/>
      <c r="F348" t="s" s="8"/>
      <c r="G348" t="s" s="8"/>
      <c r="H348" t="s" s="8"/>
      <c r="I348" t="s" s="8"/>
      <c r="J348" t="s" s="8"/>
      <c r="K348" t="s" s="8"/>
      <c r="L348" t="s" s="8"/>
    </row>
    <row r="349" ht="15.75" customHeight="true">
      <c r="A349" t="s" s="15"/>
      <c r="B349" t="s" s="8"/>
      <c r="C349" t="s" s="8"/>
      <c r="D349" t="s" s="8"/>
      <c r="E349" t="s" s="8"/>
      <c r="F349" t="s" s="8"/>
      <c r="G349" t="s" s="8"/>
      <c r="H349" t="s" s="8"/>
      <c r="I349" t="s" s="8"/>
      <c r="J349" t="s" s="8"/>
      <c r="K349" t="s" s="8"/>
      <c r="L349" t="s" s="8"/>
    </row>
    <row r="350" ht="15.75" customHeight="true">
      <c r="A350" t="s" s="15"/>
      <c r="B350" t="s" s="8"/>
      <c r="C350" t="s" s="8"/>
      <c r="D350" t="s" s="8"/>
      <c r="E350" t="s" s="8"/>
      <c r="F350" t="s" s="8"/>
      <c r="G350" t="s" s="8"/>
      <c r="H350" t="s" s="8"/>
      <c r="I350" t="s" s="8"/>
      <c r="J350" t="s" s="8"/>
      <c r="K350" t="s" s="8"/>
      <c r="L350" t="s" s="8"/>
    </row>
    <row r="351" ht="15.75" customHeight="true">
      <c r="A351" t="s" s="15"/>
      <c r="B351" t="s" s="8"/>
      <c r="C351" t="s" s="8"/>
      <c r="D351" t="s" s="8"/>
      <c r="E351" t="s" s="8"/>
      <c r="F351" t="s" s="8"/>
      <c r="G351" t="s" s="8"/>
      <c r="H351" t="s" s="8"/>
      <c r="I351" t="s" s="8"/>
      <c r="J351" t="s" s="8"/>
      <c r="K351" t="s" s="8"/>
      <c r="L351" t="s" s="8"/>
    </row>
    <row r="352" ht="15.75" customHeight="true">
      <c r="A352" t="s" s="15"/>
      <c r="B352" t="s" s="8"/>
      <c r="C352" t="s" s="8"/>
      <c r="D352" t="s" s="8"/>
      <c r="E352" t="s" s="8"/>
      <c r="F352" t="s" s="8"/>
      <c r="G352" t="s" s="8"/>
      <c r="H352" t="s" s="8"/>
      <c r="I352" t="s" s="8"/>
      <c r="J352" t="s" s="8"/>
      <c r="K352" t="s" s="8"/>
      <c r="L352" t="s" s="8"/>
    </row>
    <row r="353" ht="15.75" customHeight="true">
      <c r="A353" t="s" s="15"/>
      <c r="B353" t="s" s="8"/>
      <c r="C353" t="s" s="8"/>
      <c r="D353" t="s" s="8"/>
      <c r="E353" t="s" s="8"/>
      <c r="F353" t="s" s="8"/>
      <c r="G353" t="s" s="8"/>
      <c r="H353" t="s" s="8"/>
      <c r="I353" t="s" s="8"/>
      <c r="J353" t="s" s="8"/>
      <c r="K353" t="s" s="8"/>
      <c r="L353" t="s" s="8"/>
    </row>
    <row r="354" ht="15.75" customHeight="true">
      <c r="A354" t="s" s="15"/>
      <c r="B354" t="s" s="8"/>
      <c r="C354" t="s" s="8"/>
      <c r="D354" t="s" s="8"/>
      <c r="E354" t="s" s="8"/>
      <c r="F354" t="s" s="8"/>
      <c r="G354" t="s" s="8"/>
      <c r="H354" t="s" s="8"/>
      <c r="I354" t="s" s="8"/>
      <c r="J354" t="s" s="8"/>
      <c r="K354" t="s" s="8"/>
      <c r="L354" t="s" s="8"/>
    </row>
    <row r="355" ht="15.75" customHeight="true">
      <c r="A355" t="s" s="15"/>
      <c r="B355" t="s" s="8"/>
      <c r="C355" t="s" s="8"/>
      <c r="D355" t="s" s="8"/>
      <c r="E355" t="s" s="8"/>
      <c r="F355" t="s" s="8"/>
      <c r="G355" t="s" s="8"/>
      <c r="H355" t="s" s="8"/>
      <c r="I355" t="s" s="8"/>
      <c r="J355" t="s" s="8"/>
      <c r="K355" t="s" s="8"/>
      <c r="L355" t="s" s="8"/>
    </row>
    <row r="356" ht="15.75" customHeight="true">
      <c r="A356" t="s" s="15"/>
      <c r="B356" t="s" s="8"/>
      <c r="C356" t="s" s="8"/>
      <c r="D356" t="s" s="8"/>
      <c r="E356" t="s" s="8"/>
      <c r="F356" t="s" s="8"/>
      <c r="G356" t="s" s="8"/>
      <c r="H356" t="s" s="8"/>
      <c r="I356" t="s" s="8"/>
      <c r="J356" t="s" s="8"/>
      <c r="K356" t="s" s="8"/>
      <c r="L356" t="s" s="8"/>
    </row>
    <row r="357" ht="15.75" customHeight="true">
      <c r="A357" t="s" s="15"/>
      <c r="B357" t="s" s="8"/>
      <c r="C357" t="s" s="8"/>
      <c r="D357" t="s" s="8"/>
      <c r="E357" t="s" s="8"/>
      <c r="F357" t="s" s="8"/>
      <c r="G357" t="s" s="8"/>
      <c r="H357" t="s" s="8"/>
      <c r="I357" t="s" s="8"/>
      <c r="J357" t="s" s="8"/>
      <c r="K357" t="s" s="8"/>
      <c r="L357" t="s" s="8"/>
    </row>
    <row r="358" ht="15.75" customHeight="true">
      <c r="A358" t="s" s="15"/>
      <c r="B358" t="s" s="8"/>
      <c r="C358" t="s" s="8"/>
      <c r="D358" t="s" s="8"/>
      <c r="E358" t="s" s="8"/>
      <c r="F358" t="s" s="8"/>
      <c r="G358" t="s" s="8"/>
      <c r="H358" t="s" s="8"/>
      <c r="I358" t="s" s="8"/>
      <c r="J358" t="s" s="8"/>
      <c r="K358" t="s" s="8"/>
      <c r="L358" t="s" s="8"/>
    </row>
    <row r="359" ht="15.75" customHeight="true">
      <c r="A359" t="s" s="15"/>
      <c r="B359" t="s" s="8"/>
      <c r="C359" t="s" s="8"/>
      <c r="D359" t="s" s="8"/>
      <c r="E359" t="s" s="8"/>
      <c r="F359" t="s" s="8"/>
      <c r="G359" t="s" s="8"/>
      <c r="H359" t="s" s="8"/>
      <c r="I359" t="s" s="8"/>
      <c r="J359" t="s" s="8"/>
      <c r="K359" t="s" s="8"/>
      <c r="L359" t="s" s="8"/>
    </row>
    <row r="360" ht="15.75" customHeight="true">
      <c r="A360" t="s" s="15"/>
      <c r="B360" t="s" s="8"/>
      <c r="C360" t="s" s="8"/>
      <c r="D360" t="s" s="8"/>
      <c r="E360" t="s" s="8"/>
      <c r="F360" t="s" s="8"/>
      <c r="G360" t="s" s="8"/>
      <c r="H360" t="s" s="8"/>
      <c r="I360" t="s" s="8"/>
      <c r="J360" t="s" s="8"/>
      <c r="K360" t="s" s="8"/>
      <c r="L360" t="s" s="8"/>
    </row>
    <row r="361" ht="15.75" customHeight="true">
      <c r="A361" t="s" s="15"/>
      <c r="B361" t="s" s="8"/>
      <c r="C361" t="s" s="8"/>
      <c r="D361" t="s" s="8"/>
      <c r="E361" t="s" s="8"/>
      <c r="F361" t="s" s="8"/>
      <c r="G361" t="s" s="8"/>
      <c r="H361" t="s" s="8"/>
      <c r="I361" t="s" s="8"/>
      <c r="J361" t="s" s="8"/>
      <c r="K361" t="s" s="8"/>
      <c r="L361" t="s" s="8"/>
    </row>
    <row r="362" ht="15.75" customHeight="true">
      <c r="A362" t="s" s="15"/>
      <c r="B362" t="s" s="8"/>
      <c r="C362" t="s" s="8"/>
      <c r="D362" t="s" s="8"/>
      <c r="E362" t="s" s="8"/>
      <c r="F362" t="s" s="8"/>
      <c r="G362" t="s" s="8"/>
      <c r="H362" t="s" s="8"/>
      <c r="I362" t="s" s="8"/>
      <c r="J362" t="s" s="8"/>
      <c r="K362" t="s" s="8"/>
      <c r="L362" t="s" s="8"/>
    </row>
    <row r="363" ht="15.75" customHeight="true">
      <c r="A363" t="s" s="15"/>
      <c r="B363" t="s" s="8"/>
      <c r="C363" t="s" s="8"/>
      <c r="D363" t="s" s="8"/>
      <c r="E363" t="s" s="8"/>
      <c r="F363" t="s" s="8"/>
      <c r="G363" t="s" s="8"/>
      <c r="H363" t="s" s="8"/>
      <c r="I363" t="s" s="8"/>
      <c r="J363" t="s" s="8"/>
      <c r="K363" t="s" s="8"/>
      <c r="L363" t="s" s="8"/>
    </row>
    <row r="364" ht="15.75" customHeight="true">
      <c r="A364" t="s" s="15"/>
      <c r="B364" t="s" s="8"/>
      <c r="C364" t="s" s="8"/>
      <c r="D364" t="s" s="8"/>
      <c r="E364" t="s" s="8"/>
      <c r="F364" t="s" s="8"/>
      <c r="G364" t="s" s="8"/>
      <c r="H364" t="s" s="8"/>
      <c r="I364" t="s" s="8"/>
      <c r="J364" t="s" s="8"/>
      <c r="K364" t="s" s="8"/>
      <c r="L364" t="s" s="8"/>
    </row>
    <row r="365" ht="15.75" customHeight="true">
      <c r="A365" t="s" s="15"/>
      <c r="B365" t="s" s="8"/>
      <c r="C365" t="s" s="8"/>
      <c r="D365" t="s" s="8"/>
      <c r="E365" t="s" s="8"/>
      <c r="F365" t="s" s="8"/>
      <c r="G365" t="s" s="8"/>
      <c r="H365" t="s" s="8"/>
      <c r="I365" t="s" s="8"/>
      <c r="J365" t="s" s="8"/>
      <c r="K365" t="s" s="8"/>
      <c r="L365" t="s" s="8"/>
    </row>
    <row r="366" ht="15.75" customHeight="true">
      <c r="A366" t="s" s="15"/>
      <c r="B366" t="s" s="8"/>
      <c r="C366" t="s" s="8"/>
      <c r="D366" t="s" s="8"/>
      <c r="E366" t="s" s="8"/>
      <c r="F366" t="s" s="8"/>
      <c r="G366" t="s" s="8"/>
      <c r="H366" t="s" s="8"/>
      <c r="I366" t="s" s="8"/>
      <c r="J366" t="s" s="8"/>
      <c r="K366" t="s" s="8"/>
      <c r="L366" t="s" s="8"/>
    </row>
    <row r="367" ht="15.75" customHeight="true">
      <c r="A367" t="s" s="15"/>
      <c r="B367" t="s" s="8"/>
      <c r="C367" t="s" s="8"/>
      <c r="D367" t="s" s="8"/>
      <c r="E367" t="s" s="8"/>
      <c r="F367" t="s" s="8"/>
      <c r="G367" t="s" s="8"/>
      <c r="H367" t="s" s="8"/>
      <c r="I367" t="s" s="8"/>
      <c r="J367" t="s" s="8"/>
      <c r="K367" t="s" s="8"/>
      <c r="L367" t="s" s="8"/>
    </row>
    <row r="368" ht="15.75" customHeight="true">
      <c r="A368" t="s" s="15"/>
      <c r="B368" t="s" s="8"/>
      <c r="C368" t="s" s="8"/>
      <c r="D368" t="s" s="8"/>
      <c r="E368" t="s" s="8"/>
      <c r="F368" t="s" s="8"/>
      <c r="G368" t="s" s="8"/>
      <c r="H368" t="s" s="8"/>
      <c r="I368" t="s" s="8"/>
      <c r="J368" t="s" s="8"/>
      <c r="K368" t="s" s="8"/>
      <c r="L368" t="s" s="8"/>
    </row>
    <row r="369" ht="15.75" customHeight="true">
      <c r="A369" t="s" s="15"/>
      <c r="B369" t="s" s="8"/>
      <c r="C369" t="s" s="8"/>
      <c r="D369" t="s" s="8"/>
      <c r="E369" t="s" s="8"/>
      <c r="F369" t="s" s="8"/>
      <c r="G369" t="s" s="8"/>
      <c r="H369" t="s" s="8"/>
      <c r="I369" t="s" s="8"/>
      <c r="J369" t="s" s="8"/>
      <c r="K369" t="s" s="8"/>
      <c r="L369" t="s" s="8"/>
    </row>
    <row r="370" ht="15.75" customHeight="true">
      <c r="A370" t="s" s="15"/>
      <c r="B370" t="s" s="8"/>
      <c r="C370" t="s" s="8"/>
      <c r="D370" t="s" s="8"/>
      <c r="E370" t="s" s="8"/>
      <c r="F370" t="s" s="8"/>
      <c r="G370" t="s" s="8"/>
      <c r="H370" t="s" s="8"/>
      <c r="I370" t="s" s="8"/>
      <c r="J370" t="s" s="8"/>
      <c r="K370" t="s" s="8"/>
      <c r="L370" t="s" s="8"/>
    </row>
    <row r="371" ht="15.75" customHeight="true">
      <c r="A371" t="s" s="15"/>
      <c r="B371" t="s" s="8"/>
      <c r="C371" t="s" s="8"/>
      <c r="D371" t="s" s="8"/>
      <c r="E371" t="s" s="8"/>
      <c r="F371" t="s" s="8"/>
      <c r="G371" t="s" s="8"/>
      <c r="H371" t="s" s="8"/>
      <c r="I371" t="s" s="8"/>
      <c r="J371" t="s" s="8"/>
      <c r="K371" t="s" s="8"/>
      <c r="L371" t="s" s="8"/>
    </row>
    <row r="372" ht="15.75" customHeight="true">
      <c r="A372" t="s" s="15"/>
      <c r="B372" t="s" s="8"/>
      <c r="C372" t="s" s="8"/>
      <c r="D372" t="s" s="8"/>
      <c r="E372" t="s" s="8"/>
      <c r="F372" t="s" s="8"/>
      <c r="G372" t="s" s="8"/>
      <c r="H372" t="s" s="8"/>
      <c r="I372" t="s" s="8"/>
      <c r="J372" t="s" s="8"/>
      <c r="K372" t="s" s="8"/>
      <c r="L372" t="s" s="8"/>
    </row>
    <row r="373" ht="15.75" customHeight="true">
      <c r="A373" t="s" s="15"/>
      <c r="B373" t="s" s="8"/>
      <c r="C373" t="s" s="8"/>
      <c r="D373" t="s" s="8"/>
      <c r="E373" t="s" s="8"/>
      <c r="F373" t="s" s="8"/>
      <c r="G373" t="s" s="8"/>
      <c r="H373" t="s" s="8"/>
      <c r="I373" t="s" s="8"/>
      <c r="J373" t="s" s="8"/>
      <c r="K373" t="s" s="8"/>
      <c r="L373" t="s" s="8"/>
    </row>
    <row r="374" ht="15.75" customHeight="true">
      <c r="A374" t="s" s="15"/>
      <c r="B374" t="s" s="8"/>
      <c r="C374" t="s" s="8"/>
      <c r="D374" t="s" s="8"/>
      <c r="E374" t="s" s="8"/>
      <c r="F374" t="s" s="8"/>
      <c r="G374" t="s" s="8"/>
      <c r="H374" t="s" s="8"/>
      <c r="I374" t="s" s="8"/>
      <c r="J374" t="s" s="8"/>
      <c r="K374" t="s" s="8"/>
      <c r="L374" t="s" s="8"/>
    </row>
    <row r="375" ht="15.75" customHeight="true">
      <c r="A375" t="s" s="15"/>
      <c r="B375" t="s" s="8"/>
      <c r="C375" t="s" s="8"/>
      <c r="D375" t="s" s="8"/>
      <c r="E375" t="s" s="8"/>
      <c r="F375" t="s" s="8"/>
      <c r="G375" t="s" s="8"/>
      <c r="H375" t="s" s="8"/>
      <c r="I375" t="s" s="8"/>
      <c r="J375" t="s" s="8"/>
      <c r="K375" t="s" s="8"/>
      <c r="L375" t="s" s="8"/>
    </row>
    <row r="376" ht="15.75" customHeight="true">
      <c r="A376" t="s" s="15"/>
      <c r="B376" t="s" s="8"/>
      <c r="C376" t="s" s="8"/>
      <c r="D376" t="s" s="8"/>
      <c r="E376" t="s" s="8"/>
      <c r="F376" t="s" s="8"/>
      <c r="G376" t="s" s="8"/>
      <c r="H376" t="s" s="8"/>
      <c r="I376" t="s" s="8"/>
      <c r="J376" t="s" s="8"/>
      <c r="K376" t="s" s="8"/>
      <c r="L376" t="s" s="8"/>
    </row>
    <row r="377" ht="15.75" customHeight="true">
      <c r="A377" t="s" s="15"/>
      <c r="B377" t="s" s="8"/>
      <c r="C377" t="s" s="8"/>
      <c r="D377" t="s" s="8"/>
      <c r="E377" t="s" s="8"/>
      <c r="F377" t="s" s="8"/>
      <c r="G377" t="s" s="8"/>
      <c r="H377" t="s" s="8"/>
      <c r="I377" t="s" s="8"/>
      <c r="J377" t="s" s="8"/>
      <c r="K377" t="s" s="8"/>
      <c r="L377" t="s" s="8"/>
    </row>
    <row r="378" ht="15.75" customHeight="true">
      <c r="A378" t="s" s="15"/>
      <c r="B378" t="s" s="8"/>
      <c r="C378" t="s" s="8"/>
      <c r="D378" t="s" s="8"/>
      <c r="E378" t="s" s="8"/>
      <c r="F378" t="s" s="8"/>
      <c r="G378" t="s" s="8"/>
      <c r="H378" t="s" s="8"/>
      <c r="I378" t="s" s="8"/>
      <c r="J378" t="s" s="8"/>
      <c r="K378" t="s" s="8"/>
      <c r="L378" t="s" s="8"/>
    </row>
    <row r="379" ht="15.75" customHeight="true">
      <c r="A379" t="s" s="15"/>
      <c r="B379" t="s" s="8"/>
      <c r="C379" t="s" s="8"/>
      <c r="D379" t="s" s="8"/>
      <c r="E379" t="s" s="8"/>
      <c r="F379" t="s" s="8"/>
      <c r="G379" t="s" s="8"/>
      <c r="H379" t="s" s="8"/>
      <c r="I379" t="s" s="8"/>
      <c r="J379" t="s" s="8"/>
      <c r="K379" t="s" s="8"/>
      <c r="L379" t="s" s="8"/>
    </row>
    <row r="380" ht="15.75" customHeight="true">
      <c r="A380" t="s" s="15"/>
      <c r="B380" t="s" s="8"/>
      <c r="C380" t="s" s="8"/>
      <c r="D380" t="s" s="8"/>
      <c r="E380" t="s" s="8"/>
      <c r="F380" t="s" s="8"/>
      <c r="G380" t="s" s="8"/>
      <c r="H380" t="s" s="8"/>
      <c r="I380" t="s" s="8"/>
      <c r="J380" t="s" s="8"/>
      <c r="K380" t="s" s="8"/>
      <c r="L380" t="s" s="8"/>
    </row>
    <row r="381" ht="15.75" customHeight="true">
      <c r="A381" t="s" s="15"/>
      <c r="B381" t="s" s="8"/>
      <c r="C381" t="s" s="8"/>
      <c r="D381" t="s" s="8"/>
      <c r="E381" t="s" s="8"/>
      <c r="F381" t="s" s="8"/>
      <c r="G381" t="s" s="8"/>
      <c r="H381" t="s" s="8"/>
      <c r="I381" t="s" s="8"/>
      <c r="J381" t="s" s="8"/>
      <c r="K381" t="s" s="8"/>
      <c r="L381" t="s" s="8"/>
    </row>
    <row r="382" ht="15.75" customHeight="true">
      <c r="A382" t="s" s="15"/>
      <c r="B382" t="s" s="8"/>
      <c r="C382" t="s" s="8"/>
      <c r="D382" t="s" s="8"/>
      <c r="E382" t="s" s="8"/>
      <c r="F382" t="s" s="8"/>
      <c r="G382" t="s" s="8"/>
      <c r="H382" t="s" s="8"/>
      <c r="I382" t="s" s="8"/>
      <c r="J382" t="s" s="8"/>
      <c r="K382" t="s" s="8"/>
      <c r="L382" t="s" s="8"/>
    </row>
    <row r="383" ht="15.75" customHeight="true">
      <c r="A383" t="s" s="15"/>
      <c r="B383" t="s" s="8"/>
      <c r="C383" t="s" s="8"/>
      <c r="D383" t="s" s="8"/>
      <c r="E383" t="s" s="8"/>
      <c r="F383" t="s" s="8"/>
      <c r="G383" t="s" s="8"/>
      <c r="H383" t="s" s="8"/>
      <c r="I383" t="s" s="8"/>
      <c r="J383" t="s" s="8"/>
      <c r="K383" t="s" s="8"/>
      <c r="L383" t="s" s="8"/>
    </row>
    <row r="384" ht="15.75" customHeight="true">
      <c r="A384" t="s" s="15"/>
      <c r="B384" t="s" s="8"/>
      <c r="C384" t="s" s="8"/>
      <c r="D384" t="s" s="8"/>
      <c r="E384" t="s" s="8"/>
      <c r="F384" t="s" s="8"/>
      <c r="G384" t="s" s="8"/>
      <c r="H384" t="s" s="8"/>
      <c r="I384" t="s" s="8"/>
      <c r="J384" t="s" s="8"/>
      <c r="K384" t="s" s="8"/>
      <c r="L384" t="s" s="8"/>
    </row>
    <row r="385" ht="15.75" customHeight="true">
      <c r="A385" t="s" s="15"/>
      <c r="B385" t="s" s="8"/>
      <c r="C385" t="s" s="8"/>
      <c r="D385" t="s" s="8"/>
      <c r="E385" t="s" s="8"/>
      <c r="F385" t="s" s="8"/>
      <c r="G385" t="s" s="8"/>
      <c r="H385" t="s" s="8"/>
      <c r="I385" t="s" s="8"/>
      <c r="J385" t="s" s="8"/>
      <c r="K385" t="s" s="8"/>
      <c r="L385" t="s" s="8"/>
    </row>
    <row r="386" ht="15.75" customHeight="true">
      <c r="A386" t="s" s="15"/>
      <c r="B386" t="s" s="8"/>
      <c r="C386" t="s" s="8"/>
      <c r="D386" t="s" s="8"/>
      <c r="E386" t="s" s="8"/>
      <c r="F386" t="s" s="8"/>
      <c r="G386" t="s" s="8"/>
      <c r="H386" t="s" s="8"/>
      <c r="I386" t="s" s="8"/>
      <c r="J386" t="s" s="8"/>
      <c r="K386" t="s" s="8"/>
      <c r="L386" t="s" s="8"/>
    </row>
    <row r="387" ht="15.75" customHeight="true">
      <c r="A387" t="s" s="15"/>
      <c r="B387" t="s" s="8"/>
      <c r="C387" t="s" s="8"/>
      <c r="D387" t="s" s="8"/>
      <c r="E387" t="s" s="8"/>
      <c r="F387" t="s" s="8"/>
      <c r="G387" t="s" s="8"/>
      <c r="H387" t="s" s="8"/>
      <c r="I387" t="s" s="8"/>
      <c r="J387" t="s" s="8"/>
      <c r="K387" t="s" s="8"/>
      <c r="L387" t="s" s="8"/>
    </row>
    <row r="388" ht="15.75" customHeight="true">
      <c r="A388" t="s" s="15"/>
      <c r="B388" t="s" s="8"/>
      <c r="C388" t="s" s="8"/>
      <c r="D388" t="s" s="8"/>
      <c r="E388" t="s" s="8"/>
      <c r="F388" t="s" s="8"/>
      <c r="G388" t="s" s="8"/>
      <c r="H388" t="s" s="8"/>
      <c r="I388" t="s" s="8"/>
      <c r="J388" t="s" s="8"/>
      <c r="K388" t="s" s="8"/>
      <c r="L388" t="s" s="8"/>
    </row>
    <row r="389" ht="15.75" customHeight="true">
      <c r="A389" t="s" s="15"/>
      <c r="B389" t="s" s="8"/>
      <c r="C389" t="s" s="8"/>
      <c r="D389" t="s" s="8"/>
      <c r="E389" t="s" s="8"/>
      <c r="F389" t="s" s="8"/>
      <c r="G389" t="s" s="8"/>
      <c r="H389" t="s" s="8"/>
      <c r="I389" t="s" s="8"/>
      <c r="J389" t="s" s="8"/>
      <c r="K389" t="s" s="8"/>
      <c r="L389" t="s" s="8"/>
    </row>
    <row r="390" ht="15.75" customHeight="true">
      <c r="A390" t="s" s="15"/>
      <c r="B390" t="s" s="8"/>
      <c r="C390" t="s" s="8"/>
      <c r="D390" t="s" s="8"/>
      <c r="E390" t="s" s="8"/>
      <c r="F390" t="s" s="8"/>
      <c r="G390" t="s" s="8"/>
      <c r="H390" t="s" s="8"/>
      <c r="I390" t="s" s="8"/>
      <c r="J390" t="s" s="8"/>
      <c r="K390" t="s" s="8"/>
      <c r="L390" t="s" s="8"/>
    </row>
    <row r="391" ht="15.75" customHeight="true">
      <c r="A391" t="s" s="15"/>
      <c r="B391" t="s" s="8"/>
      <c r="C391" t="s" s="8"/>
      <c r="D391" t="s" s="8"/>
      <c r="E391" t="s" s="8"/>
      <c r="F391" t="s" s="8"/>
      <c r="G391" t="s" s="8"/>
      <c r="H391" t="s" s="8"/>
      <c r="I391" t="s" s="8"/>
      <c r="J391" t="s" s="8"/>
      <c r="K391" t="s" s="8"/>
      <c r="L391" t="s" s="8"/>
    </row>
    <row r="392" ht="15.75" customHeight="true">
      <c r="A392" t="s" s="15"/>
      <c r="B392" t="s" s="8"/>
      <c r="C392" t="s" s="8"/>
      <c r="D392" t="s" s="8"/>
      <c r="E392" t="s" s="8"/>
      <c r="F392" t="s" s="8"/>
      <c r="G392" t="s" s="8"/>
      <c r="H392" t="s" s="8"/>
      <c r="I392" t="s" s="8"/>
      <c r="J392" t="s" s="8"/>
      <c r="K392" t="s" s="8"/>
      <c r="L392" t="s" s="8"/>
    </row>
    <row r="393" ht="15.75" customHeight="true">
      <c r="A393" t="s" s="15"/>
      <c r="B393" t="s" s="8"/>
      <c r="C393" t="s" s="8"/>
      <c r="D393" t="s" s="8"/>
      <c r="E393" t="s" s="8"/>
      <c r="F393" t="s" s="8"/>
      <c r="G393" t="s" s="8"/>
      <c r="H393" t="s" s="8"/>
      <c r="I393" t="s" s="8"/>
      <c r="J393" t="s" s="8"/>
      <c r="K393" t="s" s="8"/>
      <c r="L393" t="s" s="8"/>
    </row>
    <row r="394" ht="15.75" customHeight="true">
      <c r="A394" t="s" s="15"/>
      <c r="B394" t="s" s="8"/>
      <c r="C394" t="s" s="8"/>
      <c r="D394" t="s" s="8"/>
      <c r="E394" t="s" s="8"/>
      <c r="F394" t="s" s="8"/>
      <c r="G394" t="s" s="8"/>
      <c r="H394" t="s" s="8"/>
      <c r="I394" t="s" s="8"/>
      <c r="J394" t="s" s="8"/>
      <c r="K394" t="s" s="8"/>
      <c r="L394" t="s" s="8"/>
    </row>
    <row r="395" ht="15.75" customHeight="true">
      <c r="A395" t="s" s="15"/>
      <c r="B395" t="s" s="8"/>
      <c r="C395" t="s" s="8"/>
      <c r="D395" t="s" s="8"/>
      <c r="E395" t="s" s="8"/>
      <c r="F395" t="s" s="8"/>
      <c r="G395" t="s" s="8"/>
      <c r="H395" t="s" s="8"/>
      <c r="I395" t="s" s="8"/>
      <c r="J395" t="s" s="8"/>
      <c r="K395" t="s" s="8"/>
      <c r="L395" t="s" s="8"/>
    </row>
    <row r="396" ht="15.75" customHeight="true">
      <c r="A396" t="s" s="15"/>
      <c r="B396" t="s" s="8"/>
      <c r="C396" t="s" s="8"/>
      <c r="D396" t="s" s="8"/>
      <c r="E396" t="s" s="8"/>
      <c r="F396" t="s" s="8"/>
      <c r="G396" t="s" s="8"/>
      <c r="H396" t="s" s="8"/>
      <c r="I396" t="s" s="8"/>
      <c r="J396" t="s" s="8"/>
      <c r="K396" t="s" s="8"/>
      <c r="L396" t="s" s="8"/>
    </row>
    <row r="397" ht="15.75" customHeight="true">
      <c r="A397" t="s" s="15"/>
      <c r="B397" t="s" s="8"/>
      <c r="C397" t="s" s="8"/>
      <c r="D397" t="s" s="8"/>
      <c r="E397" t="s" s="8"/>
      <c r="F397" t="s" s="8"/>
      <c r="G397" t="s" s="8"/>
      <c r="H397" t="s" s="8"/>
      <c r="I397" t="s" s="8"/>
      <c r="J397" t="s" s="8"/>
      <c r="K397" t="s" s="8"/>
      <c r="L397" t="s" s="8"/>
    </row>
    <row r="398" ht="15.75" customHeight="true">
      <c r="A398" t="s" s="15"/>
      <c r="B398" t="s" s="8"/>
      <c r="C398" t="s" s="8"/>
      <c r="D398" t="s" s="8"/>
      <c r="E398" t="s" s="8"/>
      <c r="F398" t="s" s="8"/>
      <c r="G398" t="s" s="8"/>
      <c r="H398" t="s" s="8"/>
      <c r="I398" t="s" s="8"/>
      <c r="J398" t="s" s="8"/>
      <c r="K398" t="s" s="8"/>
      <c r="L398" t="s" s="8"/>
    </row>
    <row r="399" ht="15.75" customHeight="true">
      <c r="A399" t="s" s="15"/>
      <c r="B399" t="s" s="8"/>
      <c r="C399" t="s" s="8"/>
      <c r="D399" t="s" s="8"/>
      <c r="E399" t="s" s="8"/>
      <c r="F399" t="s" s="8"/>
      <c r="G399" t="s" s="8"/>
      <c r="H399" t="s" s="8"/>
      <c r="I399" t="s" s="8"/>
      <c r="J399" t="s" s="8"/>
      <c r="K399" t="s" s="8"/>
      <c r="L399" t="s" s="8"/>
    </row>
    <row r="400" ht="15.75" customHeight="true">
      <c r="A400" t="s" s="15"/>
      <c r="B400" t="s" s="8"/>
      <c r="C400" t="s" s="8"/>
      <c r="D400" t="s" s="8"/>
      <c r="E400" t="s" s="8"/>
      <c r="F400" t="s" s="8"/>
      <c r="G400" t="s" s="8"/>
      <c r="H400" t="s" s="8"/>
      <c r="I400" t="s" s="8"/>
      <c r="J400" t="s" s="8"/>
      <c r="K400" t="s" s="8"/>
      <c r="L400" t="s" s="8"/>
    </row>
    <row r="401" ht="15.75" customHeight="true">
      <c r="A401" t="s" s="15"/>
      <c r="B401" t="s" s="8"/>
      <c r="C401" t="s" s="8"/>
      <c r="D401" t="s" s="8"/>
      <c r="E401" t="s" s="8"/>
      <c r="F401" t="s" s="8"/>
      <c r="G401" t="s" s="8"/>
      <c r="H401" t="s" s="8"/>
      <c r="I401" t="s" s="8"/>
      <c r="J401" t="s" s="8"/>
      <c r="K401" t="s" s="8"/>
      <c r="L401" t="s" s="8"/>
    </row>
    <row r="402" ht="15.75" customHeight="true">
      <c r="A402" t="s" s="15"/>
      <c r="B402" t="s" s="8"/>
      <c r="C402" t="s" s="8"/>
      <c r="D402" t="s" s="8"/>
      <c r="E402" t="s" s="8"/>
      <c r="F402" t="s" s="8"/>
      <c r="G402" t="s" s="8"/>
      <c r="H402" t="s" s="8"/>
      <c r="I402" t="s" s="8"/>
      <c r="J402" t="s" s="8"/>
      <c r="K402" t="s" s="8"/>
      <c r="L402" t="s" s="8"/>
    </row>
    <row r="403" ht="15.75" customHeight="true">
      <c r="A403" t="s" s="15"/>
      <c r="B403" t="s" s="8"/>
      <c r="C403" t="s" s="8"/>
      <c r="D403" t="s" s="8"/>
      <c r="E403" t="s" s="8"/>
      <c r="F403" t="s" s="8"/>
      <c r="G403" t="s" s="8"/>
      <c r="H403" t="s" s="8"/>
      <c r="I403" t="s" s="8"/>
      <c r="J403" t="s" s="8"/>
      <c r="K403" t="s" s="8"/>
      <c r="L403" t="s" s="8"/>
    </row>
    <row r="404" ht="15.75" customHeight="true">
      <c r="A404" t="s" s="15"/>
      <c r="B404" t="s" s="8"/>
      <c r="C404" t="s" s="8"/>
      <c r="D404" t="s" s="8"/>
      <c r="E404" t="s" s="8"/>
      <c r="F404" t="s" s="8"/>
      <c r="G404" t="s" s="8"/>
      <c r="H404" t="s" s="8"/>
      <c r="I404" t="s" s="8"/>
      <c r="J404" t="s" s="8"/>
      <c r="K404" t="s" s="8"/>
      <c r="L404" t="s" s="8"/>
    </row>
    <row r="405" ht="15.75" customHeight="true">
      <c r="A405" t="s" s="15"/>
      <c r="B405" t="s" s="8"/>
      <c r="C405" t="s" s="8"/>
      <c r="D405" t="s" s="8"/>
      <c r="E405" t="s" s="8"/>
      <c r="F405" t="s" s="8"/>
      <c r="G405" t="s" s="8"/>
      <c r="H405" t="s" s="8"/>
      <c r="I405" t="s" s="8"/>
      <c r="J405" t="s" s="8"/>
      <c r="K405" t="s" s="8"/>
      <c r="L405" t="s" s="8"/>
    </row>
    <row r="406" ht="15.75" customHeight="true">
      <c r="A406" t="s" s="15"/>
      <c r="B406" t="s" s="8"/>
      <c r="C406" t="s" s="8"/>
      <c r="D406" t="s" s="8"/>
      <c r="E406" t="s" s="8"/>
      <c r="F406" t="s" s="8"/>
      <c r="G406" t="s" s="8"/>
      <c r="H406" t="s" s="8"/>
      <c r="I406" t="s" s="8"/>
      <c r="J406" t="s" s="8"/>
      <c r="K406" t="s" s="8"/>
      <c r="L406" t="s" s="8"/>
    </row>
    <row r="407" ht="15.75" customHeight="true">
      <c r="A407" t="s" s="15"/>
      <c r="B407" t="s" s="8"/>
      <c r="C407" t="s" s="8"/>
      <c r="D407" t="s" s="8"/>
      <c r="E407" t="s" s="8"/>
      <c r="F407" t="s" s="8"/>
      <c r="G407" t="s" s="8"/>
      <c r="H407" t="s" s="8"/>
      <c r="I407" t="s" s="8"/>
      <c r="J407" t="s" s="8"/>
      <c r="K407" t="s" s="8"/>
      <c r="L407" t="s" s="8"/>
    </row>
    <row r="408" ht="15.75" customHeight="true">
      <c r="A408" t="s" s="15"/>
      <c r="B408" t="s" s="8"/>
      <c r="C408" t="s" s="8"/>
      <c r="D408" t="s" s="8"/>
      <c r="E408" t="s" s="8"/>
      <c r="F408" t="s" s="8"/>
      <c r="G408" t="s" s="8"/>
      <c r="H408" t="s" s="8"/>
      <c r="I408" t="s" s="8"/>
      <c r="J408" t="s" s="8"/>
      <c r="K408" t="s" s="8"/>
      <c r="L408" t="s" s="8"/>
    </row>
    <row r="409" ht="15.75" customHeight="true">
      <c r="A409" t="s" s="15"/>
      <c r="B409" t="s" s="8"/>
      <c r="C409" t="s" s="8"/>
      <c r="D409" t="s" s="8"/>
      <c r="E409" t="s" s="8"/>
      <c r="F409" t="s" s="8"/>
      <c r="G409" t="s" s="8"/>
      <c r="H409" t="s" s="8"/>
      <c r="I409" t="s" s="8"/>
      <c r="J409" t="s" s="8"/>
      <c r="K409" t="s" s="8"/>
      <c r="L409" t="s" s="8"/>
    </row>
    <row r="410" ht="15.75" customHeight="true">
      <c r="A410" t="s" s="15"/>
      <c r="B410" t="s" s="8"/>
      <c r="C410" t="s" s="8"/>
      <c r="D410" t="s" s="8"/>
      <c r="E410" t="s" s="8"/>
      <c r="F410" t="s" s="8"/>
      <c r="G410" t="s" s="8"/>
      <c r="H410" t="s" s="8"/>
      <c r="I410" t="s" s="8"/>
      <c r="J410" t="s" s="8"/>
      <c r="K410" t="s" s="8"/>
      <c r="L410" t="s" s="8"/>
    </row>
    <row r="411" ht="15.75" customHeight="true">
      <c r="A411" t="s" s="15"/>
      <c r="B411" t="s" s="8"/>
      <c r="C411" t="s" s="8"/>
      <c r="D411" t="s" s="8"/>
      <c r="E411" t="s" s="8"/>
      <c r="F411" t="s" s="8"/>
      <c r="G411" t="s" s="8"/>
      <c r="H411" t="s" s="8"/>
      <c r="I411" t="s" s="8"/>
      <c r="J411" t="s" s="8"/>
      <c r="K411" t="s" s="8"/>
      <c r="L411" t="s" s="8"/>
    </row>
    <row r="412" ht="15.75" customHeight="true">
      <c r="A412" t="s" s="15"/>
      <c r="B412" t="s" s="8"/>
      <c r="C412" t="s" s="8"/>
      <c r="D412" t="s" s="8"/>
      <c r="E412" t="s" s="8"/>
      <c r="F412" t="s" s="8"/>
      <c r="G412" t="s" s="8"/>
      <c r="H412" t="s" s="8"/>
      <c r="I412" t="s" s="8"/>
      <c r="J412" t="s" s="8"/>
      <c r="K412" t="s" s="8"/>
      <c r="L412" t="s" s="8"/>
    </row>
    <row r="413" ht="15.75" customHeight="true">
      <c r="A413" t="s" s="15"/>
      <c r="B413" t="s" s="8"/>
      <c r="C413" t="s" s="8"/>
      <c r="D413" t="s" s="8"/>
      <c r="E413" t="s" s="8"/>
      <c r="F413" t="s" s="8"/>
      <c r="G413" t="s" s="8"/>
      <c r="H413" t="s" s="8"/>
      <c r="I413" t="s" s="8"/>
      <c r="J413" t="s" s="8"/>
      <c r="K413" t="s" s="8"/>
      <c r="L413" t="s" s="8"/>
    </row>
    <row r="414" ht="15.75" customHeight="true">
      <c r="A414" t="s" s="15"/>
      <c r="B414" t="s" s="8"/>
      <c r="C414" t="s" s="8"/>
      <c r="D414" t="s" s="8"/>
      <c r="E414" t="s" s="8"/>
      <c r="F414" t="s" s="8"/>
      <c r="G414" t="s" s="8"/>
      <c r="H414" t="s" s="8"/>
      <c r="I414" t="s" s="8"/>
      <c r="J414" t="s" s="8"/>
      <c r="K414" t="s" s="8"/>
      <c r="L414" t="s" s="8"/>
    </row>
    <row r="415" ht="15.75" customHeight="true">
      <c r="A415" t="s" s="15"/>
      <c r="B415" t="s" s="8"/>
      <c r="C415" t="s" s="8"/>
      <c r="D415" t="s" s="8"/>
      <c r="E415" t="s" s="8"/>
      <c r="F415" t="s" s="8"/>
      <c r="G415" t="s" s="8"/>
      <c r="H415" t="s" s="8"/>
      <c r="I415" t="s" s="8"/>
      <c r="J415" t="s" s="8"/>
      <c r="K415" t="s" s="8"/>
      <c r="L415" t="s" s="8"/>
    </row>
    <row r="416" ht="15.75" customHeight="true">
      <c r="A416" t="s" s="15"/>
      <c r="B416" t="s" s="8"/>
      <c r="C416" t="s" s="8"/>
      <c r="D416" t="s" s="8"/>
      <c r="E416" t="s" s="8"/>
      <c r="F416" t="s" s="8"/>
      <c r="G416" t="s" s="8"/>
      <c r="H416" t="s" s="8"/>
      <c r="I416" t="s" s="8"/>
      <c r="J416" t="s" s="8"/>
      <c r="K416" t="s" s="8"/>
      <c r="L416" t="s" s="8"/>
    </row>
    <row r="417" ht="15.75" customHeight="true">
      <c r="A417" t="s" s="15"/>
      <c r="B417" t="s" s="8"/>
      <c r="C417" t="s" s="8"/>
      <c r="D417" t="s" s="8"/>
      <c r="E417" t="s" s="8"/>
      <c r="F417" t="s" s="8"/>
      <c r="G417" t="s" s="8"/>
      <c r="H417" t="s" s="8"/>
      <c r="I417" t="s" s="8"/>
      <c r="J417" t="s" s="8"/>
      <c r="K417" t="s" s="8"/>
      <c r="L417" t="s" s="8"/>
    </row>
    <row r="418" ht="15.75" customHeight="true">
      <c r="A418" t="s" s="15"/>
      <c r="B418" t="s" s="8"/>
      <c r="C418" t="s" s="8"/>
      <c r="D418" t="s" s="8"/>
      <c r="E418" t="s" s="8"/>
      <c r="F418" t="s" s="8"/>
      <c r="G418" t="s" s="8"/>
      <c r="H418" t="s" s="8"/>
      <c r="I418" t="s" s="8"/>
      <c r="J418" t="s" s="8"/>
      <c r="K418" t="s" s="8"/>
      <c r="L418" t="s" s="8"/>
    </row>
    <row r="419" ht="15.75" customHeight="true">
      <c r="A419" t="s" s="15"/>
      <c r="B419" t="s" s="8"/>
      <c r="C419" t="s" s="8"/>
      <c r="D419" t="s" s="8"/>
      <c r="E419" t="s" s="8"/>
      <c r="F419" t="s" s="8"/>
      <c r="G419" t="s" s="8"/>
      <c r="H419" t="s" s="8"/>
      <c r="I419" t="s" s="8"/>
      <c r="J419" t="s" s="8"/>
      <c r="K419" t="s" s="8"/>
      <c r="L419" t="s" s="8"/>
    </row>
    <row r="420" ht="15.75" customHeight="true">
      <c r="A420" t="s" s="15"/>
      <c r="B420" t="s" s="8"/>
      <c r="C420" t="s" s="8"/>
      <c r="D420" t="s" s="8"/>
      <c r="E420" t="s" s="8"/>
      <c r="F420" t="s" s="8"/>
      <c r="G420" t="s" s="8"/>
      <c r="H420" t="s" s="8"/>
      <c r="I420" t="s" s="8"/>
      <c r="J420" t="s" s="8"/>
      <c r="K420" t="s" s="8"/>
      <c r="L420" t="s" s="8"/>
    </row>
    <row r="421" ht="15.75" customHeight="true">
      <c r="A421" t="s" s="15"/>
      <c r="B421" t="s" s="8"/>
      <c r="C421" t="s" s="8"/>
      <c r="D421" t="s" s="8"/>
      <c r="E421" t="s" s="8"/>
      <c r="F421" t="s" s="8"/>
      <c r="G421" t="s" s="8"/>
      <c r="H421" t="s" s="8"/>
      <c r="I421" t="s" s="8"/>
      <c r="J421" t="s" s="8"/>
      <c r="K421" t="s" s="8"/>
      <c r="L421" t="s" s="8"/>
    </row>
    <row r="422" ht="15.75" customHeight="true">
      <c r="A422" t="s" s="15"/>
      <c r="B422" t="s" s="8"/>
      <c r="C422" t="s" s="8"/>
      <c r="D422" t="s" s="8"/>
      <c r="E422" t="s" s="8"/>
      <c r="F422" t="s" s="8"/>
      <c r="G422" t="s" s="8"/>
      <c r="H422" t="s" s="8"/>
      <c r="I422" t="s" s="8"/>
      <c r="J422" t="s" s="8"/>
      <c r="K422" t="s" s="8"/>
      <c r="L422" t="s" s="8"/>
    </row>
    <row r="423" ht="15.75" customHeight="true">
      <c r="A423" t="s" s="15"/>
      <c r="B423" t="s" s="8"/>
      <c r="C423" t="s" s="8"/>
      <c r="D423" t="s" s="8"/>
      <c r="E423" t="s" s="8"/>
      <c r="F423" t="s" s="8"/>
      <c r="G423" t="s" s="8"/>
      <c r="H423" t="s" s="8"/>
      <c r="I423" t="s" s="8"/>
      <c r="J423" t="s" s="8"/>
      <c r="K423" t="s" s="8"/>
      <c r="L423" t="s" s="8"/>
    </row>
    <row r="424" ht="15.75" customHeight="true">
      <c r="A424" t="s" s="15"/>
      <c r="B424" t="s" s="8"/>
      <c r="C424" t="s" s="8"/>
      <c r="D424" t="s" s="8"/>
      <c r="E424" t="s" s="8"/>
      <c r="F424" t="s" s="8"/>
      <c r="G424" t="s" s="8"/>
      <c r="H424" t="s" s="8"/>
      <c r="I424" t="s" s="8"/>
      <c r="J424" t="s" s="8"/>
      <c r="K424" t="s" s="8"/>
      <c r="L424" t="s" s="8"/>
    </row>
    <row r="425" ht="15.75" customHeight="true">
      <c r="A425" t="s" s="15"/>
      <c r="B425" t="s" s="8"/>
      <c r="C425" t="s" s="8"/>
      <c r="D425" t="s" s="8"/>
      <c r="E425" t="s" s="8"/>
      <c r="F425" t="s" s="8"/>
      <c r="G425" t="s" s="8"/>
      <c r="H425" t="s" s="8"/>
      <c r="I425" t="s" s="8"/>
      <c r="J425" t="s" s="8"/>
      <c r="K425" t="s" s="8"/>
      <c r="L425" t="s" s="8"/>
    </row>
    <row r="426" ht="15.75" customHeight="true">
      <c r="A426" t="s" s="15"/>
      <c r="B426" t="s" s="8"/>
      <c r="C426" t="s" s="8"/>
      <c r="D426" t="s" s="8"/>
      <c r="E426" t="s" s="8"/>
      <c r="F426" t="s" s="8"/>
      <c r="G426" t="s" s="8"/>
      <c r="H426" t="s" s="8"/>
      <c r="I426" t="s" s="8"/>
      <c r="J426" t="s" s="8"/>
      <c r="K426" t="s" s="8"/>
      <c r="L426" t="s" s="8"/>
    </row>
    <row r="427" ht="15.75" customHeight="true">
      <c r="A427" t="s" s="15"/>
      <c r="B427" t="s" s="8"/>
      <c r="C427" t="s" s="8"/>
      <c r="D427" t="s" s="8"/>
      <c r="E427" t="s" s="8"/>
      <c r="F427" t="s" s="8"/>
      <c r="G427" t="s" s="8"/>
      <c r="H427" t="s" s="8"/>
      <c r="I427" t="s" s="8"/>
      <c r="J427" t="s" s="8"/>
      <c r="K427" t="s" s="8"/>
      <c r="L427" t="s" s="8"/>
    </row>
    <row r="428" ht="15.75" customHeight="true">
      <c r="A428" t="s" s="15"/>
      <c r="B428" t="s" s="8"/>
      <c r="C428" t="s" s="8"/>
      <c r="D428" t="s" s="8"/>
      <c r="E428" t="s" s="8"/>
      <c r="F428" t="s" s="8"/>
      <c r="G428" t="s" s="8"/>
      <c r="H428" t="s" s="8"/>
      <c r="I428" t="s" s="8"/>
      <c r="J428" t="s" s="8"/>
      <c r="K428" t="s" s="8"/>
      <c r="L428" t="s" s="8"/>
    </row>
    <row r="429" ht="15.75" customHeight="true">
      <c r="A429" t="s" s="15"/>
      <c r="B429" t="s" s="8"/>
      <c r="C429" t="s" s="8"/>
      <c r="D429" t="s" s="8"/>
      <c r="E429" t="s" s="8"/>
      <c r="F429" t="s" s="8"/>
      <c r="G429" t="s" s="8"/>
      <c r="H429" t="s" s="8"/>
      <c r="I429" t="s" s="8"/>
      <c r="J429" t="s" s="8"/>
      <c r="K429" t="s" s="8"/>
      <c r="L429" t="s" s="8"/>
    </row>
    <row r="430" ht="15.75" customHeight="true">
      <c r="A430" t="s" s="15"/>
      <c r="B430" t="s" s="8"/>
      <c r="C430" t="s" s="8"/>
      <c r="D430" t="s" s="8"/>
      <c r="E430" t="s" s="8"/>
      <c r="F430" t="s" s="8"/>
      <c r="G430" t="s" s="8"/>
      <c r="H430" t="s" s="8"/>
      <c r="I430" t="s" s="8"/>
      <c r="J430" t="s" s="8"/>
      <c r="K430" t="s" s="8"/>
      <c r="L430" t="s" s="8"/>
    </row>
    <row r="431" ht="15.75" customHeight="true">
      <c r="A431" t="s" s="15"/>
      <c r="B431" t="s" s="8"/>
      <c r="C431" t="s" s="8"/>
      <c r="D431" t="s" s="8"/>
      <c r="E431" t="s" s="8"/>
      <c r="F431" t="s" s="8"/>
      <c r="G431" t="s" s="8"/>
      <c r="H431" t="s" s="8"/>
      <c r="I431" t="s" s="8"/>
      <c r="J431" t="s" s="8"/>
      <c r="K431" t="s" s="8"/>
      <c r="L431" t="s" s="8"/>
    </row>
    <row r="432" ht="15.75" customHeight="true">
      <c r="A432" t="s" s="15"/>
      <c r="B432" t="s" s="8"/>
      <c r="C432" t="s" s="8"/>
      <c r="D432" t="s" s="8"/>
      <c r="E432" t="s" s="8"/>
      <c r="F432" t="s" s="8"/>
      <c r="G432" t="s" s="8"/>
      <c r="H432" t="s" s="8"/>
      <c r="I432" t="s" s="8"/>
      <c r="J432" t="s" s="8"/>
      <c r="K432" t="s" s="8"/>
      <c r="L432" t="s" s="8"/>
    </row>
    <row r="433" ht="15.75" customHeight="true">
      <c r="A433" t="s" s="15"/>
      <c r="B433" t="s" s="8"/>
      <c r="C433" t="s" s="8"/>
      <c r="D433" t="s" s="8"/>
      <c r="E433" t="s" s="8"/>
      <c r="F433" t="s" s="8"/>
      <c r="G433" t="s" s="8"/>
      <c r="H433" t="s" s="8"/>
      <c r="I433" t="s" s="8"/>
      <c r="J433" t="s" s="8"/>
      <c r="K433" t="s" s="8"/>
      <c r="L433" t="s" s="8"/>
    </row>
    <row r="434" ht="15.75" customHeight="true">
      <c r="A434" t="s" s="15"/>
      <c r="B434" t="s" s="8"/>
      <c r="C434" t="s" s="8"/>
      <c r="D434" t="s" s="8"/>
      <c r="E434" t="s" s="8"/>
      <c r="F434" t="s" s="8"/>
      <c r="G434" t="s" s="8"/>
      <c r="H434" t="s" s="8"/>
      <c r="I434" t="s" s="8"/>
      <c r="J434" t="s" s="8"/>
      <c r="K434" t="s" s="8"/>
      <c r="L434" t="s" s="8"/>
    </row>
    <row r="435" ht="15.75" customHeight="true">
      <c r="A435" t="s" s="15"/>
      <c r="B435" t="s" s="8"/>
      <c r="C435" t="s" s="8"/>
      <c r="D435" t="s" s="8"/>
      <c r="E435" t="s" s="8"/>
      <c r="F435" t="s" s="8"/>
      <c r="G435" t="s" s="8"/>
      <c r="H435" t="s" s="8"/>
      <c r="I435" t="s" s="8"/>
      <c r="J435" t="s" s="8"/>
      <c r="K435" t="s" s="8"/>
      <c r="L435" t="s" s="8"/>
    </row>
    <row r="436" ht="15.75" customHeight="true">
      <c r="A436" t="s" s="15"/>
      <c r="B436" t="s" s="8"/>
      <c r="C436" t="s" s="8"/>
      <c r="D436" t="s" s="8"/>
      <c r="E436" t="s" s="8"/>
      <c r="F436" t="s" s="8"/>
      <c r="G436" t="s" s="8"/>
      <c r="H436" t="s" s="8"/>
      <c r="I436" t="s" s="8"/>
      <c r="J436" t="s" s="8"/>
      <c r="K436" t="s" s="8"/>
      <c r="L436" t="s" s="8"/>
    </row>
    <row r="437" ht="15.75" customHeight="true">
      <c r="A437" t="s" s="15"/>
      <c r="B437" t="s" s="8"/>
      <c r="C437" t="s" s="8"/>
      <c r="D437" t="s" s="8"/>
      <c r="E437" t="s" s="8"/>
      <c r="F437" t="s" s="8"/>
      <c r="G437" t="s" s="8"/>
      <c r="H437" t="s" s="8"/>
      <c r="I437" t="s" s="8"/>
      <c r="J437" t="s" s="8"/>
      <c r="K437" t="s" s="8"/>
      <c r="L437" t="s" s="8"/>
    </row>
    <row r="438" ht="15.75" customHeight="true">
      <c r="A438" t="s" s="15"/>
      <c r="B438" t="s" s="8"/>
      <c r="C438" t="s" s="8"/>
      <c r="D438" t="s" s="8"/>
      <c r="E438" t="s" s="8"/>
      <c r="F438" t="s" s="8"/>
      <c r="G438" t="s" s="8"/>
      <c r="H438" t="s" s="8"/>
      <c r="I438" t="s" s="8"/>
      <c r="J438" t="s" s="8"/>
      <c r="K438" t="s" s="8"/>
      <c r="L438" t="s" s="8"/>
    </row>
    <row r="439" ht="15.75" customHeight="true">
      <c r="A439" t="s" s="15"/>
      <c r="B439" t="s" s="8"/>
      <c r="C439" t="s" s="8"/>
      <c r="D439" t="s" s="8"/>
      <c r="E439" t="s" s="8"/>
      <c r="F439" t="s" s="8"/>
      <c r="G439" t="s" s="8"/>
      <c r="H439" t="s" s="8"/>
      <c r="I439" t="s" s="8"/>
      <c r="J439" t="s" s="8"/>
      <c r="K439" t="s" s="8"/>
      <c r="L439" t="s" s="8"/>
    </row>
    <row r="440" ht="15.75" customHeight="true">
      <c r="A440" t="s" s="15"/>
      <c r="B440" t="s" s="8"/>
      <c r="C440" t="s" s="8"/>
      <c r="D440" t="s" s="8"/>
      <c r="E440" t="s" s="8"/>
      <c r="F440" t="s" s="8"/>
      <c r="G440" t="s" s="8"/>
      <c r="H440" t="s" s="8"/>
      <c r="I440" t="s" s="8"/>
      <c r="J440" t="s" s="8"/>
      <c r="K440" t="s" s="8"/>
      <c r="L440" t="s" s="8"/>
    </row>
    <row r="441" ht="15.75" customHeight="true">
      <c r="A441" t="s" s="15"/>
      <c r="B441" t="s" s="8"/>
      <c r="C441" t="s" s="8"/>
      <c r="D441" t="s" s="8"/>
      <c r="E441" t="s" s="8"/>
      <c r="F441" t="s" s="8"/>
      <c r="G441" t="s" s="8"/>
      <c r="H441" t="s" s="8"/>
      <c r="I441" t="s" s="8"/>
      <c r="J441" t="s" s="8"/>
      <c r="K441" t="s" s="8"/>
      <c r="L441" t="s" s="8"/>
    </row>
    <row r="442" ht="15.75" customHeight="true">
      <c r="A442" t="s" s="15"/>
      <c r="B442" t="s" s="8"/>
      <c r="C442" t="s" s="8"/>
      <c r="D442" t="s" s="8"/>
      <c r="E442" t="s" s="8"/>
      <c r="F442" t="s" s="8"/>
      <c r="G442" t="s" s="8"/>
      <c r="H442" t="s" s="8"/>
      <c r="I442" t="s" s="8"/>
      <c r="J442" t="s" s="8"/>
      <c r="K442" t="s" s="8"/>
      <c r="L442" t="s" s="8"/>
    </row>
    <row r="443" ht="15.75" customHeight="true">
      <c r="A443" t="s" s="15"/>
      <c r="B443" t="s" s="8"/>
      <c r="C443" t="s" s="8"/>
      <c r="D443" t="s" s="8"/>
      <c r="E443" t="s" s="8"/>
      <c r="F443" t="s" s="8"/>
      <c r="G443" t="s" s="8"/>
      <c r="H443" t="s" s="8"/>
      <c r="I443" t="s" s="8"/>
      <c r="J443" t="s" s="8"/>
      <c r="K443" t="s" s="8"/>
      <c r="L443" t="s" s="8"/>
    </row>
    <row r="444" ht="15.75" customHeight="true">
      <c r="A444" t="s" s="15"/>
      <c r="B444" t="s" s="8"/>
      <c r="C444" t="s" s="8"/>
      <c r="D444" t="s" s="8"/>
      <c r="E444" t="s" s="8"/>
      <c r="F444" t="s" s="8"/>
      <c r="G444" t="s" s="8"/>
      <c r="H444" t="s" s="8"/>
      <c r="I444" t="s" s="8"/>
      <c r="J444" t="s" s="8"/>
      <c r="K444" t="s" s="8"/>
      <c r="L444" t="s" s="8"/>
    </row>
    <row r="445" ht="15.75" customHeight="true">
      <c r="A445" t="s" s="15"/>
      <c r="B445" t="s" s="8"/>
      <c r="C445" t="s" s="8"/>
      <c r="D445" t="s" s="8"/>
      <c r="E445" t="s" s="8"/>
      <c r="F445" t="s" s="8"/>
      <c r="G445" t="s" s="8"/>
      <c r="H445" t="s" s="8"/>
      <c r="I445" t="s" s="8"/>
      <c r="J445" t="s" s="8"/>
      <c r="K445" t="s" s="8"/>
      <c r="L445" t="s" s="8"/>
    </row>
    <row r="446" ht="15.75" customHeight="true">
      <c r="A446" t="s" s="15"/>
      <c r="B446" t="s" s="8"/>
      <c r="C446" t="s" s="8"/>
      <c r="D446" t="s" s="8"/>
      <c r="E446" t="s" s="8"/>
      <c r="F446" t="s" s="8"/>
      <c r="G446" t="s" s="8"/>
      <c r="H446" t="s" s="8"/>
      <c r="I446" t="s" s="8"/>
      <c r="J446" t="s" s="8"/>
      <c r="K446" t="s" s="8"/>
      <c r="L446" t="s" s="8"/>
    </row>
    <row r="447" ht="15.75" customHeight="true">
      <c r="A447" t="s" s="15"/>
      <c r="B447" t="s" s="8"/>
      <c r="C447" t="s" s="8"/>
      <c r="D447" t="s" s="8"/>
      <c r="E447" t="s" s="8"/>
      <c r="F447" t="s" s="8"/>
      <c r="G447" t="s" s="8"/>
      <c r="H447" t="s" s="8"/>
      <c r="I447" t="s" s="8"/>
      <c r="J447" t="s" s="8"/>
      <c r="K447" t="s" s="8"/>
      <c r="L447" t="s" s="8"/>
    </row>
    <row r="448" ht="15.75" customHeight="true">
      <c r="A448" t="s" s="15"/>
      <c r="B448" t="s" s="8"/>
      <c r="C448" t="s" s="8"/>
      <c r="D448" t="s" s="8"/>
      <c r="E448" t="s" s="8"/>
      <c r="F448" t="s" s="8"/>
      <c r="G448" t="s" s="8"/>
      <c r="H448" t="s" s="8"/>
      <c r="I448" t="s" s="8"/>
      <c r="J448" t="s" s="8"/>
      <c r="K448" t="s" s="8"/>
      <c r="L448" t="s" s="8"/>
    </row>
    <row r="449" ht="15.75" customHeight="true">
      <c r="A449" t="s" s="15"/>
      <c r="B449" t="s" s="8"/>
      <c r="C449" t="s" s="8"/>
      <c r="D449" t="s" s="8"/>
      <c r="E449" t="s" s="8"/>
      <c r="F449" t="s" s="8"/>
      <c r="G449" t="s" s="8"/>
      <c r="H449" t="s" s="8"/>
      <c r="I449" t="s" s="8"/>
      <c r="J449" t="s" s="8"/>
      <c r="K449" t="s" s="8"/>
      <c r="L449" t="s" s="8"/>
    </row>
    <row r="450" ht="15.75" customHeight="true">
      <c r="A450" t="s" s="15"/>
      <c r="B450" t="s" s="8"/>
      <c r="C450" t="s" s="8"/>
      <c r="D450" t="s" s="8"/>
      <c r="E450" t="s" s="8"/>
      <c r="F450" t="s" s="8"/>
      <c r="G450" t="s" s="8"/>
      <c r="H450" t="s" s="8"/>
      <c r="I450" t="s" s="8"/>
      <c r="J450" t="s" s="8"/>
      <c r="K450" t="s" s="8"/>
      <c r="L450" t="s" s="8"/>
    </row>
    <row r="451" ht="15.75" customHeight="true">
      <c r="A451" t="s" s="15"/>
      <c r="B451" t="s" s="8"/>
      <c r="C451" t="s" s="8"/>
      <c r="D451" t="s" s="8"/>
      <c r="E451" t="s" s="8"/>
      <c r="F451" t="s" s="8"/>
      <c r="G451" t="s" s="8"/>
      <c r="H451" t="s" s="8"/>
      <c r="I451" t="s" s="8"/>
      <c r="J451" t="s" s="8"/>
      <c r="K451" t="s" s="8"/>
      <c r="L451" t="s" s="8"/>
    </row>
    <row r="452" ht="15.75" customHeight="true">
      <c r="A452" t="s" s="15"/>
      <c r="B452" t="s" s="8"/>
      <c r="C452" t="s" s="8"/>
      <c r="D452" t="s" s="8"/>
      <c r="E452" t="s" s="8"/>
      <c r="F452" t="s" s="8"/>
      <c r="G452" t="s" s="8"/>
      <c r="H452" t="s" s="8"/>
      <c r="I452" t="s" s="8"/>
      <c r="J452" t="s" s="8"/>
      <c r="K452" t="s" s="8"/>
      <c r="L452" t="s" s="8"/>
    </row>
    <row r="453" ht="15.75" customHeight="true">
      <c r="A453" t="s" s="15"/>
      <c r="B453" t="s" s="8"/>
      <c r="C453" t="s" s="8"/>
      <c r="D453" t="s" s="8"/>
      <c r="E453" t="s" s="8"/>
      <c r="F453" t="s" s="8"/>
      <c r="G453" t="s" s="8"/>
      <c r="H453" t="s" s="8"/>
      <c r="I453" t="s" s="8"/>
      <c r="J453" t="s" s="8"/>
      <c r="K453" t="s" s="8"/>
      <c r="L453" t="s" s="8"/>
    </row>
    <row r="454" ht="15.75" customHeight="true">
      <c r="A454" t="s" s="15"/>
      <c r="B454" t="s" s="8"/>
      <c r="C454" t="s" s="8"/>
      <c r="D454" t="s" s="8"/>
      <c r="E454" t="s" s="8"/>
      <c r="F454" t="s" s="8"/>
      <c r="G454" t="s" s="8"/>
      <c r="H454" t="s" s="8"/>
      <c r="I454" t="s" s="8"/>
      <c r="J454" t="s" s="8"/>
      <c r="K454" t="s" s="8"/>
      <c r="L454" t="s" s="8"/>
    </row>
    <row r="455" ht="15.75" customHeight="true">
      <c r="A455" t="s" s="15"/>
      <c r="B455" t="s" s="8"/>
      <c r="C455" t="s" s="8"/>
      <c r="D455" t="s" s="8"/>
      <c r="E455" t="s" s="8"/>
      <c r="F455" t="s" s="8"/>
      <c r="G455" t="s" s="8"/>
      <c r="H455" t="s" s="8"/>
      <c r="I455" t="s" s="8"/>
      <c r="J455" t="s" s="8"/>
      <c r="K455" t="s" s="8"/>
      <c r="L455" t="s" s="8"/>
    </row>
    <row r="456" ht="15.75" customHeight="true">
      <c r="A456" t="s" s="15"/>
      <c r="B456" t="s" s="8"/>
      <c r="C456" t="s" s="8"/>
      <c r="D456" t="s" s="8"/>
      <c r="E456" t="s" s="8"/>
      <c r="F456" t="s" s="8"/>
      <c r="G456" t="s" s="8"/>
      <c r="H456" t="s" s="8"/>
      <c r="I456" t="s" s="8"/>
      <c r="J456" t="s" s="8"/>
      <c r="K456" t="s" s="8"/>
      <c r="L456" t="s" s="8"/>
    </row>
    <row r="457" ht="15.75" customHeight="true">
      <c r="A457" t="s" s="15"/>
      <c r="B457" t="s" s="8"/>
      <c r="C457" t="s" s="8"/>
      <c r="D457" t="s" s="8"/>
      <c r="E457" t="s" s="8"/>
      <c r="F457" t="s" s="8"/>
      <c r="G457" t="s" s="8"/>
      <c r="H457" t="s" s="8"/>
      <c r="I457" t="s" s="8"/>
      <c r="J457" t="s" s="8"/>
      <c r="K457" t="s" s="8"/>
      <c r="L457" t="s" s="8"/>
    </row>
    <row r="458" ht="15.75" customHeight="true">
      <c r="A458" t="s" s="15"/>
      <c r="B458" t="s" s="8"/>
      <c r="C458" t="s" s="8"/>
      <c r="D458" t="s" s="8"/>
      <c r="E458" t="s" s="8"/>
      <c r="F458" t="s" s="8"/>
      <c r="G458" t="s" s="8"/>
      <c r="H458" t="s" s="8"/>
      <c r="I458" t="s" s="8"/>
      <c r="J458" t="s" s="8"/>
      <c r="K458" t="s" s="8"/>
      <c r="L458" t="s" s="8"/>
    </row>
    <row r="459" ht="15.75" customHeight="true">
      <c r="A459" t="s" s="15"/>
      <c r="B459" t="s" s="8"/>
      <c r="C459" t="s" s="8"/>
      <c r="D459" t="s" s="8"/>
      <c r="E459" t="s" s="8"/>
      <c r="F459" t="s" s="8"/>
      <c r="G459" t="s" s="8"/>
      <c r="H459" t="s" s="8"/>
      <c r="I459" t="s" s="8"/>
      <c r="J459" t="s" s="8"/>
      <c r="K459" t="s" s="8"/>
      <c r="L459" t="s" s="8"/>
    </row>
    <row r="460" ht="15.75" customHeight="true">
      <c r="A460" t="s" s="15"/>
      <c r="B460" t="s" s="8"/>
      <c r="C460" t="s" s="8"/>
      <c r="D460" t="s" s="8"/>
      <c r="E460" t="s" s="8"/>
      <c r="F460" t="s" s="8"/>
      <c r="G460" t="s" s="8"/>
      <c r="H460" t="s" s="8"/>
      <c r="I460" t="s" s="8"/>
      <c r="J460" t="s" s="8"/>
      <c r="K460" t="s" s="8"/>
      <c r="L460" t="s" s="8"/>
    </row>
    <row r="461" ht="15.75" customHeight="true">
      <c r="A461" t="s" s="15"/>
      <c r="B461" t="s" s="8"/>
      <c r="C461" t="s" s="8"/>
      <c r="D461" t="s" s="8"/>
      <c r="E461" t="s" s="8"/>
      <c r="F461" t="s" s="8"/>
      <c r="G461" t="s" s="8"/>
      <c r="H461" t="s" s="8"/>
      <c r="I461" t="s" s="8"/>
      <c r="J461" t="s" s="8"/>
      <c r="K461" t="s" s="8"/>
      <c r="L461" t="s" s="8"/>
    </row>
    <row r="462" ht="15.75" customHeight="true">
      <c r="A462" t="s" s="15"/>
      <c r="B462" t="s" s="8"/>
      <c r="C462" t="s" s="8"/>
      <c r="D462" t="s" s="8"/>
      <c r="E462" t="s" s="8"/>
      <c r="F462" t="s" s="8"/>
      <c r="G462" t="s" s="8"/>
      <c r="H462" t="s" s="8"/>
      <c r="I462" t="s" s="8"/>
      <c r="J462" t="s" s="8"/>
      <c r="K462" t="s" s="8"/>
      <c r="L462" t="s" s="8"/>
    </row>
    <row r="463" ht="15.75" customHeight="true">
      <c r="A463" t="s" s="15"/>
      <c r="B463" t="s" s="8"/>
      <c r="C463" t="s" s="8"/>
      <c r="D463" t="s" s="8"/>
      <c r="E463" t="s" s="8"/>
      <c r="F463" t="s" s="8"/>
      <c r="G463" t="s" s="8"/>
      <c r="H463" t="s" s="8"/>
      <c r="I463" t="s" s="8"/>
      <c r="J463" t="s" s="8"/>
      <c r="K463" t="s" s="8"/>
      <c r="L463" t="s" s="8"/>
    </row>
    <row r="464" ht="15.75" customHeight="true">
      <c r="A464" t="s" s="15"/>
      <c r="B464" t="s" s="8"/>
      <c r="C464" t="s" s="8"/>
      <c r="D464" t="s" s="8"/>
      <c r="E464" t="s" s="8"/>
      <c r="F464" t="s" s="8"/>
      <c r="G464" t="s" s="8"/>
      <c r="H464" t="s" s="8"/>
      <c r="I464" t="s" s="8"/>
      <c r="J464" t="s" s="8"/>
      <c r="K464" t="s" s="8"/>
      <c r="L464" t="s" s="8"/>
    </row>
    <row r="465" ht="15.75" customHeight="true">
      <c r="A465" t="s" s="15"/>
      <c r="B465" t="s" s="8"/>
      <c r="C465" t="s" s="8"/>
      <c r="D465" t="s" s="8"/>
      <c r="E465" t="s" s="8"/>
      <c r="F465" t="s" s="8"/>
      <c r="G465" t="s" s="8"/>
      <c r="H465" t="s" s="8"/>
      <c r="I465" t="s" s="8"/>
      <c r="J465" t="s" s="8"/>
      <c r="K465" t="s" s="8"/>
      <c r="L465" t="s" s="8"/>
    </row>
    <row r="466" ht="15.75" customHeight="true">
      <c r="A466" t="s" s="15"/>
      <c r="B466" t="s" s="8"/>
      <c r="C466" t="s" s="8"/>
      <c r="D466" t="s" s="8"/>
      <c r="E466" t="s" s="8"/>
      <c r="F466" t="s" s="8"/>
      <c r="G466" t="s" s="8"/>
      <c r="H466" t="s" s="8"/>
      <c r="I466" t="s" s="8"/>
      <c r="J466" t="s" s="8"/>
      <c r="K466" t="s" s="8"/>
      <c r="L466" t="s" s="8"/>
    </row>
    <row r="467" ht="15.75" customHeight="true">
      <c r="A467" t="s" s="15"/>
      <c r="B467" t="s" s="8"/>
      <c r="C467" t="s" s="8"/>
      <c r="D467" t="s" s="8"/>
      <c r="E467" t="s" s="8"/>
      <c r="F467" t="s" s="8"/>
      <c r="G467" t="s" s="8"/>
      <c r="H467" t="s" s="8"/>
      <c r="I467" t="s" s="8"/>
      <c r="J467" t="s" s="8"/>
      <c r="K467" t="s" s="8"/>
      <c r="L467" t="s" s="8"/>
    </row>
    <row r="468" ht="15.75" customHeight="true">
      <c r="A468" t="s" s="15"/>
      <c r="B468" t="s" s="8"/>
      <c r="C468" t="s" s="8"/>
      <c r="D468" t="s" s="8"/>
      <c r="E468" t="s" s="8"/>
      <c r="F468" t="s" s="8"/>
      <c r="G468" t="s" s="8"/>
      <c r="H468" t="s" s="8"/>
      <c r="I468" t="s" s="8"/>
      <c r="J468" t="s" s="8"/>
      <c r="K468" t="s" s="8"/>
      <c r="L468" t="s" s="8"/>
    </row>
    <row r="469" ht="15.75" customHeight="true">
      <c r="A469" t="s" s="15"/>
      <c r="B469" t="s" s="8"/>
      <c r="C469" t="s" s="8"/>
      <c r="D469" t="s" s="8"/>
      <c r="E469" t="s" s="8"/>
      <c r="F469" t="s" s="8"/>
      <c r="G469" t="s" s="8"/>
      <c r="H469" t="s" s="8"/>
      <c r="I469" t="s" s="8"/>
      <c r="J469" t="s" s="8"/>
      <c r="K469" t="s" s="8"/>
      <c r="L469" t="s" s="8"/>
    </row>
    <row r="470" ht="15.75" customHeight="true">
      <c r="A470" t="s" s="15"/>
      <c r="B470" t="s" s="8"/>
      <c r="C470" t="s" s="8"/>
      <c r="D470" t="s" s="8"/>
      <c r="E470" t="s" s="8"/>
      <c r="F470" t="s" s="8"/>
      <c r="G470" t="s" s="8"/>
      <c r="H470" t="s" s="8"/>
      <c r="I470" t="s" s="8"/>
      <c r="J470" t="s" s="8"/>
      <c r="K470" t="s" s="8"/>
      <c r="L470" t="s" s="8"/>
    </row>
    <row r="471" ht="15.75" customHeight="true">
      <c r="A471" t="s" s="15"/>
      <c r="B471" t="s" s="8"/>
      <c r="C471" t="s" s="8"/>
      <c r="D471" t="s" s="8"/>
      <c r="E471" t="s" s="8"/>
      <c r="F471" t="s" s="8"/>
      <c r="G471" t="s" s="8"/>
      <c r="H471" t="s" s="8"/>
      <c r="I471" t="s" s="8"/>
      <c r="J471" t="s" s="8"/>
      <c r="K471" t="s" s="8"/>
      <c r="L471" t="s" s="8"/>
    </row>
    <row r="472" ht="15.75" customHeight="true">
      <c r="A472" t="s" s="15"/>
      <c r="B472" t="s" s="8"/>
      <c r="C472" t="s" s="8"/>
      <c r="D472" t="s" s="8"/>
      <c r="E472" t="s" s="8"/>
      <c r="F472" t="s" s="8"/>
      <c r="G472" t="s" s="8"/>
      <c r="H472" t="s" s="8"/>
      <c r="I472" t="s" s="8"/>
      <c r="J472" t="s" s="8"/>
      <c r="K472" t="s" s="8"/>
      <c r="L472" t="s" s="8"/>
    </row>
    <row r="473" ht="15.75" customHeight="true">
      <c r="A473" t="s" s="15"/>
      <c r="B473" t="s" s="8"/>
      <c r="C473" t="s" s="8"/>
      <c r="D473" t="s" s="8"/>
      <c r="E473" t="s" s="8"/>
      <c r="F473" t="s" s="8"/>
      <c r="G473" t="s" s="8"/>
      <c r="H473" t="s" s="8"/>
      <c r="I473" t="s" s="8"/>
      <c r="J473" t="s" s="8"/>
      <c r="K473" t="s" s="8"/>
      <c r="L473" t="s" s="8"/>
    </row>
    <row r="474" ht="15.75" customHeight="true">
      <c r="A474" t="s" s="15"/>
      <c r="B474" t="s" s="8"/>
      <c r="C474" t="s" s="8"/>
      <c r="D474" t="s" s="8"/>
      <c r="E474" t="s" s="8"/>
      <c r="F474" t="s" s="8"/>
      <c r="G474" t="s" s="8"/>
      <c r="H474" t="s" s="8"/>
      <c r="I474" t="s" s="8"/>
      <c r="J474" t="s" s="8"/>
      <c r="K474" t="s" s="8"/>
      <c r="L474" t="s" s="8"/>
    </row>
    <row r="475" ht="15.75" customHeight="true">
      <c r="A475" t="s" s="15"/>
      <c r="B475" t="s" s="8"/>
      <c r="C475" t="s" s="8"/>
      <c r="D475" t="s" s="8"/>
      <c r="E475" t="s" s="8"/>
      <c r="F475" t="s" s="8"/>
      <c r="G475" t="s" s="8"/>
      <c r="H475" t="s" s="8"/>
      <c r="I475" t="s" s="8"/>
      <c r="J475" t="s" s="8"/>
      <c r="K475" t="s" s="8"/>
      <c r="L475" t="s" s="8"/>
    </row>
    <row r="476" ht="15.75" customHeight="true">
      <c r="A476" t="s" s="15"/>
      <c r="B476" t="s" s="8"/>
      <c r="C476" t="s" s="8"/>
      <c r="D476" t="s" s="8"/>
      <c r="E476" t="s" s="8"/>
      <c r="F476" t="s" s="8"/>
      <c r="G476" t="s" s="8"/>
      <c r="H476" t="s" s="8"/>
      <c r="I476" t="s" s="8"/>
      <c r="J476" t="s" s="8"/>
      <c r="K476" t="s" s="8"/>
      <c r="L476" t="s" s="8"/>
    </row>
    <row r="477" ht="15.75" customHeight="true">
      <c r="A477" t="s" s="15"/>
      <c r="B477" t="s" s="8"/>
      <c r="C477" t="s" s="8"/>
      <c r="D477" t="s" s="8"/>
      <c r="E477" t="s" s="8"/>
      <c r="F477" t="s" s="8"/>
      <c r="G477" t="s" s="8"/>
      <c r="H477" t="s" s="8"/>
      <c r="I477" t="s" s="8"/>
      <c r="J477" t="s" s="8"/>
      <c r="K477" t="s" s="8"/>
      <c r="L477" t="s" s="8"/>
    </row>
    <row r="478" ht="15.75" customHeight="true">
      <c r="A478" t="s" s="15"/>
      <c r="B478" t="s" s="8"/>
      <c r="C478" t="s" s="8"/>
      <c r="D478" t="s" s="8"/>
      <c r="E478" t="s" s="8"/>
      <c r="F478" t="s" s="8"/>
      <c r="G478" t="s" s="8"/>
      <c r="H478" t="s" s="8"/>
      <c r="I478" t="s" s="8"/>
      <c r="J478" t="s" s="8"/>
      <c r="K478" t="s" s="8"/>
      <c r="L478" t="s" s="8"/>
    </row>
    <row r="479" ht="15.75" customHeight="true">
      <c r="A479" t="s" s="15"/>
      <c r="B479" t="s" s="8"/>
      <c r="C479" t="s" s="8"/>
      <c r="D479" t="s" s="8"/>
      <c r="E479" t="s" s="8"/>
      <c r="F479" t="s" s="8"/>
      <c r="G479" t="s" s="8"/>
      <c r="H479" t="s" s="8"/>
      <c r="I479" t="s" s="8"/>
      <c r="J479" t="s" s="8"/>
      <c r="K479" t="s" s="8"/>
      <c r="L479" t="s" s="8"/>
    </row>
    <row r="480" ht="15.75" customHeight="true">
      <c r="A480" t="s" s="15"/>
      <c r="B480" t="s" s="8"/>
      <c r="C480" t="s" s="8"/>
      <c r="D480" t="s" s="8"/>
      <c r="E480" t="s" s="8"/>
      <c r="F480" t="s" s="8"/>
      <c r="G480" t="s" s="8"/>
      <c r="H480" t="s" s="8"/>
      <c r="I480" t="s" s="8"/>
      <c r="J480" t="s" s="8"/>
      <c r="K480" t="s" s="8"/>
      <c r="L480" t="s" s="8"/>
    </row>
    <row r="481" ht="15.75" customHeight="true">
      <c r="A481" t="s" s="15"/>
      <c r="B481" t="s" s="8"/>
      <c r="C481" t="s" s="8"/>
      <c r="D481" t="s" s="8"/>
      <c r="E481" t="s" s="8"/>
      <c r="F481" t="s" s="8"/>
      <c r="G481" t="s" s="8"/>
      <c r="H481" t="s" s="8"/>
      <c r="I481" t="s" s="8"/>
      <c r="J481" t="s" s="8"/>
      <c r="K481" t="s" s="8"/>
      <c r="L481" t="s" s="8"/>
    </row>
    <row r="482" ht="15.75" customHeight="true">
      <c r="A482" t="s" s="15"/>
      <c r="B482" t="s" s="8"/>
      <c r="C482" t="s" s="8"/>
      <c r="D482" t="s" s="8"/>
      <c r="E482" t="s" s="8"/>
      <c r="F482" t="s" s="8"/>
      <c r="G482" t="s" s="8"/>
      <c r="H482" t="s" s="8"/>
      <c r="I482" t="s" s="8"/>
      <c r="J482" t="s" s="8"/>
      <c r="K482" t="s" s="8"/>
      <c r="L482" t="s" s="8"/>
    </row>
    <row r="483" ht="15.75" customHeight="true">
      <c r="A483" t="s" s="15"/>
      <c r="B483" t="s" s="8"/>
      <c r="C483" t="s" s="8"/>
      <c r="D483" t="s" s="8"/>
      <c r="E483" t="s" s="8"/>
      <c r="F483" t="s" s="8"/>
      <c r="G483" t="s" s="8"/>
      <c r="H483" t="s" s="8"/>
      <c r="I483" t="s" s="8"/>
      <c r="J483" t="s" s="8"/>
      <c r="K483" t="s" s="8"/>
      <c r="L483" t="s" s="8"/>
    </row>
    <row r="484" ht="15.75" customHeight="true">
      <c r="A484" t="s" s="15"/>
      <c r="B484" t="s" s="8"/>
      <c r="C484" t="s" s="8"/>
      <c r="D484" t="s" s="8"/>
      <c r="E484" t="s" s="8"/>
      <c r="F484" t="s" s="8"/>
      <c r="G484" t="s" s="8"/>
      <c r="H484" t="s" s="8"/>
      <c r="I484" t="s" s="8"/>
      <c r="J484" t="s" s="8"/>
      <c r="K484" t="s" s="8"/>
      <c r="L484" t="s" s="8"/>
    </row>
    <row r="485" ht="15.75" customHeight="true">
      <c r="A485" t="s" s="15"/>
      <c r="B485" t="s" s="8"/>
      <c r="C485" t="s" s="8"/>
      <c r="D485" t="s" s="8"/>
      <c r="E485" t="s" s="8"/>
      <c r="F485" t="s" s="8"/>
      <c r="G485" t="s" s="8"/>
      <c r="H485" t="s" s="8"/>
      <c r="I485" t="s" s="8"/>
      <c r="J485" t="s" s="8"/>
      <c r="K485" t="s" s="8"/>
      <c r="L485" t="s" s="8"/>
    </row>
    <row r="486" ht="15.75" customHeight="true">
      <c r="A486" t="s" s="15"/>
      <c r="B486" t="s" s="8"/>
      <c r="C486" t="s" s="8"/>
      <c r="D486" t="s" s="8"/>
      <c r="E486" t="s" s="8"/>
      <c r="F486" t="s" s="8"/>
      <c r="G486" t="s" s="8"/>
      <c r="H486" t="s" s="8"/>
      <c r="I486" t="s" s="8"/>
      <c r="J486" t="s" s="8"/>
      <c r="K486" t="s" s="8"/>
      <c r="L486" t="s" s="8"/>
    </row>
    <row r="487" ht="15.75" customHeight="true">
      <c r="A487" t="s" s="15"/>
      <c r="B487" t="s" s="8"/>
      <c r="C487" t="s" s="8"/>
      <c r="D487" t="s" s="8"/>
      <c r="E487" t="s" s="8"/>
      <c r="F487" t="s" s="8"/>
      <c r="G487" t="s" s="8"/>
      <c r="H487" t="s" s="8"/>
      <c r="I487" t="s" s="8"/>
      <c r="J487" t="s" s="8"/>
      <c r="K487" t="s" s="8"/>
      <c r="L487" t="s" s="8"/>
    </row>
    <row r="488" ht="15.75" customHeight="true">
      <c r="A488" t="s" s="15"/>
      <c r="B488" t="s" s="8"/>
      <c r="C488" t="s" s="8"/>
      <c r="D488" t="s" s="8"/>
      <c r="E488" t="s" s="8"/>
      <c r="F488" t="s" s="8"/>
      <c r="G488" t="s" s="8"/>
      <c r="H488" t="s" s="8"/>
      <c r="I488" t="s" s="8"/>
      <c r="J488" t="s" s="8"/>
      <c r="K488" t="s" s="8"/>
      <c r="L488" t="s" s="8"/>
    </row>
    <row r="489" ht="15.75" customHeight="true">
      <c r="A489" t="s" s="15"/>
      <c r="B489" t="s" s="8"/>
      <c r="C489" t="s" s="8"/>
      <c r="D489" t="s" s="8"/>
      <c r="E489" t="s" s="8"/>
      <c r="F489" t="s" s="8"/>
      <c r="G489" t="s" s="8"/>
      <c r="H489" t="s" s="8"/>
      <c r="I489" t="s" s="8"/>
      <c r="J489" t="s" s="8"/>
      <c r="K489" t="s" s="8"/>
      <c r="L489" t="s" s="8"/>
    </row>
    <row r="490" ht="15.75" customHeight="true">
      <c r="A490" t="s" s="15"/>
      <c r="B490" t="s" s="8"/>
      <c r="C490" t="s" s="8"/>
      <c r="D490" t="s" s="8"/>
      <c r="E490" t="s" s="8"/>
      <c r="F490" t="s" s="8"/>
      <c r="G490" t="s" s="8"/>
      <c r="H490" t="s" s="8"/>
      <c r="I490" t="s" s="8"/>
      <c r="J490" t="s" s="8"/>
      <c r="K490" t="s" s="8"/>
      <c r="L490" t="s" s="8"/>
    </row>
    <row r="491" ht="15.75" customHeight="true">
      <c r="A491" t="s" s="15"/>
      <c r="B491" t="s" s="8"/>
      <c r="C491" t="s" s="8"/>
      <c r="D491" t="s" s="8"/>
      <c r="E491" t="s" s="8"/>
      <c r="F491" t="s" s="8"/>
      <c r="G491" t="s" s="8"/>
      <c r="H491" t="s" s="8"/>
      <c r="I491" t="s" s="8"/>
      <c r="J491" t="s" s="8"/>
      <c r="K491" t="s" s="8"/>
      <c r="L491" t="s" s="8"/>
    </row>
    <row r="492" ht="15.75" customHeight="true">
      <c r="A492" t="s" s="15"/>
      <c r="B492" t="s" s="8"/>
      <c r="C492" t="s" s="8"/>
      <c r="D492" t="s" s="8"/>
      <c r="E492" t="s" s="8"/>
      <c r="F492" t="s" s="8"/>
      <c r="G492" t="s" s="8"/>
      <c r="H492" t="s" s="8"/>
      <c r="I492" t="s" s="8"/>
      <c r="J492" t="s" s="8"/>
      <c r="K492" t="s" s="8"/>
      <c r="L492" t="s" s="8"/>
    </row>
    <row r="493" ht="15.75" customHeight="true">
      <c r="A493" t="s" s="15"/>
      <c r="B493" t="s" s="8"/>
      <c r="C493" t="s" s="8"/>
      <c r="D493" t="s" s="8"/>
      <c r="E493" t="s" s="8"/>
      <c r="F493" t="s" s="8"/>
      <c r="G493" t="s" s="8"/>
      <c r="H493" t="s" s="8"/>
      <c r="I493" t="s" s="8"/>
      <c r="J493" t="s" s="8"/>
      <c r="K493" t="s" s="8"/>
      <c r="L493" t="s" s="8"/>
    </row>
    <row r="494" ht="15.75" customHeight="true">
      <c r="A494" t="s" s="15"/>
      <c r="B494" t="s" s="8"/>
      <c r="C494" t="s" s="8"/>
      <c r="D494" t="s" s="8"/>
      <c r="E494" t="s" s="8"/>
      <c r="F494" t="s" s="8"/>
      <c r="G494" t="s" s="8"/>
      <c r="H494" t="s" s="8"/>
      <c r="I494" t="s" s="8"/>
      <c r="J494" t="s" s="8"/>
      <c r="K494" t="s" s="8"/>
      <c r="L494" t="s" s="8"/>
    </row>
    <row r="495" ht="15.75" customHeight="true">
      <c r="A495" t="s" s="15"/>
      <c r="B495" t="s" s="8"/>
      <c r="C495" t="s" s="8"/>
      <c r="D495" t="s" s="8"/>
      <c r="E495" t="s" s="8"/>
      <c r="F495" t="s" s="8"/>
      <c r="G495" t="s" s="8"/>
      <c r="H495" t="s" s="8"/>
      <c r="I495" t="s" s="8"/>
      <c r="J495" t="s" s="8"/>
      <c r="K495" t="s" s="8"/>
      <c r="L495" t="s" s="8"/>
    </row>
    <row r="496" ht="15.75" customHeight="true">
      <c r="A496" t="s" s="15"/>
      <c r="B496" t="s" s="8"/>
      <c r="C496" t="s" s="8"/>
      <c r="D496" t="s" s="8"/>
      <c r="E496" t="s" s="8"/>
      <c r="F496" t="s" s="8"/>
      <c r="G496" t="s" s="8"/>
      <c r="H496" t="s" s="8"/>
      <c r="I496" t="s" s="8"/>
      <c r="J496" t="s" s="8"/>
      <c r="K496" t="s" s="8"/>
      <c r="L496" t="s" s="8"/>
    </row>
    <row r="497" ht="15.75" customHeight="true">
      <c r="A497" t="s" s="15"/>
      <c r="B497" t="s" s="8"/>
      <c r="C497" t="s" s="8"/>
      <c r="D497" t="s" s="8"/>
      <c r="E497" t="s" s="8"/>
      <c r="F497" t="s" s="8"/>
      <c r="G497" t="s" s="8"/>
      <c r="H497" t="s" s="8"/>
      <c r="I497" t="s" s="8"/>
      <c r="J497" t="s" s="8"/>
      <c r="K497" t="s" s="8"/>
      <c r="L497" t="s" s="8"/>
    </row>
    <row r="498" ht="15.75" customHeight="true">
      <c r="A498" t="s" s="15"/>
      <c r="B498" t="s" s="8"/>
      <c r="C498" t="s" s="8"/>
      <c r="D498" t="s" s="8"/>
      <c r="E498" t="s" s="8"/>
      <c r="F498" t="s" s="8"/>
      <c r="G498" t="s" s="8"/>
      <c r="H498" t="s" s="8"/>
      <c r="I498" t="s" s="8"/>
      <c r="J498" t="s" s="8"/>
      <c r="K498" t="s" s="8"/>
      <c r="L498" t="s" s="8"/>
    </row>
    <row r="499" ht="15.75" customHeight="true">
      <c r="A499" t="s" s="15"/>
      <c r="B499" t="s" s="8"/>
      <c r="C499" t="s" s="8"/>
      <c r="D499" t="s" s="8"/>
      <c r="E499" t="s" s="8"/>
      <c r="F499" t="s" s="8"/>
      <c r="G499" t="s" s="8"/>
      <c r="H499" t="s" s="8"/>
      <c r="I499" t="s" s="8"/>
      <c r="J499" t="s" s="8"/>
      <c r="K499" t="s" s="8"/>
      <c r="L499" t="s" s="8"/>
    </row>
    <row r="500" ht="15.75" customHeight="true">
      <c r="A500" t="s" s="15"/>
      <c r="B500" t="s" s="8"/>
      <c r="C500" t="s" s="8"/>
      <c r="D500" t="s" s="8"/>
      <c r="E500" t="s" s="8"/>
      <c r="F500" t="s" s="8"/>
      <c r="G500" t="s" s="8"/>
      <c r="H500" t="s" s="8"/>
      <c r="I500" t="s" s="8"/>
      <c r="J500" t="s" s="8"/>
      <c r="K500" t="s" s="8"/>
      <c r="L500" t="s" s="8"/>
    </row>
    <row r="501" ht="15.75" customHeight="true">
      <c r="A501" t="s" s="15"/>
      <c r="B501" t="s" s="8"/>
      <c r="C501" t="s" s="8"/>
      <c r="D501" t="s" s="8"/>
      <c r="E501" t="s" s="8"/>
      <c r="F501" t="s" s="8"/>
      <c r="G501" t="s" s="8"/>
      <c r="H501" t="s" s="8"/>
      <c r="I501" t="s" s="8"/>
      <c r="J501" t="s" s="8"/>
      <c r="K501" t="s" s="8"/>
      <c r="L501" t="s" s="8"/>
    </row>
    <row r="502" ht="15.75" customHeight="true">
      <c r="A502" t="s" s="15"/>
      <c r="B502" t="s" s="8"/>
      <c r="C502" t="s" s="8"/>
      <c r="D502" t="s" s="8"/>
      <c r="E502" t="s" s="8"/>
      <c r="F502" t="s" s="8"/>
      <c r="G502" t="s" s="8"/>
      <c r="H502" t="s" s="8"/>
      <c r="I502" t="s" s="8"/>
      <c r="J502" t="s" s="8"/>
      <c r="K502" t="s" s="8"/>
      <c r="L502" t="s" s="8"/>
    </row>
    <row r="503" ht="15.75" customHeight="true">
      <c r="A503" t="s" s="15"/>
      <c r="B503" t="s" s="8"/>
      <c r="C503" t="s" s="8"/>
      <c r="D503" t="s" s="8"/>
      <c r="E503" t="s" s="8"/>
      <c r="F503" t="s" s="8"/>
      <c r="G503" t="s" s="8"/>
      <c r="H503" t="s" s="8"/>
      <c r="I503" t="s" s="8"/>
      <c r="J503" t="s" s="8"/>
      <c r="K503" t="s" s="8"/>
      <c r="L503" t="s" s="8"/>
    </row>
    <row r="504" ht="15.75" customHeight="true">
      <c r="A504" t="s" s="15"/>
      <c r="B504" t="s" s="8"/>
      <c r="C504" t="s" s="8"/>
      <c r="D504" t="s" s="8"/>
      <c r="E504" t="s" s="8"/>
      <c r="F504" t="s" s="8"/>
      <c r="G504" t="s" s="8"/>
      <c r="H504" t="s" s="8"/>
      <c r="I504" t="s" s="8"/>
      <c r="J504" t="s" s="8"/>
      <c r="K504" t="s" s="8"/>
      <c r="L504" t="s" s="8"/>
    </row>
    <row r="505" ht="15.75" customHeight="true">
      <c r="A505" t="s" s="15"/>
      <c r="B505" t="s" s="8"/>
      <c r="C505" t="s" s="8"/>
      <c r="D505" t="s" s="8"/>
      <c r="E505" t="s" s="8"/>
      <c r="F505" t="s" s="8"/>
      <c r="G505" t="s" s="8"/>
      <c r="H505" t="s" s="8"/>
      <c r="I505" t="s" s="8"/>
      <c r="J505" t="s" s="8"/>
      <c r="K505" t="s" s="8"/>
      <c r="L505" t="s" s="8"/>
    </row>
    <row r="506" ht="15.75" customHeight="true">
      <c r="A506" t="s" s="15"/>
      <c r="B506" t="s" s="8"/>
      <c r="C506" t="s" s="8"/>
      <c r="D506" t="s" s="8"/>
      <c r="E506" t="s" s="8"/>
      <c r="F506" t="s" s="8"/>
      <c r="G506" t="s" s="8"/>
      <c r="H506" t="s" s="8"/>
      <c r="I506" t="s" s="8"/>
      <c r="J506" t="s" s="8"/>
      <c r="K506" t="s" s="8"/>
      <c r="L506" t="s" s="8"/>
    </row>
    <row r="507" ht="15.75" customHeight="true">
      <c r="A507" t="s" s="15"/>
      <c r="B507" t="s" s="8"/>
      <c r="C507" t="s" s="8"/>
      <c r="D507" t="s" s="8"/>
      <c r="E507" t="s" s="8"/>
      <c r="F507" t="s" s="8"/>
      <c r="G507" t="s" s="8"/>
      <c r="H507" t="s" s="8"/>
      <c r="I507" t="s" s="8"/>
      <c r="J507" t="s" s="8"/>
      <c r="K507" t="s" s="8"/>
      <c r="L507" t="s" s="8"/>
    </row>
    <row r="508" ht="15.75" customHeight="true">
      <c r="A508" t="s" s="15"/>
      <c r="B508" t="s" s="8"/>
      <c r="C508" t="s" s="8"/>
      <c r="D508" t="s" s="8"/>
      <c r="E508" t="s" s="8"/>
      <c r="F508" t="s" s="8"/>
      <c r="G508" t="s" s="8"/>
      <c r="H508" t="s" s="8"/>
      <c r="I508" t="s" s="8"/>
      <c r="J508" t="s" s="8"/>
      <c r="K508" t="s" s="8"/>
      <c r="L508" t="s" s="8"/>
    </row>
    <row r="509" ht="15.75" customHeight="true">
      <c r="A509" t="s" s="15"/>
      <c r="B509" t="s" s="8"/>
      <c r="C509" t="s" s="8"/>
      <c r="D509" t="s" s="8"/>
      <c r="E509" t="s" s="8"/>
      <c r="F509" t="s" s="8"/>
      <c r="G509" t="s" s="8"/>
      <c r="H509" t="s" s="8"/>
      <c r="I509" t="s" s="8"/>
      <c r="J509" t="s" s="8"/>
      <c r="K509" t="s" s="8"/>
      <c r="L509" t="s" s="8"/>
    </row>
    <row r="510" ht="15.75" customHeight="true">
      <c r="A510" t="s" s="15"/>
      <c r="B510" t="s" s="8"/>
      <c r="C510" t="s" s="8"/>
      <c r="D510" t="s" s="8"/>
      <c r="E510" t="s" s="8"/>
      <c r="F510" t="s" s="8"/>
      <c r="G510" t="s" s="8"/>
      <c r="H510" t="s" s="8"/>
      <c r="I510" t="s" s="8"/>
      <c r="J510" t="s" s="8"/>
      <c r="K510" t="s" s="8"/>
      <c r="L510" t="s" s="8"/>
    </row>
    <row r="511" ht="15.75" customHeight="true">
      <c r="A511" t="s" s="15"/>
      <c r="B511" t="s" s="8"/>
      <c r="C511" t="s" s="8"/>
      <c r="D511" t="s" s="8"/>
      <c r="E511" t="s" s="8"/>
      <c r="F511" t="s" s="8"/>
      <c r="G511" t="s" s="8"/>
      <c r="H511" t="s" s="8"/>
      <c r="I511" t="s" s="8"/>
      <c r="J511" t="s" s="8"/>
      <c r="K511" t="s" s="8"/>
      <c r="L511" t="s" s="8"/>
    </row>
    <row r="512" ht="15.75" customHeight="true">
      <c r="A512" t="s" s="15"/>
      <c r="B512" t="s" s="8"/>
      <c r="C512" t="s" s="8"/>
      <c r="D512" t="s" s="8"/>
      <c r="E512" t="s" s="8"/>
      <c r="F512" t="s" s="8"/>
      <c r="G512" t="s" s="8"/>
      <c r="H512" t="s" s="8"/>
      <c r="I512" t="s" s="8"/>
      <c r="J512" t="s" s="8"/>
      <c r="K512" t="s" s="8"/>
      <c r="L512" t="s" s="8"/>
    </row>
    <row r="513" ht="15.75" customHeight="true">
      <c r="A513" t="s" s="15"/>
      <c r="B513" t="s" s="8"/>
      <c r="C513" t="s" s="8"/>
      <c r="D513" t="s" s="8"/>
      <c r="E513" t="s" s="8"/>
      <c r="F513" t="s" s="8"/>
      <c r="G513" t="s" s="8"/>
      <c r="H513" t="s" s="8"/>
      <c r="I513" t="s" s="8"/>
      <c r="J513" t="s" s="8"/>
      <c r="K513" t="s" s="8"/>
      <c r="L513" t="s" s="8"/>
    </row>
    <row r="514" ht="15.75" customHeight="true">
      <c r="A514" t="s" s="15"/>
      <c r="B514" t="s" s="8"/>
      <c r="C514" t="s" s="8"/>
      <c r="D514" t="s" s="8"/>
      <c r="E514" t="s" s="8"/>
      <c r="F514" t="s" s="8"/>
      <c r="G514" t="s" s="8"/>
      <c r="H514" t="s" s="8"/>
      <c r="I514" t="s" s="8"/>
      <c r="J514" t="s" s="8"/>
      <c r="K514" t="s" s="8"/>
      <c r="L514" t="s" s="8"/>
    </row>
    <row r="515" ht="15.75" customHeight="true">
      <c r="A515" t="s" s="15"/>
      <c r="B515" t="s" s="8"/>
      <c r="C515" t="s" s="8"/>
      <c r="D515" t="s" s="8"/>
      <c r="E515" t="s" s="8"/>
      <c r="F515" t="s" s="8"/>
      <c r="G515" t="s" s="8"/>
      <c r="H515" t="s" s="8"/>
      <c r="I515" t="s" s="8"/>
      <c r="J515" t="s" s="8"/>
      <c r="K515" t="s" s="8"/>
      <c r="L515" t="s" s="8"/>
    </row>
    <row r="516" ht="15.75" customHeight="true">
      <c r="A516" t="s" s="15"/>
      <c r="B516" t="s" s="8"/>
      <c r="C516" t="s" s="8"/>
      <c r="D516" t="s" s="8"/>
      <c r="E516" t="s" s="8"/>
      <c r="F516" t="s" s="8"/>
      <c r="G516" t="s" s="8"/>
      <c r="H516" t="s" s="8"/>
      <c r="I516" t="s" s="8"/>
      <c r="J516" t="s" s="8"/>
      <c r="K516" t="s" s="8"/>
      <c r="L516" t="s" s="8"/>
    </row>
    <row r="517" ht="15.75" customHeight="true">
      <c r="A517" t="s" s="15"/>
      <c r="B517" t="s" s="8"/>
      <c r="C517" t="s" s="8"/>
      <c r="D517" t="s" s="8"/>
      <c r="E517" t="s" s="8"/>
      <c r="F517" t="s" s="8"/>
      <c r="G517" t="s" s="8"/>
      <c r="H517" t="s" s="8"/>
      <c r="I517" t="s" s="8"/>
      <c r="J517" t="s" s="8"/>
      <c r="K517" t="s" s="8"/>
      <c r="L517" t="s" s="8"/>
    </row>
    <row r="518" ht="15.75" customHeight="true">
      <c r="A518" t="s" s="15"/>
      <c r="B518" t="s" s="8"/>
      <c r="C518" t="s" s="8"/>
      <c r="D518" t="s" s="8"/>
      <c r="E518" t="s" s="8"/>
      <c r="F518" t="s" s="8"/>
      <c r="G518" t="s" s="8"/>
      <c r="H518" t="s" s="8"/>
      <c r="I518" t="s" s="8"/>
      <c r="J518" t="s" s="8"/>
      <c r="K518" t="s" s="8"/>
      <c r="L518" t="s" s="8"/>
    </row>
    <row r="519" ht="15.75" customHeight="true">
      <c r="A519" t="s" s="15"/>
      <c r="B519" t="s" s="8"/>
      <c r="C519" t="s" s="8"/>
      <c r="D519" t="s" s="8"/>
      <c r="E519" t="s" s="8"/>
      <c r="F519" t="s" s="8"/>
      <c r="G519" t="s" s="8"/>
      <c r="H519" t="s" s="8"/>
      <c r="I519" t="s" s="8"/>
      <c r="J519" t="s" s="8"/>
      <c r="K519" t="s" s="8"/>
      <c r="L519" t="s" s="8"/>
    </row>
    <row r="520" ht="15.75" customHeight="true">
      <c r="A520" t="s" s="15"/>
      <c r="B520" t="s" s="8"/>
      <c r="C520" t="s" s="8"/>
      <c r="D520" t="s" s="8"/>
      <c r="E520" t="s" s="8"/>
      <c r="F520" t="s" s="8"/>
      <c r="G520" t="s" s="8"/>
      <c r="H520" t="s" s="8"/>
      <c r="I520" t="s" s="8"/>
      <c r="J520" t="s" s="8"/>
      <c r="K520" t="s" s="8"/>
      <c r="L520" t="s" s="8"/>
    </row>
    <row r="521" ht="15.75" customHeight="true">
      <c r="A521" t="s" s="15"/>
      <c r="B521" t="s" s="8"/>
      <c r="C521" t="s" s="8"/>
      <c r="D521" t="s" s="8"/>
      <c r="E521" t="s" s="8"/>
      <c r="F521" t="s" s="8"/>
      <c r="G521" t="s" s="8"/>
      <c r="H521" t="s" s="8"/>
      <c r="I521" t="s" s="8"/>
      <c r="J521" t="s" s="8"/>
      <c r="K521" t="s" s="8"/>
      <c r="L521" t="s" s="8"/>
    </row>
    <row r="522" ht="15.75" customHeight="true">
      <c r="A522" t="s" s="15"/>
      <c r="B522" t="s" s="8"/>
      <c r="C522" t="s" s="8"/>
      <c r="D522" t="s" s="8"/>
      <c r="E522" t="s" s="8"/>
      <c r="F522" t="s" s="8"/>
      <c r="G522" t="s" s="8"/>
      <c r="H522" t="s" s="8"/>
      <c r="I522" t="s" s="8"/>
      <c r="J522" t="s" s="8"/>
      <c r="K522" t="s" s="8"/>
      <c r="L522" t="s" s="8"/>
    </row>
    <row r="523" ht="15.75" customHeight="true">
      <c r="A523" t="s" s="15"/>
      <c r="B523" t="s" s="8"/>
      <c r="C523" t="s" s="8"/>
      <c r="D523" t="s" s="8"/>
      <c r="E523" t="s" s="8"/>
      <c r="F523" t="s" s="8"/>
      <c r="G523" t="s" s="8"/>
      <c r="H523" t="s" s="8"/>
      <c r="I523" t="s" s="8"/>
      <c r="J523" t="s" s="8"/>
      <c r="K523" t="s" s="8"/>
      <c r="L523" t="s" s="8"/>
    </row>
    <row r="524" ht="15.75" customHeight="true">
      <c r="A524" t="s" s="15"/>
      <c r="B524" t="s" s="8"/>
      <c r="C524" t="s" s="8"/>
      <c r="D524" t="s" s="8"/>
      <c r="E524" t="s" s="8"/>
      <c r="F524" t="s" s="8"/>
      <c r="G524" t="s" s="8"/>
      <c r="H524" t="s" s="8"/>
      <c r="I524" t="s" s="8"/>
      <c r="J524" t="s" s="8"/>
      <c r="K524" t="s" s="8"/>
      <c r="L524" t="s" s="8"/>
    </row>
    <row r="525" ht="15.75" customHeight="true">
      <c r="A525" t="s" s="15"/>
      <c r="B525" t="s" s="8"/>
      <c r="C525" t="s" s="8"/>
      <c r="D525" t="s" s="8"/>
      <c r="E525" t="s" s="8"/>
      <c r="F525" t="s" s="8"/>
      <c r="G525" t="s" s="8"/>
      <c r="H525" t="s" s="8"/>
      <c r="I525" t="s" s="8"/>
      <c r="J525" t="s" s="8"/>
      <c r="K525" t="s" s="8"/>
      <c r="L525" t="s" s="8"/>
    </row>
    <row r="526" ht="15.75" customHeight="true">
      <c r="A526" t="s" s="15"/>
      <c r="B526" t="s" s="8"/>
      <c r="C526" t="s" s="8"/>
      <c r="D526" t="s" s="8"/>
      <c r="E526" t="s" s="8"/>
      <c r="F526" t="s" s="8"/>
      <c r="G526" t="s" s="8"/>
      <c r="H526" t="s" s="8"/>
      <c r="I526" t="s" s="8"/>
      <c r="J526" t="s" s="8"/>
      <c r="K526" t="s" s="8"/>
      <c r="L526" t="s" s="8"/>
    </row>
    <row r="527" ht="15.75" customHeight="true">
      <c r="A527" t="s" s="15"/>
      <c r="B527" t="s" s="8"/>
      <c r="C527" t="s" s="8"/>
      <c r="D527" t="s" s="8"/>
      <c r="E527" t="s" s="8"/>
      <c r="F527" t="s" s="8"/>
      <c r="G527" t="s" s="8"/>
      <c r="H527" t="s" s="8"/>
      <c r="I527" t="s" s="8"/>
      <c r="J527" t="s" s="8"/>
      <c r="K527" t="s" s="8"/>
      <c r="L527" t="s" s="8"/>
    </row>
    <row r="528" ht="15.75" customHeight="true">
      <c r="A528" t="s" s="15"/>
      <c r="B528" t="s" s="8"/>
      <c r="C528" t="s" s="8"/>
      <c r="D528" t="s" s="8"/>
      <c r="E528" t="s" s="8"/>
      <c r="F528" t="s" s="8"/>
      <c r="G528" t="s" s="8"/>
      <c r="H528" t="s" s="8"/>
      <c r="I528" t="s" s="8"/>
      <c r="J528" t="s" s="8"/>
      <c r="K528" t="s" s="8"/>
      <c r="L528" t="s" s="8"/>
    </row>
    <row r="529" ht="15.75" customHeight="true">
      <c r="A529" t="s" s="15"/>
      <c r="B529" t="s" s="8"/>
      <c r="C529" t="s" s="8"/>
      <c r="D529" t="s" s="8"/>
      <c r="E529" t="s" s="8"/>
      <c r="F529" t="s" s="8"/>
      <c r="G529" t="s" s="8"/>
      <c r="H529" t="s" s="8"/>
      <c r="I529" t="s" s="8"/>
      <c r="J529" t="s" s="8"/>
      <c r="K529" t="s" s="8"/>
      <c r="L529" t="s" s="8"/>
    </row>
    <row r="530" ht="15.75" customHeight="true">
      <c r="A530" t="s" s="15"/>
      <c r="B530" t="s" s="8"/>
      <c r="C530" t="s" s="8"/>
      <c r="D530" t="s" s="8"/>
      <c r="E530" t="s" s="8"/>
      <c r="F530" t="s" s="8"/>
      <c r="G530" t="s" s="8"/>
      <c r="H530" t="s" s="8"/>
      <c r="I530" t="s" s="8"/>
      <c r="J530" t="s" s="8"/>
      <c r="K530" t="s" s="8"/>
      <c r="L530" t="s" s="8"/>
    </row>
    <row r="531" ht="15.75" customHeight="true">
      <c r="A531" t="s" s="15"/>
      <c r="B531" t="s" s="8"/>
      <c r="C531" t="s" s="8"/>
      <c r="D531" t="s" s="8"/>
      <c r="E531" t="s" s="8"/>
      <c r="F531" t="s" s="8"/>
      <c r="G531" t="s" s="8"/>
      <c r="H531" t="s" s="8"/>
      <c r="I531" t="s" s="8"/>
      <c r="J531" t="s" s="8"/>
      <c r="K531" t="s" s="8"/>
      <c r="L531" t="s" s="8"/>
    </row>
    <row r="532" ht="15.75" customHeight="true">
      <c r="A532" t="s" s="15"/>
      <c r="B532" t="s" s="8"/>
      <c r="C532" t="s" s="8"/>
      <c r="D532" t="s" s="8"/>
      <c r="E532" t="s" s="8"/>
      <c r="F532" t="s" s="8"/>
      <c r="G532" t="s" s="8"/>
      <c r="H532" t="s" s="8"/>
      <c r="I532" t="s" s="8"/>
      <c r="J532" t="s" s="8"/>
      <c r="K532" t="s" s="8"/>
      <c r="L532" t="s" s="8"/>
    </row>
    <row r="533" ht="15.75" customHeight="true">
      <c r="A533" t="s" s="15"/>
      <c r="B533" t="s" s="8"/>
      <c r="C533" t="s" s="8"/>
      <c r="D533" t="s" s="8"/>
      <c r="E533" t="s" s="8"/>
      <c r="F533" t="s" s="8"/>
      <c r="G533" t="s" s="8"/>
      <c r="H533" t="s" s="8"/>
      <c r="I533" t="s" s="8"/>
      <c r="J533" t="s" s="8"/>
      <c r="K533" t="s" s="8"/>
      <c r="L533" t="s" s="8"/>
    </row>
    <row r="534" ht="15.75" customHeight="true">
      <c r="A534" t="s" s="15"/>
      <c r="B534" t="s" s="8"/>
      <c r="C534" t="s" s="8"/>
      <c r="D534" t="s" s="8"/>
      <c r="E534" t="s" s="8"/>
      <c r="F534" t="s" s="8"/>
      <c r="G534" t="s" s="8"/>
      <c r="H534" t="s" s="8"/>
      <c r="I534" t="s" s="8"/>
      <c r="J534" t="s" s="8"/>
      <c r="K534" t="s" s="8"/>
      <c r="L534" t="s" s="8"/>
    </row>
    <row r="535" ht="15.75" customHeight="true">
      <c r="A535" t="s" s="15"/>
      <c r="B535" t="s" s="8"/>
      <c r="C535" t="s" s="8"/>
      <c r="D535" t="s" s="8"/>
      <c r="E535" t="s" s="8"/>
      <c r="F535" t="s" s="8"/>
      <c r="G535" t="s" s="8"/>
      <c r="H535" t="s" s="8"/>
      <c r="I535" t="s" s="8"/>
      <c r="J535" t="s" s="8"/>
      <c r="K535" t="s" s="8"/>
      <c r="L535" t="s" s="8"/>
    </row>
    <row r="536" ht="15.75" customHeight="true">
      <c r="A536" t="s" s="15"/>
      <c r="B536" t="s" s="8"/>
      <c r="C536" t="s" s="8"/>
      <c r="D536" t="s" s="8"/>
      <c r="E536" t="s" s="8"/>
      <c r="F536" t="s" s="8"/>
      <c r="G536" t="s" s="8"/>
      <c r="H536" t="s" s="8"/>
      <c r="I536" t="s" s="8"/>
      <c r="J536" t="s" s="8"/>
      <c r="K536" t="s" s="8"/>
      <c r="L536" t="s" s="8"/>
    </row>
    <row r="537" ht="15.75" customHeight="true">
      <c r="A537" t="s" s="15"/>
      <c r="B537" t="s" s="8"/>
      <c r="C537" t="s" s="8"/>
      <c r="D537" t="s" s="8"/>
      <c r="E537" t="s" s="8"/>
      <c r="F537" t="s" s="8"/>
      <c r="G537" t="s" s="8"/>
      <c r="H537" t="s" s="8"/>
      <c r="I537" t="s" s="8"/>
      <c r="J537" t="s" s="8"/>
      <c r="K537" t="s" s="8"/>
      <c r="L537" t="s" s="8"/>
    </row>
    <row r="538" ht="15.75" customHeight="true">
      <c r="A538" t="s" s="15"/>
      <c r="B538" t="s" s="8"/>
      <c r="C538" t="s" s="8"/>
      <c r="D538" t="s" s="8"/>
      <c r="E538" t="s" s="8"/>
      <c r="F538" t="s" s="8"/>
      <c r="G538" t="s" s="8"/>
      <c r="H538" t="s" s="8"/>
      <c r="I538" t="s" s="8"/>
      <c r="J538" t="s" s="8"/>
      <c r="K538" t="s" s="8"/>
      <c r="L538" t="s" s="8"/>
    </row>
    <row r="539" ht="15.75" customHeight="true">
      <c r="A539" t="s" s="15"/>
      <c r="B539" t="s" s="8"/>
      <c r="C539" t="s" s="8"/>
      <c r="D539" t="s" s="8"/>
      <c r="E539" t="s" s="8"/>
      <c r="F539" t="s" s="8"/>
      <c r="G539" t="s" s="8"/>
      <c r="H539" t="s" s="8"/>
      <c r="I539" t="s" s="8"/>
      <c r="J539" t="s" s="8"/>
      <c r="K539" t="s" s="8"/>
      <c r="L539" t="s" s="8"/>
    </row>
    <row r="540" ht="15.75" customHeight="true">
      <c r="A540" t="s" s="15"/>
      <c r="B540" t="s" s="8"/>
      <c r="C540" t="s" s="8"/>
      <c r="D540" t="s" s="8"/>
      <c r="E540" t="s" s="8"/>
      <c r="F540" t="s" s="8"/>
      <c r="G540" t="s" s="8"/>
      <c r="H540" t="s" s="8"/>
      <c r="I540" t="s" s="8"/>
      <c r="J540" t="s" s="8"/>
      <c r="K540" t="s" s="8"/>
      <c r="L540" t="s" s="8"/>
    </row>
    <row r="541" ht="15.75" customHeight="true">
      <c r="A541" t="s" s="15"/>
      <c r="B541" t="s" s="8"/>
      <c r="C541" t="s" s="8"/>
      <c r="D541" t="s" s="8"/>
      <c r="E541" t="s" s="8"/>
      <c r="F541" t="s" s="8"/>
      <c r="G541" t="s" s="8"/>
      <c r="H541" t="s" s="8"/>
      <c r="I541" t="s" s="8"/>
      <c r="J541" t="s" s="8"/>
      <c r="K541" t="s" s="8"/>
      <c r="L541" t="s" s="8"/>
    </row>
    <row r="542" ht="15.75" customHeight="true">
      <c r="A542" t="s" s="15"/>
      <c r="B542" t="s" s="8"/>
      <c r="C542" t="s" s="8"/>
      <c r="D542" t="s" s="8"/>
      <c r="E542" t="s" s="8"/>
      <c r="F542" t="s" s="8"/>
      <c r="G542" t="s" s="8"/>
      <c r="H542" t="s" s="8"/>
      <c r="I542" t="s" s="8"/>
      <c r="J542" t="s" s="8"/>
      <c r="K542" t="s" s="8"/>
      <c r="L542" t="s" s="8"/>
    </row>
    <row r="543" ht="15.75" customHeight="true">
      <c r="A543" t="s" s="15"/>
      <c r="B543" t="s" s="8"/>
      <c r="C543" t="s" s="8"/>
      <c r="D543" t="s" s="8"/>
      <c r="E543" t="s" s="8"/>
      <c r="F543" t="s" s="8"/>
      <c r="G543" t="s" s="8"/>
      <c r="H543" t="s" s="8"/>
      <c r="I543" t="s" s="8"/>
      <c r="J543" t="s" s="8"/>
      <c r="K543" t="s" s="8"/>
      <c r="L543" t="s" s="8"/>
    </row>
    <row r="544" ht="15.75" customHeight="true">
      <c r="A544" t="s" s="15"/>
      <c r="B544" t="s" s="8"/>
      <c r="C544" t="s" s="8"/>
      <c r="D544" t="s" s="8"/>
      <c r="E544" t="s" s="8"/>
      <c r="F544" t="s" s="8"/>
      <c r="G544" t="s" s="8"/>
      <c r="H544" t="s" s="8"/>
      <c r="I544" t="s" s="8"/>
      <c r="J544" t="s" s="8"/>
      <c r="K544" t="s" s="8"/>
      <c r="L544" t="s" s="8"/>
    </row>
    <row r="545" ht="15.75" customHeight="true">
      <c r="A545" t="s" s="15"/>
      <c r="B545" t="s" s="8"/>
      <c r="C545" t="s" s="8"/>
      <c r="D545" t="s" s="8"/>
      <c r="E545" t="s" s="8"/>
      <c r="F545" t="s" s="8"/>
      <c r="G545" t="s" s="8"/>
      <c r="H545" t="s" s="8"/>
      <c r="I545" t="s" s="8"/>
      <c r="J545" t="s" s="8"/>
      <c r="K545" t="s" s="8"/>
      <c r="L545" t="s" s="8"/>
    </row>
    <row r="546" ht="15.75" customHeight="true">
      <c r="A546" t="s" s="15"/>
      <c r="B546" t="s" s="8"/>
      <c r="C546" t="s" s="8"/>
      <c r="D546" t="s" s="8"/>
      <c r="E546" t="s" s="8"/>
      <c r="F546" t="s" s="8"/>
      <c r="G546" t="s" s="8"/>
      <c r="H546" t="s" s="8"/>
      <c r="I546" t="s" s="8"/>
      <c r="J546" t="s" s="8"/>
      <c r="K546" t="s" s="8"/>
      <c r="L546" t="s" s="8"/>
    </row>
    <row r="547" ht="15.75" customHeight="true">
      <c r="A547" t="s" s="15"/>
      <c r="B547" t="s" s="8"/>
      <c r="C547" t="s" s="8"/>
      <c r="D547" t="s" s="8"/>
      <c r="E547" t="s" s="8"/>
      <c r="F547" t="s" s="8"/>
      <c r="G547" t="s" s="8"/>
      <c r="H547" t="s" s="8"/>
      <c r="I547" t="s" s="8"/>
      <c r="J547" t="s" s="8"/>
      <c r="K547" t="s" s="8"/>
      <c r="L547" t="s" s="8"/>
    </row>
    <row r="548" ht="15.75" customHeight="true">
      <c r="A548" t="s" s="15"/>
      <c r="B548" t="s" s="8"/>
      <c r="C548" t="s" s="8"/>
      <c r="D548" t="s" s="8"/>
      <c r="E548" t="s" s="8"/>
      <c r="F548" t="s" s="8"/>
      <c r="G548" t="s" s="8"/>
      <c r="H548" t="s" s="8"/>
      <c r="I548" t="s" s="8"/>
      <c r="J548" t="s" s="8"/>
      <c r="K548" t="s" s="8"/>
      <c r="L548" t="s" s="8"/>
    </row>
    <row r="549" ht="15.75" customHeight="true">
      <c r="A549" t="s" s="15"/>
      <c r="B549" t="s" s="8"/>
      <c r="C549" t="s" s="8"/>
      <c r="D549" t="s" s="8"/>
      <c r="E549" t="s" s="8"/>
      <c r="F549" t="s" s="8"/>
      <c r="G549" t="s" s="8"/>
      <c r="H549" t="s" s="8"/>
      <c r="I549" t="s" s="8"/>
      <c r="J549" t="s" s="8"/>
      <c r="K549" t="s" s="8"/>
      <c r="L549" t="s" s="8"/>
    </row>
    <row r="550" ht="15.75" customHeight="true">
      <c r="A550" t="s" s="15"/>
      <c r="B550" t="s" s="8"/>
      <c r="C550" t="s" s="8"/>
      <c r="D550" t="s" s="8"/>
      <c r="E550" t="s" s="8"/>
      <c r="F550" t="s" s="8"/>
      <c r="G550" t="s" s="8"/>
      <c r="H550" t="s" s="8"/>
      <c r="I550" t="s" s="8"/>
      <c r="J550" t="s" s="8"/>
      <c r="K550" t="s" s="8"/>
      <c r="L550" t="s" s="8"/>
    </row>
    <row r="551" ht="15.75" customHeight="true">
      <c r="A551" t="s" s="15"/>
      <c r="B551" t="s" s="8"/>
      <c r="C551" t="s" s="8"/>
      <c r="D551" t="s" s="8"/>
      <c r="E551" t="s" s="8"/>
      <c r="F551" t="s" s="8"/>
      <c r="G551" t="s" s="8"/>
      <c r="H551" t="s" s="8"/>
      <c r="I551" t="s" s="8"/>
      <c r="J551" t="s" s="8"/>
      <c r="K551" t="s" s="8"/>
      <c r="L551" t="s" s="8"/>
    </row>
    <row r="552" ht="15.75" customHeight="true">
      <c r="A552" t="s" s="15"/>
      <c r="B552" t="s" s="8"/>
      <c r="C552" t="s" s="8"/>
      <c r="D552" t="s" s="8"/>
      <c r="E552" t="s" s="8"/>
      <c r="F552" t="s" s="8"/>
      <c r="G552" t="s" s="8"/>
      <c r="H552" t="s" s="8"/>
      <c r="I552" t="s" s="8"/>
      <c r="J552" t="s" s="8"/>
      <c r="K552" t="s" s="8"/>
      <c r="L552" t="s" s="8"/>
    </row>
    <row r="553" ht="15.75" customHeight="true">
      <c r="A553" t="s" s="15"/>
      <c r="B553" t="s" s="8"/>
      <c r="C553" t="s" s="8"/>
      <c r="D553" t="s" s="8"/>
      <c r="E553" t="s" s="8"/>
      <c r="F553" t="s" s="8"/>
      <c r="G553" t="s" s="8"/>
      <c r="H553" t="s" s="8"/>
      <c r="I553" t="s" s="8"/>
      <c r="J553" t="s" s="8"/>
      <c r="K553" t="s" s="8"/>
      <c r="L553" t="s" s="8"/>
    </row>
    <row r="554" ht="15.75" customHeight="true">
      <c r="A554" t="s" s="15"/>
      <c r="B554" t="s" s="8"/>
      <c r="C554" t="s" s="8"/>
      <c r="D554" t="s" s="8"/>
      <c r="E554" t="s" s="8"/>
      <c r="F554" t="s" s="8"/>
      <c r="G554" t="s" s="8"/>
      <c r="H554" t="s" s="8"/>
      <c r="I554" t="s" s="8"/>
      <c r="J554" t="s" s="8"/>
      <c r="K554" t="s" s="8"/>
      <c r="L554" t="s" s="8"/>
    </row>
    <row r="555" ht="15.75" customHeight="true">
      <c r="A555" t="s" s="15"/>
      <c r="B555" t="s" s="8"/>
      <c r="C555" t="s" s="8"/>
      <c r="D555" t="s" s="8"/>
      <c r="E555" t="s" s="8"/>
      <c r="F555" t="s" s="8"/>
      <c r="G555" t="s" s="8"/>
      <c r="H555" t="s" s="8"/>
      <c r="I555" t="s" s="8"/>
      <c r="J555" t="s" s="8"/>
      <c r="K555" t="s" s="8"/>
      <c r="L555" t="s" s="8"/>
    </row>
    <row r="556" ht="15.75" customHeight="true">
      <c r="A556" t="s" s="15"/>
      <c r="B556" t="s" s="8"/>
      <c r="C556" t="s" s="8"/>
      <c r="D556" t="s" s="8"/>
      <c r="E556" t="s" s="8"/>
      <c r="F556" t="s" s="8"/>
      <c r="G556" t="s" s="8"/>
      <c r="H556" t="s" s="8"/>
      <c r="I556" t="s" s="8"/>
      <c r="J556" t="s" s="8"/>
      <c r="K556" t="s" s="8"/>
      <c r="L556" t="s" s="8"/>
    </row>
    <row r="557" ht="15.75" customHeight="true">
      <c r="A557" t="s" s="15"/>
      <c r="B557" t="s" s="8"/>
      <c r="C557" t="s" s="8"/>
      <c r="D557" t="s" s="8"/>
      <c r="E557" t="s" s="8"/>
      <c r="F557" t="s" s="8"/>
      <c r="G557" t="s" s="8"/>
      <c r="H557" t="s" s="8"/>
      <c r="I557" t="s" s="8"/>
      <c r="J557" t="s" s="8"/>
      <c r="K557" t="s" s="8"/>
      <c r="L557" t="s" s="8"/>
    </row>
    <row r="558" ht="15.75" customHeight="true">
      <c r="A558" t="s" s="15"/>
      <c r="B558" t="s" s="8"/>
      <c r="C558" t="s" s="8"/>
      <c r="D558" t="s" s="8"/>
      <c r="E558" t="s" s="8"/>
      <c r="F558" t="s" s="8"/>
      <c r="G558" t="s" s="8"/>
      <c r="H558" t="s" s="8"/>
      <c r="I558" t="s" s="8"/>
      <c r="J558" t="s" s="8"/>
      <c r="K558" t="s" s="8"/>
      <c r="L558" t="s" s="8"/>
    </row>
    <row r="559" ht="15.75" customHeight="true">
      <c r="A559" t="s" s="15"/>
      <c r="B559" t="s" s="8"/>
      <c r="C559" t="s" s="8"/>
      <c r="D559" t="s" s="8"/>
      <c r="E559" t="s" s="8"/>
      <c r="F559" t="s" s="8"/>
      <c r="G559" t="s" s="8"/>
      <c r="H559" t="s" s="8"/>
      <c r="I559" t="s" s="8"/>
      <c r="J559" t="s" s="8"/>
      <c r="K559" t="s" s="8"/>
      <c r="L559" t="s" s="8"/>
    </row>
    <row r="560" ht="15.75" customHeight="true">
      <c r="A560" t="s" s="15"/>
      <c r="B560" t="s" s="8"/>
      <c r="C560" t="s" s="8"/>
      <c r="D560" t="s" s="8"/>
      <c r="E560" t="s" s="8"/>
      <c r="F560" t="s" s="8"/>
      <c r="G560" t="s" s="8"/>
      <c r="H560" t="s" s="8"/>
      <c r="I560" t="s" s="8"/>
      <c r="J560" t="s" s="8"/>
      <c r="K560" t="s" s="8"/>
      <c r="L560" t="s" s="8"/>
    </row>
    <row r="561" ht="15.75" customHeight="true">
      <c r="A561" t="s" s="15"/>
      <c r="B561" t="s" s="8"/>
      <c r="C561" t="s" s="8"/>
      <c r="D561" t="s" s="8"/>
      <c r="E561" t="s" s="8"/>
      <c r="F561" t="s" s="8"/>
      <c r="G561" t="s" s="8"/>
      <c r="H561" t="s" s="8"/>
      <c r="I561" t="s" s="8"/>
      <c r="J561" t="s" s="8"/>
      <c r="K561" t="s" s="8"/>
      <c r="L561" t="s" s="8"/>
    </row>
    <row r="562" ht="15.75" customHeight="true">
      <c r="A562" t="s" s="15"/>
      <c r="B562" t="s" s="8"/>
      <c r="C562" t="s" s="8"/>
      <c r="D562" t="s" s="8"/>
      <c r="E562" t="s" s="8"/>
      <c r="F562" t="s" s="8"/>
      <c r="G562" t="s" s="8"/>
      <c r="H562" t="s" s="8"/>
      <c r="I562" t="s" s="8"/>
      <c r="J562" t="s" s="8"/>
      <c r="K562" t="s" s="8"/>
      <c r="L562" t="s" s="8"/>
    </row>
    <row r="563" ht="15.75" customHeight="true">
      <c r="A563" t="s" s="15"/>
      <c r="B563" t="s" s="8"/>
      <c r="C563" t="s" s="8"/>
      <c r="D563" t="s" s="8"/>
      <c r="E563" t="s" s="8"/>
      <c r="F563" t="s" s="8"/>
      <c r="G563" t="s" s="8"/>
      <c r="H563" t="s" s="8"/>
      <c r="I563" t="s" s="8"/>
      <c r="J563" t="s" s="8"/>
      <c r="K563" t="s" s="8"/>
      <c r="L563" t="s" s="8"/>
    </row>
    <row r="564" ht="15.75" customHeight="true">
      <c r="A564" t="s" s="15"/>
      <c r="B564" t="s" s="8"/>
      <c r="C564" t="s" s="8"/>
      <c r="D564" t="s" s="8"/>
      <c r="E564" t="s" s="8"/>
      <c r="F564" t="s" s="8"/>
      <c r="G564" t="s" s="8"/>
      <c r="H564" t="s" s="8"/>
      <c r="I564" t="s" s="8"/>
      <c r="J564" t="s" s="8"/>
      <c r="K564" t="s" s="8"/>
      <c r="L564" t="s" s="8"/>
    </row>
    <row r="565" ht="15.75" customHeight="true">
      <c r="A565" t="s" s="15"/>
      <c r="B565" t="s" s="8"/>
      <c r="C565" t="s" s="8"/>
      <c r="D565" t="s" s="8"/>
      <c r="E565" t="s" s="8"/>
      <c r="F565" t="s" s="8"/>
      <c r="G565" t="s" s="8"/>
      <c r="H565" t="s" s="8"/>
      <c r="I565" t="s" s="8"/>
      <c r="J565" t="s" s="8"/>
      <c r="K565" t="s" s="8"/>
      <c r="L565" t="s" s="8"/>
    </row>
    <row r="566" ht="15.75" customHeight="true">
      <c r="A566" t="s" s="15"/>
      <c r="B566" t="s" s="8"/>
      <c r="C566" t="s" s="8"/>
      <c r="D566" t="s" s="8"/>
      <c r="E566" t="s" s="8"/>
      <c r="F566" t="s" s="8"/>
      <c r="G566" t="s" s="8"/>
      <c r="H566" t="s" s="8"/>
      <c r="I566" t="s" s="8"/>
      <c r="J566" t="s" s="8"/>
      <c r="K566" t="s" s="8"/>
      <c r="L566" t="s" s="8"/>
    </row>
    <row r="567" ht="15.75" customHeight="true">
      <c r="A567" t="s" s="15"/>
      <c r="B567" t="s" s="8"/>
      <c r="C567" t="s" s="8"/>
      <c r="D567" t="s" s="8"/>
      <c r="E567" t="s" s="8"/>
      <c r="F567" t="s" s="8"/>
      <c r="G567" t="s" s="8"/>
      <c r="H567" t="s" s="8"/>
      <c r="I567" t="s" s="8"/>
      <c r="J567" t="s" s="8"/>
      <c r="K567" t="s" s="8"/>
      <c r="L567" t="s" s="8"/>
    </row>
    <row r="568" ht="15.75" customHeight="true">
      <c r="A568" t="s" s="15"/>
      <c r="B568" t="s" s="8"/>
      <c r="C568" t="s" s="8"/>
      <c r="D568" t="s" s="8"/>
      <c r="E568" t="s" s="8"/>
      <c r="F568" t="s" s="8"/>
      <c r="G568" t="s" s="8"/>
      <c r="H568" t="s" s="8"/>
      <c r="I568" t="s" s="8"/>
      <c r="J568" t="s" s="8"/>
      <c r="K568" t="s" s="8"/>
      <c r="L568" t="s" s="8"/>
    </row>
    <row r="569" ht="15.75" customHeight="true">
      <c r="A569" t="s" s="15"/>
      <c r="B569" t="s" s="8"/>
      <c r="C569" t="s" s="8"/>
      <c r="D569" t="s" s="8"/>
      <c r="E569" t="s" s="8"/>
      <c r="F569" t="s" s="8"/>
      <c r="G569" t="s" s="8"/>
      <c r="H569" t="s" s="8"/>
      <c r="I569" t="s" s="8"/>
      <c r="J569" t="s" s="8"/>
      <c r="K569" t="s" s="8"/>
      <c r="L569" t="s" s="8"/>
    </row>
    <row r="570" ht="15.75" customHeight="true">
      <c r="A570" t="s" s="15"/>
      <c r="B570" t="s" s="8"/>
      <c r="C570" t="s" s="8"/>
      <c r="D570" t="s" s="8"/>
      <c r="E570" t="s" s="8"/>
      <c r="F570" t="s" s="8"/>
      <c r="G570" t="s" s="8"/>
      <c r="H570" t="s" s="8"/>
      <c r="I570" t="s" s="8"/>
      <c r="J570" t="s" s="8"/>
      <c r="K570" t="s" s="8"/>
      <c r="L570" t="s" s="8"/>
    </row>
    <row r="571" ht="15.75" customHeight="true">
      <c r="A571" t="s" s="15"/>
      <c r="B571" t="s" s="8"/>
      <c r="C571" t="s" s="8"/>
      <c r="D571" t="s" s="8"/>
      <c r="E571" t="s" s="8"/>
      <c r="F571" t="s" s="8"/>
      <c r="G571" t="s" s="8"/>
      <c r="H571" t="s" s="8"/>
      <c r="I571" t="s" s="8"/>
      <c r="J571" t="s" s="8"/>
      <c r="K571" t="s" s="8"/>
      <c r="L571" t="s" s="8"/>
    </row>
    <row r="572" ht="15.75" customHeight="true">
      <c r="A572" t="s" s="15"/>
      <c r="B572" t="s" s="8"/>
      <c r="C572" t="s" s="8"/>
      <c r="D572" t="s" s="8"/>
      <c r="E572" t="s" s="8"/>
      <c r="F572" t="s" s="8"/>
      <c r="G572" t="s" s="8"/>
      <c r="H572" t="s" s="8"/>
      <c r="I572" t="s" s="8"/>
      <c r="J572" t="s" s="8"/>
      <c r="K572" t="s" s="8"/>
      <c r="L572" t="s" s="8"/>
    </row>
    <row r="573" ht="15.75" customHeight="true">
      <c r="A573" t="s" s="15"/>
      <c r="B573" t="s" s="8"/>
      <c r="C573" t="s" s="8"/>
      <c r="D573" t="s" s="8"/>
      <c r="E573" t="s" s="8"/>
      <c r="F573" t="s" s="8"/>
      <c r="G573" t="s" s="8"/>
      <c r="H573" t="s" s="8"/>
      <c r="I573" t="s" s="8"/>
      <c r="J573" t="s" s="8"/>
      <c r="K573" t="s" s="8"/>
      <c r="L573" t="s" s="8"/>
    </row>
    <row r="574" ht="15.75" customHeight="true">
      <c r="A574" t="s" s="15"/>
      <c r="B574" t="s" s="8"/>
      <c r="C574" t="s" s="8"/>
      <c r="D574" t="s" s="8"/>
      <c r="E574" t="s" s="8"/>
      <c r="F574" t="s" s="8"/>
      <c r="G574" t="s" s="8"/>
      <c r="H574" t="s" s="8"/>
      <c r="I574" t="s" s="8"/>
      <c r="J574" t="s" s="8"/>
      <c r="K574" t="s" s="8"/>
      <c r="L574" t="s" s="8"/>
    </row>
    <row r="575" ht="15.75" customHeight="true">
      <c r="A575" t="s" s="15"/>
      <c r="B575" t="s" s="8"/>
      <c r="C575" t="s" s="8"/>
      <c r="D575" t="s" s="8"/>
      <c r="E575" t="s" s="8"/>
      <c r="F575" t="s" s="8"/>
      <c r="G575" t="s" s="8"/>
      <c r="H575" t="s" s="8"/>
      <c r="I575" t="s" s="8"/>
      <c r="J575" t="s" s="8"/>
      <c r="K575" t="s" s="8"/>
      <c r="L575" t="s" s="8"/>
    </row>
    <row r="576" ht="15.75" customHeight="true">
      <c r="A576" t="s" s="15"/>
      <c r="B576" t="s" s="8"/>
      <c r="C576" t="s" s="8"/>
      <c r="D576" t="s" s="8"/>
      <c r="E576" t="s" s="8"/>
      <c r="F576" t="s" s="8"/>
      <c r="G576" t="s" s="8"/>
      <c r="H576" t="s" s="8"/>
      <c r="I576" t="s" s="8"/>
      <c r="J576" t="s" s="8"/>
      <c r="K576" t="s" s="8"/>
      <c r="L576" t="s" s="8"/>
    </row>
    <row r="577" ht="15.75" customHeight="true">
      <c r="A577" t="s" s="15"/>
      <c r="B577" t="s" s="8"/>
      <c r="C577" t="s" s="8"/>
      <c r="D577" t="s" s="8"/>
      <c r="E577" t="s" s="8"/>
      <c r="F577" t="s" s="8"/>
      <c r="G577" t="s" s="8"/>
      <c r="H577" t="s" s="8"/>
      <c r="I577" t="s" s="8"/>
      <c r="J577" t="s" s="8"/>
      <c r="K577" t="s" s="8"/>
      <c r="L577" t="s" s="8"/>
    </row>
    <row r="578" ht="15.75" customHeight="true">
      <c r="A578" t="s" s="15"/>
      <c r="B578" t="s" s="8"/>
      <c r="C578" t="s" s="8"/>
      <c r="D578" t="s" s="8"/>
      <c r="E578" t="s" s="8"/>
      <c r="F578" t="s" s="8"/>
      <c r="G578" t="s" s="8"/>
      <c r="H578" t="s" s="8"/>
      <c r="I578" t="s" s="8"/>
      <c r="J578" t="s" s="8"/>
      <c r="K578" t="s" s="8"/>
      <c r="L578" t="s" s="8"/>
    </row>
    <row r="579" ht="15.75" customHeight="true">
      <c r="A579" t="s" s="15"/>
      <c r="B579" t="s" s="8"/>
      <c r="C579" t="s" s="8"/>
      <c r="D579" t="s" s="8"/>
      <c r="E579" t="s" s="8"/>
      <c r="F579" t="s" s="8"/>
      <c r="G579" t="s" s="8"/>
      <c r="H579" t="s" s="8"/>
      <c r="I579" t="s" s="8"/>
      <c r="J579" t="s" s="8"/>
      <c r="K579" t="s" s="8"/>
      <c r="L579" t="s" s="8"/>
    </row>
    <row r="580" ht="15.75" customHeight="true">
      <c r="A580" t="s" s="15"/>
      <c r="B580" t="s" s="8"/>
      <c r="C580" t="s" s="8"/>
      <c r="D580" t="s" s="8"/>
      <c r="E580" t="s" s="8"/>
      <c r="F580" t="s" s="8"/>
      <c r="G580" t="s" s="8"/>
      <c r="H580" t="s" s="8"/>
      <c r="I580" t="s" s="8"/>
      <c r="J580" t="s" s="8"/>
      <c r="K580" t="s" s="8"/>
      <c r="L580" t="s" s="8"/>
    </row>
    <row r="581" ht="15.75" customHeight="true">
      <c r="A581" t="s" s="15"/>
      <c r="B581" t="s" s="8"/>
      <c r="C581" t="s" s="8"/>
      <c r="D581" t="s" s="8"/>
      <c r="E581" t="s" s="8"/>
      <c r="F581" t="s" s="8"/>
      <c r="G581" t="s" s="8"/>
      <c r="H581" t="s" s="8"/>
      <c r="I581" t="s" s="8"/>
      <c r="J581" t="s" s="8"/>
      <c r="K581" t="s" s="8"/>
      <c r="L581" t="s" s="8"/>
    </row>
    <row r="582" ht="15.75" customHeight="true">
      <c r="A582" t="s" s="15"/>
      <c r="B582" t="s" s="8"/>
      <c r="C582" t="s" s="8"/>
      <c r="D582" t="s" s="8"/>
      <c r="E582" t="s" s="8"/>
      <c r="F582" t="s" s="8"/>
      <c r="G582" t="s" s="8"/>
      <c r="H582" t="s" s="8"/>
      <c r="I582" t="s" s="8"/>
      <c r="J582" t="s" s="8"/>
      <c r="K582" t="s" s="8"/>
      <c r="L582" t="s" s="8"/>
    </row>
    <row r="583" ht="15.75" customHeight="true">
      <c r="A583" t="s" s="15"/>
      <c r="B583" t="s" s="8"/>
      <c r="C583" t="s" s="8"/>
      <c r="D583" t="s" s="8"/>
      <c r="E583" t="s" s="8"/>
      <c r="F583" t="s" s="8"/>
      <c r="G583" t="s" s="8"/>
      <c r="H583" t="s" s="8"/>
      <c r="I583" t="s" s="8"/>
      <c r="J583" t="s" s="8"/>
      <c r="K583" t="s" s="8"/>
      <c r="L583" t="s" s="8"/>
    </row>
    <row r="584" ht="15.75" customHeight="true">
      <c r="A584" t="s" s="15"/>
      <c r="B584" t="s" s="8"/>
      <c r="C584" t="s" s="8"/>
      <c r="D584" t="s" s="8"/>
      <c r="E584" t="s" s="8"/>
      <c r="F584" t="s" s="8"/>
      <c r="G584" t="s" s="8"/>
      <c r="H584" t="s" s="8"/>
      <c r="I584" t="s" s="8"/>
      <c r="J584" t="s" s="8"/>
      <c r="K584" t="s" s="8"/>
      <c r="L584" t="s" s="8"/>
    </row>
    <row r="585" ht="15.75" customHeight="true">
      <c r="A585" t="s" s="15"/>
      <c r="B585" t="s" s="8"/>
      <c r="C585" t="s" s="8"/>
      <c r="D585" t="s" s="8"/>
      <c r="E585" t="s" s="8"/>
      <c r="F585" t="s" s="8"/>
      <c r="G585" t="s" s="8"/>
      <c r="H585" t="s" s="8"/>
      <c r="I585" t="s" s="8"/>
      <c r="J585" t="s" s="8"/>
      <c r="K585" t="s" s="8"/>
      <c r="L585" t="s" s="8"/>
    </row>
    <row r="586" ht="15.75" customHeight="true">
      <c r="A586" t="s" s="15"/>
      <c r="B586" t="s" s="8"/>
      <c r="C586" t="s" s="8"/>
      <c r="D586" t="s" s="8"/>
      <c r="E586" t="s" s="8"/>
      <c r="F586" t="s" s="8"/>
      <c r="G586" t="s" s="8"/>
      <c r="H586" t="s" s="8"/>
      <c r="I586" t="s" s="8"/>
      <c r="J586" t="s" s="8"/>
      <c r="K586" t="s" s="8"/>
      <c r="L586" t="s" s="8"/>
    </row>
    <row r="587" ht="15.75" customHeight="true">
      <c r="A587" t="s" s="15"/>
      <c r="B587" t="s" s="8"/>
      <c r="C587" t="s" s="8"/>
      <c r="D587" t="s" s="8"/>
      <c r="E587" t="s" s="8"/>
      <c r="F587" t="s" s="8"/>
      <c r="G587" t="s" s="8"/>
      <c r="H587" t="s" s="8"/>
      <c r="I587" t="s" s="8"/>
      <c r="J587" t="s" s="8"/>
      <c r="K587" t="s" s="8"/>
      <c r="L587" t="s" s="8"/>
    </row>
    <row r="588" ht="15.75" customHeight="true">
      <c r="A588" t="s" s="15"/>
      <c r="B588" t="s" s="8"/>
      <c r="C588" t="s" s="8"/>
      <c r="D588" t="s" s="8"/>
      <c r="E588" t="s" s="8"/>
      <c r="F588" t="s" s="8"/>
      <c r="G588" t="s" s="8"/>
      <c r="H588" t="s" s="8"/>
      <c r="I588" t="s" s="8"/>
      <c r="J588" t="s" s="8"/>
      <c r="K588" t="s" s="8"/>
      <c r="L588" t="s" s="8"/>
    </row>
    <row r="589" ht="15.75" customHeight="true">
      <c r="A589" t="s" s="15"/>
      <c r="B589" t="s" s="8"/>
      <c r="C589" t="s" s="8"/>
      <c r="D589" t="s" s="8"/>
      <c r="E589" t="s" s="8"/>
      <c r="F589" t="s" s="8"/>
      <c r="G589" t="s" s="8"/>
      <c r="H589" t="s" s="8"/>
      <c r="I589" t="s" s="8"/>
      <c r="J589" t="s" s="8"/>
      <c r="K589" t="s" s="8"/>
      <c r="L589" t="s" s="8"/>
    </row>
    <row r="590" ht="15.75" customHeight="true">
      <c r="A590" t="s" s="15"/>
      <c r="B590" t="s" s="8"/>
      <c r="C590" t="s" s="8"/>
      <c r="D590" t="s" s="8"/>
      <c r="E590" t="s" s="8"/>
      <c r="F590" t="s" s="8"/>
      <c r="G590" t="s" s="8"/>
      <c r="H590" t="s" s="8"/>
      <c r="I590" t="s" s="8"/>
      <c r="J590" t="s" s="8"/>
      <c r="K590" t="s" s="8"/>
      <c r="L590" t="s" s="8"/>
    </row>
    <row r="591" ht="15.75" customHeight="true">
      <c r="A591" t="s" s="15"/>
      <c r="B591" t="s" s="8"/>
      <c r="C591" t="s" s="8"/>
      <c r="D591" t="s" s="8"/>
      <c r="E591" t="s" s="8"/>
      <c r="F591" t="s" s="8"/>
      <c r="G591" t="s" s="8"/>
      <c r="H591" t="s" s="8"/>
      <c r="I591" t="s" s="8"/>
      <c r="J591" t="s" s="8"/>
      <c r="K591" t="s" s="8"/>
      <c r="L591" t="s" s="8"/>
    </row>
    <row r="592" ht="15.75" customHeight="true">
      <c r="A592" t="s" s="15"/>
      <c r="B592" t="s" s="8"/>
      <c r="C592" t="s" s="8"/>
      <c r="D592" t="s" s="8"/>
      <c r="E592" t="s" s="8"/>
      <c r="F592" t="s" s="8"/>
      <c r="G592" t="s" s="8"/>
      <c r="H592" t="s" s="8"/>
      <c r="I592" t="s" s="8"/>
      <c r="J592" t="s" s="8"/>
      <c r="K592" t="s" s="8"/>
      <c r="L592" t="s" s="8"/>
    </row>
    <row r="593" ht="15.75" customHeight="true">
      <c r="A593" t="s" s="15"/>
      <c r="B593" t="s" s="8"/>
      <c r="C593" t="s" s="8"/>
      <c r="D593" t="s" s="8"/>
      <c r="E593" t="s" s="8"/>
      <c r="F593" t="s" s="8"/>
      <c r="G593" t="s" s="8"/>
      <c r="H593" t="s" s="8"/>
      <c r="I593" t="s" s="8"/>
      <c r="J593" t="s" s="8"/>
      <c r="K593" t="s" s="8"/>
      <c r="L593" t="s" s="8"/>
    </row>
    <row r="594" ht="15.75" customHeight="true">
      <c r="A594" t="s" s="15"/>
      <c r="B594" t="s" s="8"/>
      <c r="C594" t="s" s="8"/>
      <c r="D594" t="s" s="8"/>
      <c r="E594" t="s" s="8"/>
      <c r="F594" t="s" s="8"/>
      <c r="G594" t="s" s="8"/>
      <c r="H594" t="s" s="8"/>
      <c r="I594" t="s" s="8"/>
      <c r="J594" t="s" s="8"/>
      <c r="K594" t="s" s="8"/>
      <c r="L594" t="s" s="8"/>
    </row>
    <row r="595" ht="15.75" customHeight="true">
      <c r="A595" t="s" s="15"/>
      <c r="B595" t="s" s="8"/>
      <c r="C595" t="s" s="8"/>
      <c r="D595" t="s" s="8"/>
      <c r="E595" t="s" s="8"/>
      <c r="F595" t="s" s="8"/>
      <c r="G595" t="s" s="8"/>
      <c r="H595" t="s" s="8"/>
      <c r="I595" t="s" s="8"/>
      <c r="J595" t="s" s="8"/>
      <c r="K595" t="s" s="8"/>
      <c r="L595" t="s" s="8"/>
    </row>
    <row r="596" ht="15.75" customHeight="true">
      <c r="A596" t="s" s="15"/>
      <c r="B596" t="s" s="8"/>
      <c r="C596" t="s" s="8"/>
      <c r="D596" t="s" s="8"/>
      <c r="E596" t="s" s="8"/>
      <c r="F596" t="s" s="8"/>
      <c r="G596" t="s" s="8"/>
      <c r="H596" t="s" s="8"/>
      <c r="I596" t="s" s="8"/>
      <c r="J596" t="s" s="8"/>
      <c r="K596" t="s" s="8"/>
      <c r="L596" t="s" s="8"/>
    </row>
    <row r="597" ht="15.75" customHeight="true">
      <c r="A597" t="s" s="15"/>
      <c r="B597" t="s" s="8"/>
      <c r="C597" t="s" s="8"/>
      <c r="D597" t="s" s="8"/>
      <c r="E597" t="s" s="8"/>
      <c r="F597" t="s" s="8"/>
      <c r="G597" t="s" s="8"/>
      <c r="H597" t="s" s="8"/>
      <c r="I597" t="s" s="8"/>
      <c r="J597" t="s" s="8"/>
      <c r="K597" t="s" s="8"/>
      <c r="L597" t="s" s="8"/>
    </row>
    <row r="598" ht="15.75" customHeight="true">
      <c r="A598" t="s" s="15"/>
      <c r="B598" t="s" s="8"/>
      <c r="C598" t="s" s="8"/>
      <c r="D598" t="s" s="8"/>
      <c r="E598" t="s" s="8"/>
      <c r="F598" t="s" s="8"/>
      <c r="G598" t="s" s="8"/>
      <c r="H598" t="s" s="8"/>
      <c r="I598" t="s" s="8"/>
      <c r="J598" t="s" s="8"/>
      <c r="K598" t="s" s="8"/>
      <c r="L598" t="s" s="8"/>
    </row>
    <row r="599" ht="15.75" customHeight="true">
      <c r="A599" t="s" s="15"/>
      <c r="B599" t="s" s="8"/>
      <c r="C599" t="s" s="8"/>
      <c r="D599" t="s" s="8"/>
      <c r="E599" t="s" s="8"/>
      <c r="F599" t="s" s="8"/>
      <c r="G599" t="s" s="8"/>
      <c r="H599" t="s" s="8"/>
      <c r="I599" t="s" s="8"/>
      <c r="J599" t="s" s="8"/>
      <c r="K599" t="s" s="8"/>
      <c r="L599" t="s" s="8"/>
    </row>
    <row r="600" ht="15.75" customHeight="true">
      <c r="A600" t="s" s="15"/>
      <c r="B600" t="s" s="8"/>
      <c r="C600" t="s" s="8"/>
      <c r="D600" t="s" s="8"/>
      <c r="E600" t="s" s="8"/>
      <c r="F600" t="s" s="8"/>
      <c r="G600" t="s" s="8"/>
      <c r="H600" t="s" s="8"/>
      <c r="I600" t="s" s="8"/>
      <c r="J600" t="s" s="8"/>
      <c r="K600" t="s" s="8"/>
      <c r="L600" t="s" s="8"/>
    </row>
    <row r="601" ht="15.75" customHeight="true">
      <c r="A601" t="s" s="15"/>
      <c r="B601" t="s" s="8"/>
      <c r="C601" t="s" s="8"/>
      <c r="D601" t="s" s="8"/>
      <c r="E601" t="s" s="8"/>
      <c r="F601" t="s" s="8"/>
      <c r="G601" t="s" s="8"/>
      <c r="H601" t="s" s="8"/>
      <c r="I601" t="s" s="8"/>
      <c r="J601" t="s" s="8"/>
      <c r="K601" t="s" s="8"/>
      <c r="L601" t="s" s="8"/>
    </row>
    <row r="602" ht="15.75" customHeight="true">
      <c r="A602" t="s" s="15"/>
      <c r="B602" t="s" s="8"/>
      <c r="C602" t="s" s="8"/>
      <c r="D602" t="s" s="8"/>
      <c r="E602" t="s" s="8"/>
      <c r="F602" t="s" s="8"/>
      <c r="G602" t="s" s="8"/>
      <c r="H602" t="s" s="8"/>
      <c r="I602" t="s" s="8"/>
      <c r="J602" t="s" s="8"/>
      <c r="K602" t="s" s="8"/>
      <c r="L602" t="s" s="8"/>
    </row>
    <row r="603" ht="15.75" customHeight="true">
      <c r="A603" t="s" s="15"/>
      <c r="B603" t="s" s="8"/>
      <c r="C603" t="s" s="8"/>
      <c r="D603" t="s" s="8"/>
      <c r="E603" t="s" s="8"/>
      <c r="F603" t="s" s="8"/>
      <c r="G603" t="s" s="8"/>
      <c r="H603" t="s" s="8"/>
      <c r="I603" t="s" s="8"/>
      <c r="J603" t="s" s="8"/>
      <c r="K603" t="s" s="8"/>
      <c r="L603" t="s" s="8"/>
    </row>
    <row r="604" ht="15.75" customHeight="true">
      <c r="A604" t="s" s="15"/>
      <c r="B604" t="s" s="8"/>
      <c r="C604" t="s" s="8"/>
      <c r="D604" t="s" s="8"/>
      <c r="E604" t="s" s="8"/>
      <c r="F604" t="s" s="8"/>
      <c r="G604" t="s" s="8"/>
      <c r="H604" t="s" s="8"/>
      <c r="I604" t="s" s="8"/>
      <c r="J604" t="s" s="8"/>
      <c r="K604" t="s" s="8"/>
      <c r="L604" t="s" s="8"/>
    </row>
    <row r="605" ht="15.75" customHeight="true">
      <c r="A605" t="s" s="15"/>
      <c r="B605" t="s" s="8"/>
      <c r="C605" t="s" s="8"/>
      <c r="D605" t="s" s="8"/>
      <c r="E605" t="s" s="8"/>
      <c r="F605" t="s" s="8"/>
      <c r="G605" t="s" s="8"/>
      <c r="H605" t="s" s="8"/>
      <c r="I605" t="s" s="8"/>
      <c r="J605" t="s" s="8"/>
      <c r="K605" t="s" s="8"/>
      <c r="L605" t="s" s="8"/>
    </row>
    <row r="606" ht="15.75" customHeight="true">
      <c r="A606" t="s" s="15"/>
      <c r="B606" t="s" s="8"/>
      <c r="C606" t="s" s="8"/>
      <c r="D606" t="s" s="8"/>
      <c r="E606" t="s" s="8"/>
      <c r="F606" t="s" s="8"/>
      <c r="G606" t="s" s="8"/>
      <c r="H606" t="s" s="8"/>
      <c r="I606" t="s" s="8"/>
      <c r="J606" t="s" s="8"/>
      <c r="K606" t="s" s="8"/>
      <c r="L606" t="s" s="8"/>
    </row>
    <row r="607" ht="15.75" customHeight="true">
      <c r="A607" t="s" s="15"/>
      <c r="B607" t="s" s="8"/>
      <c r="C607" t="s" s="8"/>
      <c r="D607" t="s" s="8"/>
      <c r="E607" t="s" s="8"/>
      <c r="F607" t="s" s="8"/>
      <c r="G607" t="s" s="8"/>
      <c r="H607" t="s" s="8"/>
      <c r="I607" t="s" s="8"/>
      <c r="J607" t="s" s="8"/>
      <c r="K607" t="s" s="8"/>
      <c r="L607" t="s" s="8"/>
    </row>
    <row r="608" ht="15.75" customHeight="true">
      <c r="A608" t="s" s="15"/>
      <c r="B608" t="s" s="8"/>
      <c r="C608" t="s" s="8"/>
      <c r="D608" t="s" s="8"/>
      <c r="E608" t="s" s="8"/>
      <c r="F608" t="s" s="8"/>
      <c r="G608" t="s" s="8"/>
      <c r="H608" t="s" s="8"/>
      <c r="I608" t="s" s="8"/>
      <c r="J608" t="s" s="8"/>
      <c r="K608" t="s" s="8"/>
      <c r="L608" t="s" s="8"/>
    </row>
    <row r="609" ht="15.75" customHeight="true">
      <c r="A609" t="s" s="15"/>
      <c r="B609" t="s" s="8"/>
      <c r="C609" t="s" s="8"/>
      <c r="D609" t="s" s="8"/>
      <c r="E609" t="s" s="8"/>
      <c r="F609" t="s" s="8"/>
      <c r="G609" t="s" s="8"/>
      <c r="H609" t="s" s="8"/>
      <c r="I609" t="s" s="8"/>
      <c r="J609" t="s" s="8"/>
      <c r="K609" t="s" s="8"/>
      <c r="L609" t="s" s="8"/>
    </row>
    <row r="610" ht="15.75" customHeight="true">
      <c r="A610" t="s" s="15"/>
      <c r="B610" t="s" s="8"/>
      <c r="C610" t="s" s="8"/>
      <c r="D610" t="s" s="8"/>
      <c r="E610" t="s" s="8"/>
      <c r="F610" t="s" s="8"/>
      <c r="G610" t="s" s="8"/>
      <c r="H610" t="s" s="8"/>
      <c r="I610" t="s" s="8"/>
      <c r="J610" t="s" s="8"/>
      <c r="K610" t="s" s="8"/>
      <c r="L610" t="s" s="8"/>
    </row>
    <row r="611" ht="15.75" customHeight="true">
      <c r="A611" t="s" s="15"/>
      <c r="B611" t="s" s="8"/>
      <c r="C611" t="s" s="8"/>
      <c r="D611" t="s" s="8"/>
      <c r="E611" t="s" s="8"/>
      <c r="F611" t="s" s="8"/>
      <c r="G611" t="s" s="8"/>
      <c r="H611" t="s" s="8"/>
      <c r="I611" t="s" s="8"/>
      <c r="J611" t="s" s="8"/>
      <c r="K611" t="s" s="8"/>
      <c r="L611" t="s" s="8"/>
    </row>
    <row r="612" ht="15.75" customHeight="true">
      <c r="A612" t="s" s="15"/>
      <c r="B612" t="s" s="8"/>
      <c r="C612" t="s" s="8"/>
      <c r="D612" t="s" s="8"/>
      <c r="E612" t="s" s="8"/>
      <c r="F612" t="s" s="8"/>
      <c r="G612" t="s" s="8"/>
      <c r="H612" t="s" s="8"/>
      <c r="I612" t="s" s="8"/>
      <c r="J612" t="s" s="8"/>
      <c r="K612" t="s" s="8"/>
      <c r="L612" t="s" s="8"/>
    </row>
    <row r="613" ht="15.75" customHeight="true">
      <c r="A613" t="s" s="15"/>
      <c r="B613" t="s" s="8"/>
      <c r="C613" t="s" s="8"/>
      <c r="D613" t="s" s="8"/>
      <c r="E613" t="s" s="8"/>
      <c r="F613" t="s" s="8"/>
      <c r="G613" t="s" s="8"/>
      <c r="H613" t="s" s="8"/>
      <c r="I613" t="s" s="8"/>
      <c r="J613" t="s" s="8"/>
      <c r="K613" t="s" s="8"/>
      <c r="L613" t="s" s="8"/>
    </row>
    <row r="614" ht="15.75" customHeight="true">
      <c r="A614" t="s" s="15"/>
      <c r="B614" t="s" s="8"/>
      <c r="C614" t="s" s="8"/>
      <c r="D614" t="s" s="8"/>
      <c r="E614" t="s" s="8"/>
      <c r="F614" t="s" s="8"/>
      <c r="G614" t="s" s="8"/>
      <c r="H614" t="s" s="8"/>
      <c r="I614" t="s" s="8"/>
      <c r="J614" t="s" s="8"/>
      <c r="K614" t="s" s="8"/>
      <c r="L614" t="s" s="8"/>
    </row>
    <row r="615" ht="15.75" customHeight="true">
      <c r="A615" t="s" s="15"/>
      <c r="B615" t="s" s="8"/>
      <c r="C615" t="s" s="8"/>
      <c r="D615" t="s" s="8"/>
      <c r="E615" t="s" s="8"/>
      <c r="F615" t="s" s="8"/>
      <c r="G615" t="s" s="8"/>
      <c r="H615" t="s" s="8"/>
      <c r="I615" t="s" s="8"/>
      <c r="J615" t="s" s="8"/>
      <c r="K615" t="s" s="8"/>
      <c r="L615" t="s" s="8"/>
    </row>
    <row r="616" ht="15.75" customHeight="true">
      <c r="A616" t="s" s="15"/>
      <c r="B616" t="s" s="8"/>
      <c r="C616" t="s" s="8"/>
      <c r="D616" t="s" s="8"/>
      <c r="E616" t="s" s="8"/>
      <c r="F616" t="s" s="8"/>
      <c r="G616" t="s" s="8"/>
      <c r="H616" t="s" s="8"/>
      <c r="I616" t="s" s="8"/>
      <c r="J616" t="s" s="8"/>
      <c r="K616" t="s" s="8"/>
      <c r="L616" t="s" s="8"/>
    </row>
    <row r="617" ht="15.75" customHeight="true">
      <c r="A617" t="s" s="15"/>
      <c r="B617" t="s" s="8"/>
      <c r="C617" t="s" s="8"/>
      <c r="D617" t="s" s="8"/>
      <c r="E617" t="s" s="8"/>
      <c r="F617" t="s" s="8"/>
      <c r="G617" t="s" s="8"/>
      <c r="H617" t="s" s="8"/>
      <c r="I617" t="s" s="8"/>
      <c r="J617" t="s" s="8"/>
      <c r="K617" t="s" s="8"/>
      <c r="L617" t="s" s="8"/>
    </row>
    <row r="618" ht="15.75" customHeight="true">
      <c r="A618" t="s" s="15"/>
      <c r="B618" t="s" s="8"/>
      <c r="C618" t="s" s="8"/>
      <c r="D618" t="s" s="8"/>
      <c r="E618" t="s" s="8"/>
      <c r="F618" t="s" s="8"/>
      <c r="G618" t="s" s="8"/>
      <c r="H618" t="s" s="8"/>
      <c r="I618" t="s" s="8"/>
      <c r="J618" t="s" s="8"/>
      <c r="K618" t="s" s="8"/>
      <c r="L618" t="s" s="8"/>
    </row>
    <row r="619" ht="15.75" customHeight="true">
      <c r="A619" t="s" s="15"/>
      <c r="B619" t="s" s="8"/>
      <c r="C619" t="s" s="8"/>
      <c r="D619" t="s" s="8"/>
      <c r="E619" t="s" s="8"/>
      <c r="F619" t="s" s="8"/>
      <c r="G619" t="s" s="8"/>
      <c r="H619" t="s" s="8"/>
      <c r="I619" t="s" s="8"/>
      <c r="J619" t="s" s="8"/>
      <c r="K619" t="s" s="8"/>
      <c r="L619" t="s" s="8"/>
    </row>
    <row r="620" ht="15.75" customHeight="true">
      <c r="A620" t="s" s="15"/>
      <c r="B620" t="s" s="8"/>
      <c r="C620" t="s" s="8"/>
      <c r="D620" t="s" s="8"/>
      <c r="E620" t="s" s="8"/>
      <c r="F620" t="s" s="8"/>
      <c r="G620" t="s" s="8"/>
      <c r="H620" t="s" s="8"/>
      <c r="I620" t="s" s="8"/>
      <c r="J620" t="s" s="8"/>
      <c r="K620" t="s" s="8"/>
      <c r="L620" t="s" s="8"/>
    </row>
    <row r="621" ht="15.75" customHeight="true">
      <c r="A621" t="s" s="15"/>
      <c r="B621" t="s" s="8"/>
      <c r="C621" t="s" s="8"/>
      <c r="D621" t="s" s="8"/>
      <c r="E621" t="s" s="8"/>
      <c r="F621" t="s" s="8"/>
      <c r="G621" t="s" s="8"/>
      <c r="H621" t="s" s="8"/>
      <c r="I621" t="s" s="8"/>
      <c r="J621" t="s" s="8"/>
      <c r="K621" t="s" s="8"/>
      <c r="L621" t="s" s="8"/>
    </row>
    <row r="622" ht="15.75" customHeight="true">
      <c r="A622" t="s" s="15"/>
      <c r="B622" t="s" s="8"/>
      <c r="C622" t="s" s="8"/>
      <c r="D622" t="s" s="8"/>
      <c r="E622" t="s" s="8"/>
      <c r="F622" t="s" s="8"/>
      <c r="G622" t="s" s="8"/>
      <c r="H622" t="s" s="8"/>
      <c r="I622" t="s" s="8"/>
      <c r="J622" t="s" s="8"/>
      <c r="K622" t="s" s="8"/>
      <c r="L622" t="s" s="8"/>
    </row>
    <row r="623" ht="15.75" customHeight="true">
      <c r="A623" t="s" s="15"/>
      <c r="B623" t="s" s="8"/>
      <c r="C623" t="s" s="8"/>
      <c r="D623" t="s" s="8"/>
      <c r="E623" t="s" s="8"/>
      <c r="F623" t="s" s="8"/>
      <c r="G623" t="s" s="8"/>
      <c r="H623" t="s" s="8"/>
      <c r="I623" t="s" s="8"/>
      <c r="J623" t="s" s="8"/>
      <c r="K623" t="s" s="8"/>
      <c r="L623" t="s" s="8"/>
    </row>
    <row r="624" ht="15.75" customHeight="true">
      <c r="A624" t="s" s="15"/>
      <c r="B624" t="s" s="8"/>
      <c r="C624" t="s" s="8"/>
      <c r="D624" t="s" s="8"/>
      <c r="E624" t="s" s="8"/>
      <c r="F624" t="s" s="8"/>
      <c r="G624" t="s" s="8"/>
      <c r="H624" t="s" s="8"/>
      <c r="I624" t="s" s="8"/>
      <c r="J624" t="s" s="8"/>
      <c r="K624" t="s" s="8"/>
      <c r="L624" t="s" s="8"/>
    </row>
    <row r="625" ht="15.75" customHeight="true">
      <c r="A625" t="s" s="15"/>
      <c r="B625" t="s" s="8"/>
      <c r="C625" t="s" s="8"/>
      <c r="D625" t="s" s="8"/>
      <c r="E625" t="s" s="8"/>
      <c r="F625" t="s" s="8"/>
      <c r="G625" t="s" s="8"/>
      <c r="H625" t="s" s="8"/>
      <c r="I625" t="s" s="8"/>
      <c r="J625" t="s" s="8"/>
      <c r="K625" t="s" s="8"/>
      <c r="L625" t="s" s="8"/>
    </row>
    <row r="626" ht="15.75" customHeight="true">
      <c r="A626" t="s" s="15"/>
      <c r="B626" t="s" s="8"/>
      <c r="C626" t="s" s="8"/>
      <c r="D626" t="s" s="8"/>
      <c r="E626" t="s" s="8"/>
      <c r="F626" t="s" s="8"/>
      <c r="G626" t="s" s="8"/>
      <c r="H626" t="s" s="8"/>
      <c r="I626" t="s" s="8"/>
      <c r="J626" t="s" s="8"/>
      <c r="K626" t="s" s="8"/>
      <c r="L626" t="s" s="8"/>
    </row>
    <row r="627" ht="15.75" customHeight="true">
      <c r="A627" t="s" s="15"/>
      <c r="B627" t="s" s="8"/>
      <c r="C627" t="s" s="8"/>
      <c r="D627" t="s" s="8"/>
      <c r="E627" t="s" s="8"/>
      <c r="F627" t="s" s="8"/>
      <c r="G627" t="s" s="8"/>
      <c r="H627" t="s" s="8"/>
      <c r="I627" t="s" s="8"/>
      <c r="J627" t="s" s="8"/>
      <c r="K627" t="s" s="8"/>
      <c r="L627" t="s" s="8"/>
    </row>
    <row r="628" ht="15.75" customHeight="true">
      <c r="A628" t="s" s="15"/>
      <c r="B628" t="s" s="8"/>
      <c r="C628" t="s" s="8"/>
      <c r="D628" t="s" s="8"/>
      <c r="E628" t="s" s="8"/>
      <c r="F628" t="s" s="8"/>
      <c r="G628" t="s" s="8"/>
      <c r="H628" t="s" s="8"/>
      <c r="I628" t="s" s="8"/>
      <c r="J628" t="s" s="8"/>
      <c r="K628" t="s" s="8"/>
      <c r="L628" t="s" s="8"/>
    </row>
    <row r="629" ht="15.75" customHeight="true">
      <c r="A629" t="s" s="15"/>
      <c r="B629" t="s" s="8"/>
      <c r="C629" t="s" s="8"/>
      <c r="D629" t="s" s="8"/>
      <c r="E629" t="s" s="8"/>
      <c r="F629" t="s" s="8"/>
      <c r="G629" t="s" s="8"/>
      <c r="H629" t="s" s="8"/>
      <c r="I629" t="s" s="8"/>
      <c r="J629" t="s" s="8"/>
      <c r="K629" t="s" s="8"/>
      <c r="L629" t="s" s="8"/>
    </row>
    <row r="630" ht="15.75" customHeight="true">
      <c r="A630" t="s" s="15"/>
      <c r="B630" t="s" s="8"/>
      <c r="C630" t="s" s="8"/>
      <c r="D630" t="s" s="8"/>
      <c r="E630" t="s" s="8"/>
      <c r="F630" t="s" s="8"/>
      <c r="G630" t="s" s="8"/>
      <c r="H630" t="s" s="8"/>
      <c r="I630" t="s" s="8"/>
      <c r="J630" t="s" s="8"/>
      <c r="K630" t="s" s="8"/>
      <c r="L630" t="s" s="8"/>
    </row>
    <row r="631" ht="15.75" customHeight="true">
      <c r="A631" t="s" s="15"/>
      <c r="B631" t="s" s="8"/>
      <c r="C631" t="s" s="8"/>
      <c r="D631" t="s" s="8"/>
      <c r="E631" t="s" s="8"/>
      <c r="F631" t="s" s="8"/>
      <c r="G631" t="s" s="8"/>
      <c r="H631" t="s" s="8"/>
      <c r="I631" t="s" s="8"/>
      <c r="J631" t="s" s="8"/>
      <c r="K631" t="s" s="8"/>
      <c r="L631" t="s" s="8"/>
    </row>
    <row r="632" ht="15.75" customHeight="true">
      <c r="A632" t="s" s="15"/>
      <c r="B632" t="s" s="8"/>
      <c r="C632" t="s" s="8"/>
      <c r="D632" t="s" s="8"/>
      <c r="E632" t="s" s="8"/>
      <c r="F632" t="s" s="8"/>
      <c r="G632" t="s" s="8"/>
      <c r="H632" t="s" s="8"/>
      <c r="I632" t="s" s="8"/>
      <c r="J632" t="s" s="8"/>
      <c r="K632" t="s" s="8"/>
      <c r="L632" t="s" s="8"/>
    </row>
    <row r="633" ht="15.75" customHeight="true">
      <c r="A633" t="s" s="15"/>
      <c r="B633" t="s" s="8"/>
      <c r="C633" t="s" s="8"/>
      <c r="D633" t="s" s="8"/>
      <c r="E633" t="s" s="8"/>
      <c r="F633" t="s" s="8"/>
      <c r="G633" t="s" s="8"/>
      <c r="H633" t="s" s="8"/>
      <c r="I633" t="s" s="8"/>
      <c r="J633" t="s" s="8"/>
      <c r="K633" t="s" s="8"/>
      <c r="L633" t="s" s="8"/>
    </row>
    <row r="634" ht="15.75" customHeight="true">
      <c r="A634" t="s" s="15"/>
      <c r="B634" t="s" s="8"/>
      <c r="C634" t="s" s="8"/>
      <c r="D634" t="s" s="8"/>
      <c r="E634" t="s" s="8"/>
      <c r="F634" t="s" s="8"/>
      <c r="G634" t="s" s="8"/>
      <c r="H634" t="s" s="8"/>
      <c r="I634" t="s" s="8"/>
      <c r="J634" t="s" s="8"/>
      <c r="K634" t="s" s="8"/>
      <c r="L634" t="s" s="8"/>
    </row>
    <row r="635" ht="15.75" customHeight="true">
      <c r="A635" t="s" s="15"/>
      <c r="B635" t="s" s="8"/>
      <c r="C635" t="s" s="8"/>
      <c r="D635" t="s" s="8"/>
      <c r="E635" t="s" s="8"/>
      <c r="F635" t="s" s="8"/>
      <c r="G635" t="s" s="8"/>
      <c r="H635" t="s" s="8"/>
      <c r="I635" t="s" s="8"/>
      <c r="J635" t="s" s="8"/>
      <c r="K635" t="s" s="8"/>
      <c r="L635" t="s" s="8"/>
    </row>
    <row r="636" ht="15.75" customHeight="true">
      <c r="A636" t="s" s="15"/>
      <c r="B636" t="s" s="8"/>
      <c r="C636" t="s" s="8"/>
      <c r="D636" t="s" s="8"/>
      <c r="E636" t="s" s="8"/>
      <c r="F636" t="s" s="8"/>
      <c r="G636" t="s" s="8"/>
      <c r="H636" t="s" s="8"/>
      <c r="I636" t="s" s="8"/>
      <c r="J636" t="s" s="8"/>
      <c r="K636" t="s" s="8"/>
      <c r="L636" t="s" s="8"/>
    </row>
    <row r="637" ht="15.75" customHeight="true">
      <c r="A637" t="s" s="15"/>
      <c r="B637" t="s" s="8"/>
      <c r="C637" t="s" s="8"/>
      <c r="D637" t="s" s="8"/>
      <c r="E637" t="s" s="8"/>
      <c r="F637" t="s" s="8"/>
      <c r="G637" t="s" s="8"/>
      <c r="H637" t="s" s="8"/>
      <c r="I637" t="s" s="8"/>
      <c r="J637" t="s" s="8"/>
      <c r="K637" t="s" s="8"/>
      <c r="L637" t="s" s="8"/>
    </row>
    <row r="638" ht="15.75" customHeight="true">
      <c r="A638" t="s" s="15"/>
      <c r="B638" t="s" s="8"/>
      <c r="C638" t="s" s="8"/>
      <c r="D638" t="s" s="8"/>
      <c r="E638" t="s" s="8"/>
      <c r="F638" t="s" s="8"/>
      <c r="G638" t="s" s="8"/>
      <c r="H638" t="s" s="8"/>
      <c r="I638" t="s" s="8"/>
      <c r="J638" t="s" s="8"/>
      <c r="K638" t="s" s="8"/>
      <c r="L638" t="s" s="8"/>
    </row>
    <row r="639" ht="15.75" customHeight="true">
      <c r="A639" t="s" s="15"/>
      <c r="B639" t="s" s="8"/>
      <c r="C639" t="s" s="8"/>
      <c r="D639" t="s" s="8"/>
      <c r="E639" t="s" s="8"/>
      <c r="F639" t="s" s="8"/>
      <c r="G639" t="s" s="8"/>
      <c r="H639" t="s" s="8"/>
      <c r="I639" t="s" s="8"/>
      <c r="J639" t="s" s="8"/>
      <c r="K639" t="s" s="8"/>
      <c r="L639" t="s" s="8"/>
    </row>
    <row r="640" ht="15.75" customHeight="true">
      <c r="A640" t="s" s="15"/>
      <c r="B640" t="s" s="8"/>
      <c r="C640" t="s" s="8"/>
      <c r="D640" t="s" s="8"/>
      <c r="E640" t="s" s="8"/>
      <c r="F640" t="s" s="8"/>
      <c r="G640" t="s" s="8"/>
      <c r="H640" t="s" s="8"/>
      <c r="I640" t="s" s="8"/>
      <c r="J640" t="s" s="8"/>
      <c r="K640" t="s" s="8"/>
      <c r="L640" t="s" s="8"/>
    </row>
    <row r="641" ht="15.75" customHeight="true">
      <c r="A641" t="s" s="15"/>
      <c r="B641" t="s" s="8"/>
      <c r="C641" t="s" s="8"/>
      <c r="D641" t="s" s="8"/>
      <c r="E641" t="s" s="8"/>
      <c r="F641" t="s" s="8"/>
      <c r="G641" t="s" s="8"/>
      <c r="H641" t="s" s="8"/>
      <c r="I641" t="s" s="8"/>
      <c r="J641" t="s" s="8"/>
      <c r="K641" t="s" s="8"/>
      <c r="L641" t="s" s="8"/>
    </row>
    <row r="642" ht="15.75" customHeight="true">
      <c r="A642" t="s" s="15"/>
      <c r="B642" t="s" s="8"/>
      <c r="C642" t="s" s="8"/>
      <c r="D642" t="s" s="8"/>
      <c r="E642" t="s" s="8"/>
      <c r="F642" t="s" s="8"/>
      <c r="G642" t="s" s="8"/>
      <c r="H642" t="s" s="8"/>
      <c r="I642" t="s" s="8"/>
      <c r="J642" t="s" s="8"/>
      <c r="K642" t="s" s="8"/>
      <c r="L642" t="s" s="8"/>
    </row>
    <row r="643" ht="15.75" customHeight="true">
      <c r="A643" t="s" s="15"/>
      <c r="B643" t="s" s="8"/>
      <c r="C643" t="s" s="8"/>
      <c r="D643" t="s" s="8"/>
      <c r="E643" t="s" s="8"/>
      <c r="F643" t="s" s="8"/>
      <c r="G643" t="s" s="8"/>
      <c r="H643" t="s" s="8"/>
      <c r="I643" t="s" s="8"/>
      <c r="J643" t="s" s="8"/>
      <c r="K643" t="s" s="8"/>
      <c r="L643" t="s" s="8"/>
    </row>
    <row r="644" ht="15.75" customHeight="true">
      <c r="A644" t="s" s="15"/>
      <c r="B644" t="s" s="8"/>
      <c r="C644" t="s" s="8"/>
      <c r="D644" t="s" s="8"/>
      <c r="E644" t="s" s="8"/>
      <c r="F644" t="s" s="8"/>
      <c r="G644" t="s" s="8"/>
      <c r="H644" t="s" s="8"/>
      <c r="I644" t="s" s="8"/>
      <c r="J644" t="s" s="8"/>
      <c r="K644" t="s" s="8"/>
      <c r="L644" t="s" s="8"/>
    </row>
    <row r="645" ht="15.75" customHeight="true">
      <c r="A645" t="s" s="15"/>
      <c r="B645" t="s" s="8"/>
      <c r="C645" t="s" s="8"/>
      <c r="D645" t="s" s="8"/>
      <c r="E645" t="s" s="8"/>
      <c r="F645" t="s" s="8"/>
      <c r="G645" t="s" s="8"/>
      <c r="H645" t="s" s="8"/>
      <c r="I645" t="s" s="8"/>
      <c r="J645" t="s" s="8"/>
      <c r="K645" t="s" s="8"/>
      <c r="L645" t="s" s="8"/>
    </row>
    <row r="646" ht="15.75" customHeight="true">
      <c r="A646" t="s" s="15"/>
      <c r="B646" t="s" s="8"/>
      <c r="C646" t="s" s="8"/>
      <c r="D646" t="s" s="8"/>
      <c r="E646" t="s" s="8"/>
      <c r="F646" t="s" s="8"/>
      <c r="G646" t="s" s="8"/>
      <c r="H646" t="s" s="8"/>
      <c r="I646" t="s" s="8"/>
      <c r="J646" t="s" s="8"/>
      <c r="K646" t="s" s="8"/>
      <c r="L646" t="s" s="8"/>
    </row>
    <row r="647" ht="15.75" customHeight="true">
      <c r="A647" t="s" s="15"/>
      <c r="B647" t="s" s="8"/>
      <c r="C647" t="s" s="8"/>
      <c r="D647" t="s" s="8"/>
      <c r="E647" t="s" s="8"/>
      <c r="F647" t="s" s="8"/>
      <c r="G647" t="s" s="8"/>
      <c r="H647" t="s" s="8"/>
      <c r="I647" t="s" s="8"/>
      <c r="J647" t="s" s="8"/>
      <c r="K647" t="s" s="8"/>
      <c r="L647" t="s" s="8"/>
    </row>
    <row r="648" ht="15.75" customHeight="true">
      <c r="A648" t="s" s="15"/>
      <c r="B648" t="s" s="8"/>
      <c r="C648" t="s" s="8"/>
      <c r="D648" t="s" s="8"/>
      <c r="E648" t="s" s="8"/>
      <c r="F648" t="s" s="8"/>
      <c r="G648" t="s" s="8"/>
      <c r="H648" t="s" s="8"/>
      <c r="I648" t="s" s="8"/>
      <c r="J648" t="s" s="8"/>
      <c r="K648" t="s" s="8"/>
      <c r="L648" t="s" s="8"/>
    </row>
    <row r="649" ht="15.75" customHeight="true">
      <c r="A649" t="s" s="15"/>
      <c r="B649" t="s" s="8"/>
      <c r="C649" t="s" s="8"/>
      <c r="D649" t="s" s="8"/>
      <c r="E649" t="s" s="8"/>
      <c r="F649" t="s" s="8"/>
      <c r="G649" t="s" s="8"/>
      <c r="H649" t="s" s="8"/>
      <c r="I649" t="s" s="8"/>
      <c r="J649" t="s" s="8"/>
      <c r="K649" t="s" s="8"/>
      <c r="L649" t="s" s="8"/>
    </row>
    <row r="650" ht="15.75" customHeight="true">
      <c r="A650" t="s" s="15"/>
      <c r="B650" t="s" s="8"/>
      <c r="C650" t="s" s="8"/>
      <c r="D650" t="s" s="8"/>
      <c r="E650" t="s" s="8"/>
      <c r="F650" t="s" s="8"/>
      <c r="G650" t="s" s="8"/>
      <c r="H650" t="s" s="8"/>
      <c r="I650" t="s" s="8"/>
      <c r="J650" t="s" s="8"/>
      <c r="K650" t="s" s="8"/>
      <c r="L650" t="s" s="8"/>
    </row>
    <row r="651" ht="15.75" customHeight="true">
      <c r="A651" t="s" s="15"/>
      <c r="B651" t="s" s="8"/>
      <c r="C651" t="s" s="8"/>
      <c r="D651" t="s" s="8"/>
      <c r="E651" t="s" s="8"/>
      <c r="F651" t="s" s="8"/>
      <c r="G651" t="s" s="8"/>
      <c r="H651" t="s" s="8"/>
      <c r="I651" t="s" s="8"/>
      <c r="J651" t="s" s="8"/>
      <c r="K651" t="s" s="8"/>
      <c r="L651" t="s" s="8"/>
    </row>
    <row r="652" ht="15.75" customHeight="true">
      <c r="A652" t="s" s="15"/>
      <c r="B652" t="s" s="8"/>
      <c r="C652" t="s" s="8"/>
      <c r="D652" t="s" s="8"/>
      <c r="E652" t="s" s="8"/>
      <c r="F652" t="s" s="8"/>
      <c r="G652" t="s" s="8"/>
      <c r="H652" t="s" s="8"/>
      <c r="I652" t="s" s="8"/>
      <c r="J652" t="s" s="8"/>
      <c r="K652" t="s" s="8"/>
      <c r="L652" t="s" s="8"/>
    </row>
    <row r="653" ht="15.75" customHeight="true">
      <c r="A653" t="s" s="15"/>
      <c r="B653" t="s" s="8"/>
      <c r="C653" t="s" s="8"/>
      <c r="D653" t="s" s="8"/>
      <c r="E653" t="s" s="8"/>
      <c r="F653" t="s" s="8"/>
      <c r="G653" t="s" s="8"/>
      <c r="H653" t="s" s="8"/>
      <c r="I653" t="s" s="8"/>
      <c r="J653" t="s" s="8"/>
      <c r="K653" t="s" s="8"/>
      <c r="L653" t="s" s="8"/>
    </row>
    <row r="654" ht="15.75" customHeight="true">
      <c r="A654" t="s" s="15"/>
      <c r="B654" t="s" s="8"/>
      <c r="C654" t="s" s="8"/>
      <c r="D654" t="s" s="8"/>
      <c r="E654" t="s" s="8"/>
      <c r="F654" t="s" s="8"/>
      <c r="G654" t="s" s="8"/>
      <c r="H654" t="s" s="8"/>
      <c r="I654" t="s" s="8"/>
      <c r="J654" t="s" s="8"/>
      <c r="K654" t="s" s="8"/>
      <c r="L654" t="s" s="8"/>
    </row>
    <row r="655" ht="15.75" customHeight="true">
      <c r="A655" t="s" s="15"/>
      <c r="B655" t="s" s="8"/>
      <c r="C655" t="s" s="8"/>
      <c r="D655" t="s" s="8"/>
      <c r="E655" t="s" s="8"/>
      <c r="F655" t="s" s="8"/>
      <c r="G655" t="s" s="8"/>
      <c r="H655" t="s" s="8"/>
      <c r="I655" t="s" s="8"/>
      <c r="J655" t="s" s="8"/>
      <c r="K655" t="s" s="8"/>
      <c r="L655" t="s" s="8"/>
    </row>
    <row r="656" ht="15.75" customHeight="true">
      <c r="A656" t="s" s="15"/>
      <c r="B656" t="s" s="8"/>
      <c r="C656" t="s" s="8"/>
      <c r="D656" t="s" s="8"/>
      <c r="E656" t="s" s="8"/>
      <c r="F656" t="s" s="8"/>
      <c r="G656" t="s" s="8"/>
      <c r="H656" t="s" s="8"/>
      <c r="I656" t="s" s="8"/>
      <c r="J656" t="s" s="8"/>
      <c r="K656" t="s" s="8"/>
      <c r="L656" t="s" s="8"/>
    </row>
    <row r="657" ht="15.75" customHeight="true">
      <c r="A657" t="s" s="15"/>
      <c r="B657" t="s" s="8"/>
      <c r="C657" t="s" s="8"/>
      <c r="D657" t="s" s="8"/>
      <c r="E657" t="s" s="8"/>
      <c r="F657" t="s" s="8"/>
      <c r="G657" t="s" s="8"/>
      <c r="H657" t="s" s="8"/>
      <c r="I657" t="s" s="8"/>
      <c r="J657" t="s" s="8"/>
      <c r="K657" t="s" s="8"/>
      <c r="L657" t="s" s="8"/>
    </row>
    <row r="658" ht="15.75" customHeight="true">
      <c r="A658" t="s" s="15"/>
      <c r="B658" t="s" s="8"/>
      <c r="C658" t="s" s="8"/>
      <c r="D658" t="s" s="8"/>
      <c r="E658" t="s" s="8"/>
      <c r="F658" t="s" s="8"/>
      <c r="G658" t="s" s="8"/>
      <c r="H658" t="s" s="8"/>
      <c r="I658" t="s" s="8"/>
      <c r="J658" t="s" s="8"/>
      <c r="K658" t="s" s="8"/>
      <c r="L658" t="s" s="8"/>
    </row>
    <row r="659" ht="15.75" customHeight="true">
      <c r="A659" t="s" s="15"/>
      <c r="B659" t="s" s="8"/>
      <c r="C659" t="s" s="8"/>
      <c r="D659" t="s" s="8"/>
      <c r="E659" t="s" s="8"/>
      <c r="F659" t="s" s="8"/>
      <c r="G659" t="s" s="8"/>
      <c r="H659" t="s" s="8"/>
      <c r="I659" t="s" s="8"/>
      <c r="J659" t="s" s="8"/>
      <c r="K659" t="s" s="8"/>
      <c r="L659" t="s" s="8"/>
    </row>
    <row r="660" ht="15.75" customHeight="true">
      <c r="A660" t="s" s="15"/>
      <c r="B660" t="s" s="8"/>
      <c r="C660" t="s" s="8"/>
      <c r="D660" t="s" s="8"/>
      <c r="E660" t="s" s="8"/>
      <c r="F660" t="s" s="8"/>
      <c r="G660" t="s" s="8"/>
      <c r="H660" t="s" s="8"/>
      <c r="I660" t="s" s="8"/>
      <c r="J660" t="s" s="8"/>
      <c r="K660" t="s" s="8"/>
      <c r="L660" t="s" s="8"/>
    </row>
    <row r="661" ht="15.75" customHeight="true">
      <c r="A661" t="s" s="15"/>
      <c r="B661" t="s" s="8"/>
      <c r="C661" t="s" s="8"/>
      <c r="D661" t="s" s="8"/>
      <c r="E661" t="s" s="8"/>
      <c r="F661" t="s" s="8"/>
      <c r="G661" t="s" s="8"/>
      <c r="H661" t="s" s="8"/>
      <c r="I661" t="s" s="8"/>
      <c r="J661" t="s" s="8"/>
      <c r="K661" t="s" s="8"/>
      <c r="L661" t="s" s="8"/>
    </row>
    <row r="662" ht="15.75" customHeight="true">
      <c r="A662" t="s" s="15"/>
      <c r="B662" t="s" s="8"/>
      <c r="C662" t="s" s="8"/>
      <c r="D662" t="s" s="8"/>
      <c r="E662" t="s" s="8"/>
      <c r="F662" t="s" s="8"/>
      <c r="G662" t="s" s="8"/>
      <c r="H662" t="s" s="8"/>
      <c r="I662" t="s" s="8"/>
      <c r="J662" t="s" s="8"/>
      <c r="K662" t="s" s="8"/>
      <c r="L662" t="s" s="8"/>
    </row>
    <row r="663" ht="15.75" customHeight="true">
      <c r="A663" t="s" s="15"/>
      <c r="B663" t="s" s="8"/>
      <c r="C663" t="s" s="8"/>
      <c r="D663" t="s" s="8"/>
      <c r="E663" t="s" s="8"/>
      <c r="F663" t="s" s="8"/>
      <c r="G663" t="s" s="8"/>
      <c r="H663" t="s" s="8"/>
      <c r="I663" t="s" s="8"/>
      <c r="J663" t="s" s="8"/>
      <c r="K663" t="s" s="8"/>
      <c r="L663" t="s" s="8"/>
    </row>
    <row r="664" ht="15.75" customHeight="true">
      <c r="A664" t="s" s="15"/>
      <c r="B664" t="s" s="8"/>
      <c r="C664" t="s" s="8"/>
      <c r="D664" t="s" s="8"/>
      <c r="E664" t="s" s="8"/>
      <c r="F664" t="s" s="8"/>
      <c r="G664" t="s" s="8"/>
      <c r="H664" t="s" s="8"/>
      <c r="I664" t="s" s="8"/>
      <c r="J664" t="s" s="8"/>
      <c r="K664" t="s" s="8"/>
      <c r="L664" t="s" s="8"/>
    </row>
    <row r="665" ht="15.75" customHeight="true">
      <c r="A665" t="s" s="15"/>
      <c r="B665" t="s" s="8"/>
      <c r="C665" t="s" s="8"/>
      <c r="D665" t="s" s="8"/>
      <c r="E665" t="s" s="8"/>
      <c r="F665" t="s" s="8"/>
      <c r="G665" t="s" s="8"/>
      <c r="H665" t="s" s="8"/>
      <c r="I665" t="s" s="8"/>
      <c r="J665" t="s" s="8"/>
      <c r="K665" t="s" s="8"/>
      <c r="L665" t="s" s="8"/>
    </row>
    <row r="666" ht="15.75" customHeight="true">
      <c r="A666" t="s" s="15"/>
      <c r="B666" t="s" s="8"/>
      <c r="C666" t="s" s="8"/>
      <c r="D666" t="s" s="8"/>
      <c r="E666" t="s" s="8"/>
      <c r="F666" t="s" s="8"/>
      <c r="G666" t="s" s="8"/>
      <c r="H666" t="s" s="8"/>
      <c r="I666" t="s" s="8"/>
      <c r="J666" t="s" s="8"/>
      <c r="K666" t="s" s="8"/>
      <c r="L666" t="s" s="8"/>
    </row>
    <row r="667" ht="15.75" customHeight="true">
      <c r="A667" t="s" s="15"/>
      <c r="B667" t="s" s="8"/>
      <c r="C667" t="s" s="8"/>
      <c r="D667" t="s" s="8"/>
      <c r="E667" t="s" s="8"/>
      <c r="F667" t="s" s="8"/>
      <c r="G667" t="s" s="8"/>
      <c r="H667" t="s" s="8"/>
      <c r="I667" t="s" s="8"/>
      <c r="J667" t="s" s="8"/>
      <c r="K667" t="s" s="8"/>
      <c r="L667" t="s" s="8"/>
    </row>
    <row r="668" ht="15.75" customHeight="true">
      <c r="A668" t="s" s="15"/>
      <c r="B668" t="s" s="8"/>
      <c r="C668" t="s" s="8"/>
      <c r="D668" t="s" s="8"/>
      <c r="E668" t="s" s="8"/>
      <c r="F668" t="s" s="8"/>
      <c r="G668" t="s" s="8"/>
      <c r="H668" t="s" s="8"/>
      <c r="I668" t="s" s="8"/>
      <c r="J668" t="s" s="8"/>
      <c r="K668" t="s" s="8"/>
      <c r="L668" t="s" s="8"/>
    </row>
    <row r="669" ht="15.75" customHeight="true">
      <c r="A669" t="s" s="15"/>
      <c r="B669" t="s" s="8"/>
      <c r="C669" t="s" s="8"/>
      <c r="D669" t="s" s="8"/>
      <c r="E669" t="s" s="8"/>
      <c r="F669" t="s" s="8"/>
      <c r="G669" t="s" s="8"/>
      <c r="H669" t="s" s="8"/>
      <c r="I669" t="s" s="8"/>
      <c r="J669" t="s" s="8"/>
      <c r="K669" t="s" s="8"/>
      <c r="L669" t="s" s="8"/>
    </row>
    <row r="670" ht="15.75" customHeight="true">
      <c r="A670" t="s" s="15"/>
      <c r="B670" t="s" s="8"/>
      <c r="C670" t="s" s="8"/>
      <c r="D670" t="s" s="8"/>
      <c r="E670" t="s" s="8"/>
      <c r="F670" t="s" s="8"/>
      <c r="G670" t="s" s="8"/>
      <c r="H670" t="s" s="8"/>
      <c r="I670" t="s" s="8"/>
      <c r="J670" t="s" s="8"/>
      <c r="K670" t="s" s="8"/>
      <c r="L670" t="s" s="8"/>
    </row>
    <row r="671" ht="15.75" customHeight="true">
      <c r="A671" t="s" s="15"/>
      <c r="B671" t="s" s="8"/>
      <c r="C671" t="s" s="8"/>
      <c r="D671" t="s" s="8"/>
      <c r="E671" t="s" s="8"/>
      <c r="F671" t="s" s="8"/>
      <c r="G671" t="s" s="8"/>
      <c r="H671" t="s" s="8"/>
      <c r="I671" t="s" s="8"/>
      <c r="J671" t="s" s="8"/>
      <c r="K671" t="s" s="8"/>
      <c r="L671" t="s" s="8"/>
    </row>
    <row r="672" ht="15.75" customHeight="true">
      <c r="A672" t="s" s="15"/>
      <c r="B672" t="s" s="8"/>
      <c r="C672" t="s" s="8"/>
      <c r="D672" t="s" s="8"/>
      <c r="E672" t="s" s="8"/>
      <c r="F672" t="s" s="8"/>
      <c r="G672" t="s" s="8"/>
      <c r="H672" t="s" s="8"/>
      <c r="I672" t="s" s="8"/>
      <c r="J672" t="s" s="8"/>
      <c r="K672" t="s" s="8"/>
      <c r="L672" t="s" s="8"/>
    </row>
    <row r="673" ht="15.75" customHeight="true">
      <c r="A673" t="s" s="15"/>
      <c r="B673" t="s" s="8"/>
      <c r="C673" t="s" s="8"/>
      <c r="D673" t="s" s="8"/>
      <c r="E673" t="s" s="8"/>
      <c r="F673" t="s" s="8"/>
      <c r="G673" t="s" s="8"/>
      <c r="H673" t="s" s="8"/>
      <c r="I673" t="s" s="8"/>
      <c r="J673" t="s" s="8"/>
      <c r="K673" t="s" s="8"/>
      <c r="L673" t="s" s="8"/>
    </row>
    <row r="674" ht="15.75" customHeight="true">
      <c r="A674" t="s" s="15"/>
      <c r="B674" t="s" s="8"/>
      <c r="C674" t="s" s="8"/>
      <c r="D674" t="s" s="8"/>
      <c r="E674" t="s" s="8"/>
      <c r="F674" t="s" s="8"/>
      <c r="G674" t="s" s="8"/>
      <c r="H674" t="s" s="8"/>
      <c r="I674" t="s" s="8"/>
      <c r="J674" t="s" s="8"/>
      <c r="K674" t="s" s="8"/>
      <c r="L674" t="s" s="8"/>
    </row>
    <row r="675" ht="15.75" customHeight="true">
      <c r="A675" t="s" s="15"/>
      <c r="B675" t="s" s="8"/>
      <c r="C675" t="s" s="8"/>
      <c r="D675" t="s" s="8"/>
      <c r="E675" t="s" s="8"/>
      <c r="F675" t="s" s="8"/>
      <c r="G675" t="s" s="8"/>
      <c r="H675" t="s" s="8"/>
      <c r="I675" t="s" s="8"/>
      <c r="J675" t="s" s="8"/>
      <c r="K675" t="s" s="8"/>
      <c r="L675" t="s" s="8"/>
    </row>
    <row r="676" ht="15.75" customHeight="true">
      <c r="A676" t="s" s="15"/>
      <c r="B676" t="s" s="8"/>
      <c r="C676" t="s" s="8"/>
      <c r="D676" t="s" s="8"/>
      <c r="E676" t="s" s="8"/>
      <c r="F676" t="s" s="8"/>
      <c r="G676" t="s" s="8"/>
      <c r="H676" t="s" s="8"/>
      <c r="I676" t="s" s="8"/>
      <c r="J676" t="s" s="8"/>
      <c r="K676" t="s" s="8"/>
      <c r="L676" t="s" s="8"/>
    </row>
    <row r="677" ht="15.75" customHeight="true">
      <c r="A677" t="s" s="15"/>
      <c r="B677" t="s" s="8"/>
      <c r="C677" t="s" s="8"/>
      <c r="D677" t="s" s="8"/>
      <c r="E677" t="s" s="8"/>
      <c r="F677" t="s" s="8"/>
      <c r="G677" t="s" s="8"/>
      <c r="H677" t="s" s="8"/>
      <c r="I677" t="s" s="8"/>
      <c r="J677" t="s" s="8"/>
      <c r="K677" t="s" s="8"/>
      <c r="L677" t="s" s="8"/>
    </row>
    <row r="678" ht="15.75" customHeight="true">
      <c r="A678" t="s" s="15"/>
      <c r="B678" t="s" s="8"/>
      <c r="C678" t="s" s="8"/>
      <c r="D678" t="s" s="8"/>
      <c r="E678" t="s" s="8"/>
      <c r="F678" t="s" s="8"/>
      <c r="G678" t="s" s="8"/>
      <c r="H678" t="s" s="8"/>
      <c r="I678" t="s" s="8"/>
      <c r="J678" t="s" s="8"/>
      <c r="K678" t="s" s="8"/>
      <c r="L678" t="s" s="8"/>
    </row>
    <row r="679" ht="15.75" customHeight="true">
      <c r="A679" t="s" s="15"/>
      <c r="B679" t="s" s="8"/>
      <c r="C679" t="s" s="8"/>
      <c r="D679" t="s" s="8"/>
      <c r="E679" t="s" s="8"/>
      <c r="F679" t="s" s="8"/>
      <c r="G679" t="s" s="8"/>
      <c r="H679" t="s" s="8"/>
      <c r="I679" t="s" s="8"/>
      <c r="J679" t="s" s="8"/>
      <c r="K679" t="s" s="8"/>
      <c r="L679" t="s" s="8"/>
    </row>
    <row r="680" ht="15.75" customHeight="true">
      <c r="A680" t="s" s="15"/>
      <c r="B680" t="s" s="8"/>
      <c r="C680" t="s" s="8"/>
      <c r="D680" t="s" s="8"/>
      <c r="E680" t="s" s="8"/>
      <c r="F680" t="s" s="8"/>
      <c r="G680" t="s" s="8"/>
      <c r="H680" t="s" s="8"/>
      <c r="I680" t="s" s="8"/>
      <c r="J680" t="s" s="8"/>
      <c r="K680" t="s" s="8"/>
      <c r="L680" t="s" s="8"/>
    </row>
    <row r="681" ht="15.75" customHeight="true">
      <c r="A681" t="s" s="15"/>
      <c r="B681" t="s" s="8"/>
      <c r="C681" t="s" s="8"/>
      <c r="D681" t="s" s="8"/>
      <c r="E681" t="s" s="8"/>
      <c r="F681" t="s" s="8"/>
      <c r="G681" t="s" s="8"/>
      <c r="H681" t="s" s="8"/>
      <c r="I681" t="s" s="8"/>
      <c r="J681" t="s" s="8"/>
      <c r="K681" t="s" s="8"/>
      <c r="L681" t="s" s="8"/>
    </row>
    <row r="682" ht="15.75" customHeight="true">
      <c r="A682" t="s" s="15"/>
      <c r="B682" t="s" s="8"/>
      <c r="C682" t="s" s="8"/>
      <c r="D682" t="s" s="8"/>
      <c r="E682" t="s" s="8"/>
      <c r="F682" t="s" s="8"/>
      <c r="G682" t="s" s="8"/>
      <c r="H682" t="s" s="8"/>
      <c r="I682" t="s" s="8"/>
      <c r="J682" t="s" s="8"/>
      <c r="K682" t="s" s="8"/>
      <c r="L682" t="s" s="8"/>
    </row>
    <row r="683" ht="15.75" customHeight="true">
      <c r="A683" t="s" s="15"/>
      <c r="B683" t="s" s="8"/>
      <c r="C683" t="s" s="8"/>
      <c r="D683" t="s" s="8"/>
      <c r="E683" t="s" s="8"/>
      <c r="F683" t="s" s="8"/>
      <c r="G683" t="s" s="8"/>
      <c r="H683" t="s" s="8"/>
      <c r="I683" t="s" s="8"/>
      <c r="J683" t="s" s="8"/>
      <c r="K683" t="s" s="8"/>
      <c r="L683" t="s" s="8"/>
    </row>
    <row r="684" ht="15.75" customHeight="true">
      <c r="A684" t="s" s="15"/>
      <c r="B684" t="s" s="8"/>
      <c r="C684" t="s" s="8"/>
      <c r="D684" t="s" s="8"/>
      <c r="E684" t="s" s="8"/>
      <c r="F684" t="s" s="8"/>
      <c r="G684" t="s" s="8"/>
      <c r="H684" t="s" s="8"/>
      <c r="I684" t="s" s="8"/>
      <c r="J684" t="s" s="8"/>
      <c r="K684" t="s" s="8"/>
      <c r="L684" t="s" s="8"/>
    </row>
    <row r="685" ht="15.75" customHeight="true">
      <c r="A685" t="s" s="15"/>
      <c r="B685" t="s" s="8"/>
      <c r="C685" t="s" s="8"/>
      <c r="D685" t="s" s="8"/>
      <c r="E685" t="s" s="8"/>
      <c r="F685" t="s" s="8"/>
      <c r="G685" t="s" s="8"/>
      <c r="H685" t="s" s="8"/>
      <c r="I685" t="s" s="8"/>
      <c r="J685" t="s" s="8"/>
      <c r="K685" t="s" s="8"/>
      <c r="L685" t="s" s="8"/>
    </row>
    <row r="686" ht="15.75" customHeight="true">
      <c r="A686" t="s" s="15"/>
      <c r="B686" t="s" s="8"/>
      <c r="C686" t="s" s="8"/>
      <c r="D686" t="s" s="8"/>
      <c r="E686" t="s" s="8"/>
      <c r="F686" t="s" s="8"/>
      <c r="G686" t="s" s="8"/>
      <c r="H686" t="s" s="8"/>
      <c r="I686" t="s" s="8"/>
      <c r="J686" t="s" s="8"/>
      <c r="K686" t="s" s="8"/>
      <c r="L686" t="s" s="8"/>
    </row>
    <row r="687" ht="15.75" customHeight="true">
      <c r="A687" t="s" s="15"/>
      <c r="B687" t="s" s="8"/>
      <c r="C687" t="s" s="8"/>
      <c r="D687" t="s" s="8"/>
      <c r="E687" t="s" s="8"/>
      <c r="F687" t="s" s="8"/>
      <c r="G687" t="s" s="8"/>
      <c r="H687" t="s" s="8"/>
      <c r="I687" t="s" s="8"/>
      <c r="J687" t="s" s="8"/>
      <c r="K687" t="s" s="8"/>
      <c r="L687" t="s" s="8"/>
    </row>
    <row r="688" ht="15.75" customHeight="true">
      <c r="A688" t="s" s="15"/>
      <c r="B688" t="s" s="8"/>
      <c r="C688" t="s" s="8"/>
      <c r="D688" t="s" s="8"/>
      <c r="E688" t="s" s="8"/>
      <c r="F688" t="s" s="8"/>
      <c r="G688" t="s" s="8"/>
      <c r="H688" t="s" s="8"/>
      <c r="I688" t="s" s="8"/>
      <c r="J688" t="s" s="8"/>
      <c r="K688" t="s" s="8"/>
      <c r="L688" t="s" s="8"/>
    </row>
    <row r="689" ht="15.75" customHeight="true">
      <c r="A689" t="s" s="15"/>
      <c r="B689" t="s" s="8"/>
      <c r="C689" t="s" s="8"/>
      <c r="D689" t="s" s="8"/>
      <c r="E689" t="s" s="8"/>
      <c r="F689" t="s" s="8"/>
      <c r="G689" t="s" s="8"/>
      <c r="H689" t="s" s="8"/>
      <c r="I689" t="s" s="8"/>
      <c r="J689" t="s" s="8"/>
      <c r="K689" t="s" s="8"/>
      <c r="L689" t="s" s="8"/>
    </row>
    <row r="690" ht="15.75" customHeight="true">
      <c r="A690" t="s" s="15"/>
      <c r="B690" t="s" s="8"/>
      <c r="C690" t="s" s="8"/>
      <c r="D690" t="s" s="8"/>
      <c r="E690" t="s" s="8"/>
      <c r="F690" t="s" s="8"/>
      <c r="G690" t="s" s="8"/>
      <c r="H690" t="s" s="8"/>
      <c r="I690" t="s" s="8"/>
      <c r="J690" t="s" s="8"/>
      <c r="K690" t="s" s="8"/>
      <c r="L690" t="s" s="8"/>
    </row>
    <row r="691" ht="15.75" customHeight="true">
      <c r="A691" t="s" s="15"/>
      <c r="B691" t="s" s="8"/>
      <c r="C691" t="s" s="8"/>
      <c r="D691" t="s" s="8"/>
      <c r="E691" t="s" s="8"/>
      <c r="F691" t="s" s="8"/>
      <c r="G691" t="s" s="8"/>
      <c r="H691" t="s" s="8"/>
      <c r="I691" t="s" s="8"/>
      <c r="J691" t="s" s="8"/>
      <c r="K691" t="s" s="8"/>
      <c r="L691" t="s" s="8"/>
    </row>
    <row r="692" ht="15.75" customHeight="true">
      <c r="A692" t="s" s="15"/>
      <c r="B692" t="s" s="8"/>
      <c r="C692" t="s" s="8"/>
      <c r="D692" t="s" s="8"/>
      <c r="E692" t="s" s="8"/>
      <c r="F692" t="s" s="8"/>
      <c r="G692" t="s" s="8"/>
      <c r="H692" t="s" s="8"/>
      <c r="I692" t="s" s="8"/>
      <c r="J692" t="s" s="8"/>
      <c r="K692" t="s" s="8"/>
      <c r="L692" t="s" s="8"/>
    </row>
    <row r="693" ht="15.75" customHeight="true">
      <c r="A693" t="s" s="15"/>
      <c r="B693" t="s" s="8"/>
      <c r="C693" t="s" s="8"/>
      <c r="D693" t="s" s="8"/>
      <c r="E693" t="s" s="8"/>
      <c r="F693" t="s" s="8"/>
      <c r="G693" t="s" s="8"/>
      <c r="H693" t="s" s="8"/>
      <c r="I693" t="s" s="8"/>
      <c r="J693" t="s" s="8"/>
      <c r="K693" t="s" s="8"/>
      <c r="L693" t="s" s="8"/>
    </row>
    <row r="694" ht="15.75" customHeight="true">
      <c r="A694" t="s" s="15"/>
      <c r="B694" t="s" s="8"/>
      <c r="C694" t="s" s="8"/>
      <c r="D694" t="s" s="8"/>
      <c r="E694" t="s" s="8"/>
      <c r="F694" t="s" s="8"/>
      <c r="G694" t="s" s="8"/>
      <c r="H694" t="s" s="8"/>
      <c r="I694" t="s" s="8"/>
      <c r="J694" t="s" s="8"/>
      <c r="K694" t="s" s="8"/>
      <c r="L694" t="s" s="8"/>
    </row>
    <row r="695" ht="15.75" customHeight="true">
      <c r="A695" t="s" s="15"/>
      <c r="B695" t="s" s="8"/>
      <c r="C695" t="s" s="8"/>
      <c r="D695" t="s" s="8"/>
      <c r="E695" t="s" s="8"/>
      <c r="F695" t="s" s="8"/>
      <c r="G695" t="s" s="8"/>
      <c r="H695" t="s" s="8"/>
      <c r="I695" t="s" s="8"/>
      <c r="J695" t="s" s="8"/>
      <c r="K695" t="s" s="8"/>
      <c r="L695" t="s" s="8"/>
    </row>
    <row r="696" ht="15.75" customHeight="true">
      <c r="A696" t="s" s="15"/>
      <c r="B696" t="s" s="8"/>
      <c r="C696" t="s" s="8"/>
      <c r="D696" t="s" s="8"/>
      <c r="E696" t="s" s="8"/>
      <c r="F696" t="s" s="8"/>
      <c r="G696" t="s" s="8"/>
      <c r="H696" t="s" s="8"/>
      <c r="I696" t="s" s="8"/>
      <c r="J696" t="s" s="8"/>
      <c r="K696" t="s" s="8"/>
      <c r="L696" t="s" s="8"/>
    </row>
    <row r="697" ht="15.75" customHeight="true">
      <c r="A697" t="s" s="15"/>
      <c r="B697" t="s" s="8"/>
      <c r="C697" t="s" s="8"/>
      <c r="D697" t="s" s="8"/>
      <c r="E697" t="s" s="8"/>
      <c r="F697" t="s" s="8"/>
      <c r="G697" t="s" s="8"/>
      <c r="H697" t="s" s="8"/>
      <c r="I697" t="s" s="8"/>
      <c r="J697" t="s" s="8"/>
      <c r="K697" t="s" s="8"/>
      <c r="L697" t="s" s="8"/>
    </row>
    <row r="698" ht="15.75" customHeight="true">
      <c r="A698" t="s" s="15"/>
      <c r="B698" t="s" s="8"/>
      <c r="C698" t="s" s="8"/>
      <c r="D698" t="s" s="8"/>
      <c r="E698" t="s" s="8"/>
      <c r="F698" t="s" s="8"/>
      <c r="G698" t="s" s="8"/>
      <c r="H698" t="s" s="8"/>
      <c r="I698" t="s" s="8"/>
      <c r="J698" t="s" s="8"/>
      <c r="K698" t="s" s="8"/>
      <c r="L698" t="s" s="8"/>
    </row>
    <row r="699" ht="15.75" customHeight="true">
      <c r="A699" t="s" s="15"/>
      <c r="B699" t="s" s="8"/>
      <c r="C699" t="s" s="8"/>
      <c r="D699" t="s" s="8"/>
      <c r="E699" t="s" s="8"/>
      <c r="F699" t="s" s="8"/>
      <c r="G699" t="s" s="8"/>
      <c r="H699" t="s" s="8"/>
      <c r="I699" t="s" s="8"/>
      <c r="J699" t="s" s="8"/>
      <c r="K699" t="s" s="8"/>
      <c r="L699" t="s" s="8"/>
    </row>
    <row r="700" ht="15.75" customHeight="true">
      <c r="A700" t="s" s="15"/>
      <c r="B700" t="s" s="8"/>
      <c r="C700" t="s" s="8"/>
      <c r="D700" t="s" s="8"/>
      <c r="E700" t="s" s="8"/>
      <c r="F700" t="s" s="8"/>
      <c r="G700" t="s" s="8"/>
      <c r="H700" t="s" s="8"/>
      <c r="I700" t="s" s="8"/>
      <c r="J700" t="s" s="8"/>
      <c r="K700" t="s" s="8"/>
      <c r="L700" t="s" s="8"/>
    </row>
    <row r="701" ht="15.75" customHeight="true">
      <c r="A701" t="s" s="15"/>
      <c r="B701" t="s" s="8"/>
      <c r="C701" t="s" s="8"/>
      <c r="D701" t="s" s="8"/>
      <c r="E701" t="s" s="8"/>
      <c r="F701" t="s" s="8"/>
      <c r="G701" t="s" s="8"/>
      <c r="H701" t="s" s="8"/>
      <c r="I701" t="s" s="8"/>
      <c r="J701" t="s" s="8"/>
      <c r="K701" t="s" s="8"/>
      <c r="L701" t="s" s="8"/>
    </row>
    <row r="702" ht="15.75" customHeight="true">
      <c r="A702" t="s" s="15"/>
      <c r="B702" t="s" s="8"/>
      <c r="C702" t="s" s="8"/>
      <c r="D702" t="s" s="8"/>
      <c r="E702" t="s" s="8"/>
      <c r="F702" t="s" s="8"/>
      <c r="G702" t="s" s="8"/>
      <c r="H702" t="s" s="8"/>
      <c r="I702" t="s" s="8"/>
      <c r="J702" t="s" s="8"/>
      <c r="K702" t="s" s="8"/>
      <c r="L702" t="s" s="8"/>
    </row>
    <row r="703" ht="15.75" customHeight="true">
      <c r="A703" t="s" s="15"/>
      <c r="B703" t="s" s="8"/>
      <c r="C703" t="s" s="8"/>
      <c r="D703" t="s" s="8"/>
      <c r="E703" t="s" s="8"/>
      <c r="F703" t="s" s="8"/>
      <c r="G703" t="s" s="8"/>
      <c r="H703" t="s" s="8"/>
      <c r="I703" t="s" s="8"/>
      <c r="J703" t="s" s="8"/>
      <c r="K703" t="s" s="8"/>
      <c r="L703" t="s" s="8"/>
    </row>
    <row r="704" ht="15.75" customHeight="true">
      <c r="A704" t="s" s="15"/>
      <c r="B704" t="s" s="8"/>
      <c r="C704" t="s" s="8"/>
      <c r="D704" t="s" s="8"/>
      <c r="E704" t="s" s="8"/>
      <c r="F704" t="s" s="8"/>
      <c r="G704" t="s" s="8"/>
      <c r="H704" t="s" s="8"/>
      <c r="I704" t="s" s="8"/>
      <c r="J704" t="s" s="8"/>
      <c r="K704" t="s" s="8"/>
      <c r="L704" t="s" s="8"/>
    </row>
    <row r="705" ht="15.75" customHeight="true">
      <c r="A705" t="s" s="15"/>
      <c r="B705" t="s" s="8"/>
      <c r="C705" t="s" s="8"/>
      <c r="D705" t="s" s="8"/>
      <c r="E705" t="s" s="8"/>
      <c r="F705" t="s" s="8"/>
      <c r="G705" t="s" s="8"/>
      <c r="H705" t="s" s="8"/>
      <c r="I705" t="s" s="8"/>
      <c r="J705" t="s" s="8"/>
      <c r="K705" t="s" s="8"/>
      <c r="L705" t="s" s="8"/>
    </row>
    <row r="706" ht="15.75" customHeight="true">
      <c r="A706" t="s" s="15"/>
      <c r="B706" t="s" s="8"/>
      <c r="C706" t="s" s="8"/>
      <c r="D706" t="s" s="8"/>
      <c r="E706" t="s" s="8"/>
      <c r="F706" t="s" s="8"/>
      <c r="G706" t="s" s="8"/>
      <c r="H706" t="s" s="8"/>
      <c r="I706" t="s" s="8"/>
      <c r="J706" t="s" s="8"/>
      <c r="K706" t="s" s="8"/>
      <c r="L706" t="s" s="8"/>
    </row>
    <row r="707" ht="15.75" customHeight="true">
      <c r="A707" t="s" s="15"/>
      <c r="B707" t="s" s="8"/>
      <c r="C707" t="s" s="8"/>
      <c r="D707" t="s" s="8"/>
      <c r="E707" t="s" s="8"/>
      <c r="F707" t="s" s="8"/>
      <c r="G707" t="s" s="8"/>
      <c r="H707" t="s" s="8"/>
      <c r="I707" t="s" s="8"/>
      <c r="J707" t="s" s="8"/>
      <c r="K707" t="s" s="8"/>
      <c r="L707" t="s" s="8"/>
    </row>
    <row r="708" ht="15.75" customHeight="true">
      <c r="A708" t="s" s="15"/>
      <c r="B708" t="s" s="8"/>
      <c r="C708" t="s" s="8"/>
      <c r="D708" t="s" s="8"/>
      <c r="E708" t="s" s="8"/>
      <c r="F708" t="s" s="8"/>
      <c r="G708" t="s" s="8"/>
      <c r="H708" t="s" s="8"/>
      <c r="I708" t="s" s="8"/>
      <c r="J708" t="s" s="8"/>
      <c r="K708" t="s" s="8"/>
      <c r="L708" t="s" s="8"/>
    </row>
    <row r="709" ht="15.75" customHeight="true">
      <c r="A709" t="s" s="15"/>
      <c r="B709" t="s" s="8"/>
      <c r="C709" t="s" s="8"/>
      <c r="D709" t="s" s="8"/>
      <c r="E709" t="s" s="8"/>
      <c r="F709" t="s" s="8"/>
      <c r="G709" t="s" s="8"/>
      <c r="H709" t="s" s="8"/>
      <c r="I709" t="s" s="8"/>
      <c r="J709" t="s" s="8"/>
      <c r="K709" t="s" s="8"/>
      <c r="L709" t="s" s="8"/>
    </row>
    <row r="710" ht="15.75" customHeight="true">
      <c r="A710" t="s" s="15"/>
      <c r="B710" t="s" s="8"/>
      <c r="C710" t="s" s="8"/>
      <c r="D710" t="s" s="8"/>
      <c r="E710" t="s" s="8"/>
      <c r="F710" t="s" s="8"/>
      <c r="G710" t="s" s="8"/>
      <c r="H710" t="s" s="8"/>
      <c r="I710" t="s" s="8"/>
      <c r="J710" t="s" s="8"/>
      <c r="K710" t="s" s="8"/>
      <c r="L710" t="s" s="8"/>
    </row>
    <row r="711" ht="15.75" customHeight="true">
      <c r="A711" t="s" s="15"/>
      <c r="B711" t="s" s="8"/>
      <c r="C711" t="s" s="8"/>
      <c r="D711" t="s" s="8"/>
      <c r="E711" t="s" s="8"/>
      <c r="F711" t="s" s="8"/>
      <c r="G711" t="s" s="8"/>
      <c r="H711" t="s" s="8"/>
      <c r="I711" t="s" s="8"/>
      <c r="J711" t="s" s="8"/>
      <c r="K711" t="s" s="8"/>
      <c r="L711" t="s" s="8"/>
    </row>
    <row r="712" ht="15.75" customHeight="true">
      <c r="A712" t="s" s="15"/>
      <c r="B712" t="s" s="8"/>
      <c r="C712" t="s" s="8"/>
      <c r="D712" t="s" s="8"/>
      <c r="E712" t="s" s="8"/>
      <c r="F712" t="s" s="8"/>
      <c r="G712" t="s" s="8"/>
      <c r="H712" t="s" s="8"/>
      <c r="I712" t="s" s="8"/>
      <c r="J712" t="s" s="8"/>
      <c r="K712" t="s" s="8"/>
      <c r="L712" t="s" s="8"/>
    </row>
    <row r="713" ht="15.75" customHeight="true">
      <c r="A713" t="s" s="15"/>
      <c r="B713" t="s" s="8"/>
      <c r="C713" t="s" s="8"/>
      <c r="D713" t="s" s="8"/>
      <c r="E713" t="s" s="8"/>
      <c r="F713" t="s" s="8"/>
      <c r="G713" t="s" s="8"/>
      <c r="H713" t="s" s="8"/>
      <c r="I713" t="s" s="8"/>
      <c r="J713" t="s" s="8"/>
      <c r="K713" t="s" s="8"/>
      <c r="L713" t="s" s="8"/>
    </row>
    <row r="714" ht="15.75" customHeight="true">
      <c r="A714" t="s" s="15"/>
      <c r="B714" t="s" s="8"/>
      <c r="C714" t="s" s="8"/>
      <c r="D714" t="s" s="8"/>
      <c r="E714" t="s" s="8"/>
      <c r="F714" t="s" s="8"/>
      <c r="G714" t="s" s="8"/>
      <c r="H714" t="s" s="8"/>
      <c r="I714" t="s" s="8"/>
      <c r="J714" t="s" s="8"/>
      <c r="K714" t="s" s="8"/>
      <c r="L714" t="s" s="8"/>
    </row>
    <row r="715" ht="15.75" customHeight="true">
      <c r="A715" t="s" s="15"/>
      <c r="B715" t="s" s="8"/>
      <c r="C715" t="s" s="8"/>
      <c r="D715" t="s" s="8"/>
      <c r="E715" t="s" s="8"/>
      <c r="F715" t="s" s="8"/>
      <c r="G715" t="s" s="8"/>
      <c r="H715" t="s" s="8"/>
      <c r="I715" t="s" s="8"/>
      <c r="J715" t="s" s="8"/>
      <c r="K715" t="s" s="8"/>
      <c r="L715" t="s" s="8"/>
    </row>
    <row r="716" ht="15.75" customHeight="true">
      <c r="A716" t="s" s="15"/>
      <c r="B716" t="s" s="8"/>
      <c r="C716" t="s" s="8"/>
      <c r="D716" t="s" s="8"/>
      <c r="E716" t="s" s="8"/>
      <c r="F716" t="s" s="8"/>
      <c r="G716" t="s" s="8"/>
      <c r="H716" t="s" s="8"/>
      <c r="I716" t="s" s="8"/>
      <c r="J716" t="s" s="8"/>
      <c r="K716" t="s" s="8"/>
      <c r="L716" t="s" s="8"/>
    </row>
    <row r="717" ht="15.75" customHeight="true">
      <c r="A717" t="s" s="15"/>
      <c r="B717" t="s" s="8"/>
      <c r="C717" t="s" s="8"/>
      <c r="D717" t="s" s="8"/>
      <c r="E717" t="s" s="8"/>
      <c r="F717" t="s" s="8"/>
      <c r="G717" t="s" s="8"/>
      <c r="H717" t="s" s="8"/>
      <c r="I717" t="s" s="8"/>
      <c r="J717" t="s" s="8"/>
      <c r="K717" t="s" s="8"/>
      <c r="L717" t="s" s="8"/>
    </row>
    <row r="718" ht="15.75" customHeight="true">
      <c r="A718" t="s" s="15"/>
      <c r="B718" t="s" s="8"/>
      <c r="C718" t="s" s="8"/>
      <c r="D718" t="s" s="8"/>
      <c r="E718" t="s" s="8"/>
      <c r="F718" t="s" s="8"/>
      <c r="G718" t="s" s="8"/>
      <c r="H718" t="s" s="8"/>
      <c r="I718" t="s" s="8"/>
      <c r="J718" t="s" s="8"/>
      <c r="K718" t="s" s="8"/>
      <c r="L718" t="s" s="8"/>
    </row>
    <row r="719" ht="15.75" customHeight="true">
      <c r="A719" t="s" s="15"/>
      <c r="B719" t="s" s="8"/>
      <c r="C719" t="s" s="8"/>
      <c r="D719" t="s" s="8"/>
      <c r="E719" t="s" s="8"/>
      <c r="F719" t="s" s="8"/>
      <c r="G719" t="s" s="8"/>
      <c r="H719" t="s" s="8"/>
      <c r="I719" t="s" s="8"/>
      <c r="J719" t="s" s="8"/>
      <c r="K719" t="s" s="8"/>
      <c r="L719" t="s" s="8"/>
    </row>
    <row r="720" ht="15.75" customHeight="true">
      <c r="A720" t="s" s="15"/>
      <c r="B720" t="s" s="8"/>
      <c r="C720" t="s" s="8"/>
      <c r="D720" t="s" s="8"/>
      <c r="E720" t="s" s="8"/>
      <c r="F720" t="s" s="8"/>
      <c r="G720" t="s" s="8"/>
      <c r="H720" t="s" s="8"/>
      <c r="I720" t="s" s="8"/>
      <c r="J720" t="s" s="8"/>
      <c r="K720" t="s" s="8"/>
      <c r="L720" t="s" s="8"/>
    </row>
    <row r="721" ht="15.75" customHeight="true">
      <c r="A721" t="s" s="15"/>
      <c r="B721" t="s" s="8"/>
      <c r="C721" t="s" s="8"/>
      <c r="D721" t="s" s="8"/>
      <c r="E721" t="s" s="8"/>
      <c r="F721" t="s" s="8"/>
      <c r="G721" t="s" s="8"/>
      <c r="H721" t="s" s="8"/>
      <c r="I721" t="s" s="8"/>
      <c r="J721" t="s" s="8"/>
      <c r="K721" t="s" s="8"/>
      <c r="L721" t="s" s="8"/>
    </row>
    <row r="722" ht="15.75" customHeight="true">
      <c r="A722" t="s" s="15"/>
      <c r="B722" t="s" s="8"/>
      <c r="C722" t="s" s="8"/>
      <c r="D722" t="s" s="8"/>
      <c r="E722" t="s" s="8"/>
      <c r="F722" t="s" s="8"/>
      <c r="G722" t="s" s="8"/>
      <c r="H722" t="s" s="8"/>
      <c r="I722" t="s" s="8"/>
      <c r="J722" t="s" s="8"/>
      <c r="K722" t="s" s="8"/>
      <c r="L722" t="s" s="8"/>
    </row>
    <row r="723" ht="15.75" customHeight="true">
      <c r="A723" t="s" s="15"/>
      <c r="B723" t="s" s="8"/>
      <c r="C723" t="s" s="8"/>
      <c r="D723" t="s" s="8"/>
      <c r="E723" t="s" s="8"/>
      <c r="F723" t="s" s="8"/>
      <c r="G723" t="s" s="8"/>
      <c r="H723" t="s" s="8"/>
      <c r="I723" t="s" s="8"/>
      <c r="J723" t="s" s="8"/>
      <c r="K723" t="s" s="8"/>
      <c r="L723" t="s" s="8"/>
    </row>
    <row r="724" ht="15.75" customHeight="true">
      <c r="A724" t="s" s="15"/>
      <c r="B724" t="s" s="8"/>
      <c r="C724" t="s" s="8"/>
      <c r="D724" t="s" s="8"/>
      <c r="E724" t="s" s="8"/>
      <c r="F724" t="s" s="8"/>
      <c r="G724" t="s" s="8"/>
      <c r="H724" t="s" s="8"/>
      <c r="I724" t="s" s="8"/>
      <c r="J724" t="s" s="8"/>
      <c r="K724" t="s" s="8"/>
      <c r="L724" t="s" s="8"/>
    </row>
    <row r="725" ht="15.75" customHeight="true">
      <c r="A725" t="s" s="15"/>
      <c r="B725" t="s" s="8"/>
      <c r="C725" t="s" s="8"/>
      <c r="D725" t="s" s="8"/>
      <c r="E725" t="s" s="8"/>
      <c r="F725" t="s" s="8"/>
      <c r="G725" t="s" s="8"/>
      <c r="H725" t="s" s="8"/>
      <c r="I725" t="s" s="8"/>
      <c r="J725" t="s" s="8"/>
      <c r="K725" t="s" s="8"/>
      <c r="L725" t="s" s="8"/>
    </row>
    <row r="726" ht="15.75" customHeight="true">
      <c r="A726" t="s" s="15"/>
      <c r="B726" t="s" s="8"/>
      <c r="C726" t="s" s="8"/>
      <c r="D726" t="s" s="8"/>
      <c r="E726" t="s" s="8"/>
      <c r="F726" t="s" s="8"/>
      <c r="G726" t="s" s="8"/>
      <c r="H726" t="s" s="8"/>
      <c r="I726" t="s" s="8"/>
      <c r="J726" t="s" s="8"/>
      <c r="K726" t="s" s="8"/>
      <c r="L726" t="s" s="8"/>
    </row>
    <row r="727" ht="15.75" customHeight="true">
      <c r="A727" t="s" s="15"/>
      <c r="B727" t="s" s="8"/>
      <c r="C727" t="s" s="8"/>
      <c r="D727" t="s" s="8"/>
      <c r="E727" t="s" s="8"/>
      <c r="F727" t="s" s="8"/>
      <c r="G727" t="s" s="8"/>
      <c r="H727" t="s" s="8"/>
      <c r="I727" t="s" s="8"/>
      <c r="J727" t="s" s="8"/>
      <c r="K727" t="s" s="8"/>
      <c r="L727" t="s" s="8"/>
    </row>
    <row r="728" ht="15.75" customHeight="true">
      <c r="A728" t="s" s="15"/>
      <c r="B728" t="s" s="8"/>
      <c r="C728" t="s" s="8"/>
      <c r="D728" t="s" s="8"/>
      <c r="E728" t="s" s="8"/>
      <c r="F728" t="s" s="8"/>
      <c r="G728" t="s" s="8"/>
      <c r="H728" t="s" s="8"/>
      <c r="I728" t="s" s="8"/>
      <c r="J728" t="s" s="8"/>
      <c r="K728" t="s" s="8"/>
      <c r="L728" t="s" s="8"/>
    </row>
    <row r="729" ht="15.75" customHeight="true">
      <c r="A729" t="s" s="15"/>
      <c r="B729" t="s" s="8"/>
      <c r="C729" t="s" s="8"/>
      <c r="D729" t="s" s="8"/>
      <c r="E729" t="s" s="8"/>
      <c r="F729" t="s" s="8"/>
      <c r="G729" t="s" s="8"/>
      <c r="H729" t="s" s="8"/>
      <c r="I729" t="s" s="8"/>
      <c r="J729" t="s" s="8"/>
      <c r="K729" t="s" s="8"/>
      <c r="L729" t="s" s="8"/>
    </row>
    <row r="730" ht="15.75" customHeight="true">
      <c r="A730" t="s" s="15"/>
      <c r="B730" t="s" s="8"/>
      <c r="C730" t="s" s="8"/>
      <c r="D730" t="s" s="8"/>
      <c r="E730" t="s" s="8"/>
      <c r="F730" t="s" s="8"/>
      <c r="G730" t="s" s="8"/>
      <c r="H730" t="s" s="8"/>
      <c r="I730" t="s" s="8"/>
      <c r="J730" t="s" s="8"/>
      <c r="K730" t="s" s="8"/>
      <c r="L730" t="s" s="8"/>
    </row>
    <row r="731" ht="15.75" customHeight="true">
      <c r="A731" t="s" s="15"/>
      <c r="B731" t="s" s="8"/>
      <c r="C731" t="s" s="8"/>
      <c r="D731" t="s" s="8"/>
      <c r="E731" t="s" s="8"/>
      <c r="F731" t="s" s="8"/>
      <c r="G731" t="s" s="8"/>
      <c r="H731" t="s" s="8"/>
      <c r="I731" t="s" s="8"/>
      <c r="J731" t="s" s="8"/>
      <c r="K731" t="s" s="8"/>
      <c r="L731" t="s" s="8"/>
    </row>
    <row r="732" ht="15.75" customHeight="true">
      <c r="A732" t="s" s="15"/>
      <c r="B732" t="s" s="8"/>
      <c r="C732" t="s" s="8"/>
      <c r="D732" t="s" s="8"/>
      <c r="E732" t="s" s="8"/>
      <c r="F732" t="s" s="8"/>
      <c r="G732" t="s" s="8"/>
      <c r="H732" t="s" s="8"/>
      <c r="I732" t="s" s="8"/>
      <c r="J732" t="s" s="8"/>
      <c r="K732" t="s" s="8"/>
      <c r="L732" t="s" s="8"/>
    </row>
    <row r="733" ht="15.75" customHeight="true">
      <c r="A733" t="s" s="15"/>
      <c r="B733" t="s" s="8"/>
      <c r="C733" t="s" s="8"/>
      <c r="D733" t="s" s="8"/>
      <c r="E733" t="s" s="8"/>
      <c r="F733" t="s" s="8"/>
      <c r="G733" t="s" s="8"/>
      <c r="H733" t="s" s="8"/>
      <c r="I733" t="s" s="8"/>
      <c r="J733" t="s" s="8"/>
      <c r="K733" t="s" s="8"/>
      <c r="L733" t="s" s="8"/>
    </row>
    <row r="734" ht="15.75" customHeight="true">
      <c r="A734" t="s" s="15"/>
      <c r="B734" t="s" s="8"/>
      <c r="C734" t="s" s="8"/>
      <c r="D734" t="s" s="8"/>
      <c r="E734" t="s" s="8"/>
      <c r="F734" t="s" s="8"/>
      <c r="G734" t="s" s="8"/>
      <c r="H734" t="s" s="8"/>
      <c r="I734" t="s" s="8"/>
      <c r="J734" t="s" s="8"/>
      <c r="K734" t="s" s="8"/>
      <c r="L734" t="s" s="8"/>
    </row>
    <row r="735" ht="15.75" customHeight="true">
      <c r="A735" t="s" s="15"/>
      <c r="B735" t="s" s="8"/>
      <c r="C735" t="s" s="8"/>
      <c r="D735" t="s" s="8"/>
      <c r="E735" t="s" s="8"/>
      <c r="F735" t="s" s="8"/>
      <c r="G735" t="s" s="8"/>
      <c r="H735" t="s" s="8"/>
      <c r="I735" t="s" s="8"/>
      <c r="J735" t="s" s="8"/>
      <c r="K735" t="s" s="8"/>
      <c r="L735" t="s" s="8"/>
    </row>
    <row r="736" ht="15.75" customHeight="true">
      <c r="A736" t="s" s="15"/>
      <c r="B736" t="s" s="8"/>
      <c r="C736" t="s" s="8"/>
      <c r="D736" t="s" s="8"/>
      <c r="E736" t="s" s="8"/>
      <c r="F736" t="s" s="8"/>
      <c r="G736" t="s" s="8"/>
      <c r="H736" t="s" s="8"/>
      <c r="I736" t="s" s="8"/>
      <c r="J736" t="s" s="8"/>
      <c r="K736" t="s" s="8"/>
      <c r="L736" t="s" s="8"/>
    </row>
    <row r="737" ht="15.75" customHeight="true">
      <c r="A737" t="s" s="15"/>
      <c r="B737" t="s" s="8"/>
      <c r="C737" t="s" s="8"/>
      <c r="D737" t="s" s="8"/>
      <c r="E737" t="s" s="8"/>
      <c r="F737" t="s" s="8"/>
      <c r="G737" t="s" s="8"/>
      <c r="H737" t="s" s="8"/>
      <c r="I737" t="s" s="8"/>
      <c r="J737" t="s" s="8"/>
      <c r="K737" t="s" s="8"/>
      <c r="L737" t="s" s="8"/>
    </row>
    <row r="738" ht="15.75" customHeight="true">
      <c r="A738" t="s" s="15"/>
      <c r="B738" t="s" s="8"/>
      <c r="C738" t="s" s="8"/>
      <c r="D738" t="s" s="8"/>
      <c r="E738" t="s" s="8"/>
      <c r="F738" t="s" s="8"/>
      <c r="G738" t="s" s="8"/>
      <c r="H738" t="s" s="8"/>
      <c r="I738" t="s" s="8"/>
      <c r="J738" t="s" s="8"/>
      <c r="K738" t="s" s="8"/>
      <c r="L738" t="s" s="8"/>
    </row>
    <row r="739" ht="15.75" customHeight="true">
      <c r="A739" t="s" s="15"/>
      <c r="B739" t="s" s="8"/>
      <c r="C739" t="s" s="8"/>
      <c r="D739" t="s" s="8"/>
      <c r="E739" t="s" s="8"/>
      <c r="F739" t="s" s="8"/>
      <c r="G739" t="s" s="8"/>
      <c r="H739" t="s" s="8"/>
      <c r="I739" t="s" s="8"/>
      <c r="J739" t="s" s="8"/>
      <c r="K739" t="s" s="8"/>
      <c r="L739" t="s" s="8"/>
    </row>
    <row r="740" ht="15.75" customHeight="true">
      <c r="A740" t="s" s="15"/>
      <c r="B740" t="s" s="8"/>
      <c r="C740" t="s" s="8"/>
      <c r="D740" t="s" s="8"/>
      <c r="E740" t="s" s="8"/>
      <c r="F740" t="s" s="8"/>
      <c r="G740" t="s" s="8"/>
      <c r="H740" t="s" s="8"/>
      <c r="I740" t="s" s="8"/>
      <c r="J740" t="s" s="8"/>
      <c r="K740" t="s" s="8"/>
      <c r="L740" t="s" s="8"/>
    </row>
    <row r="741" ht="15.75" customHeight="true">
      <c r="A741" t="s" s="15"/>
      <c r="B741" t="s" s="8"/>
      <c r="C741" t="s" s="8"/>
      <c r="D741" t="s" s="8"/>
      <c r="E741" t="s" s="8"/>
      <c r="F741" t="s" s="8"/>
      <c r="G741" t="s" s="8"/>
      <c r="H741" t="s" s="8"/>
      <c r="I741" t="s" s="8"/>
      <c r="J741" t="s" s="8"/>
      <c r="K741" t="s" s="8"/>
      <c r="L741" t="s" s="8"/>
    </row>
    <row r="742" ht="15.75" customHeight="true">
      <c r="A742" t="s" s="15"/>
      <c r="B742" t="s" s="8"/>
      <c r="C742" t="s" s="8"/>
      <c r="D742" t="s" s="8"/>
      <c r="E742" t="s" s="8"/>
      <c r="F742" t="s" s="8"/>
      <c r="G742" t="s" s="8"/>
      <c r="H742" t="s" s="8"/>
      <c r="I742" t="s" s="8"/>
      <c r="J742" t="s" s="8"/>
      <c r="K742" t="s" s="8"/>
      <c r="L742" t="s" s="8"/>
    </row>
    <row r="743" ht="15.75" customHeight="true">
      <c r="A743" t="s" s="15"/>
      <c r="B743" t="s" s="8"/>
      <c r="C743" t="s" s="8"/>
      <c r="D743" t="s" s="8"/>
      <c r="E743" t="s" s="8"/>
      <c r="F743" t="s" s="8"/>
      <c r="G743" t="s" s="8"/>
      <c r="H743" t="s" s="8"/>
      <c r="I743" t="s" s="8"/>
      <c r="J743" t="s" s="8"/>
      <c r="K743" t="s" s="8"/>
      <c r="L743" t="s" s="8"/>
    </row>
    <row r="744" ht="15.75" customHeight="true">
      <c r="A744" t="s" s="15"/>
      <c r="B744" t="s" s="8"/>
      <c r="C744" t="s" s="8"/>
      <c r="D744" t="s" s="8"/>
      <c r="E744" t="s" s="8"/>
      <c r="F744" t="s" s="8"/>
      <c r="G744" t="s" s="8"/>
      <c r="H744" t="s" s="8"/>
      <c r="I744" t="s" s="8"/>
      <c r="J744" t="s" s="8"/>
      <c r="K744" t="s" s="8"/>
      <c r="L744" t="s" s="8"/>
    </row>
    <row r="745" ht="15.75" customHeight="true">
      <c r="A745" t="s" s="15"/>
      <c r="B745" t="s" s="8"/>
      <c r="C745" t="s" s="8"/>
      <c r="D745" t="s" s="8"/>
      <c r="E745" t="s" s="8"/>
      <c r="F745" t="s" s="8"/>
      <c r="G745" t="s" s="8"/>
      <c r="H745" t="s" s="8"/>
      <c r="I745" t="s" s="8"/>
      <c r="J745" t="s" s="8"/>
      <c r="K745" t="s" s="8"/>
      <c r="L745" t="s" s="8"/>
    </row>
    <row r="746" ht="15.75" customHeight="true">
      <c r="A746" t="s" s="15"/>
      <c r="B746" t="s" s="8"/>
      <c r="C746" t="s" s="8"/>
      <c r="D746" t="s" s="8"/>
      <c r="E746" t="s" s="8"/>
      <c r="F746" t="s" s="8"/>
      <c r="G746" t="s" s="8"/>
      <c r="H746" t="s" s="8"/>
      <c r="I746" t="s" s="8"/>
      <c r="J746" t="s" s="8"/>
      <c r="K746" t="s" s="8"/>
      <c r="L746" t="s" s="8"/>
    </row>
    <row r="747" ht="15.75" customHeight="true">
      <c r="A747" t="s" s="15"/>
      <c r="B747" t="s" s="8"/>
      <c r="C747" t="s" s="8"/>
      <c r="D747" t="s" s="8"/>
      <c r="E747" t="s" s="8"/>
      <c r="F747" t="s" s="8"/>
      <c r="G747" t="s" s="8"/>
      <c r="H747" t="s" s="8"/>
      <c r="I747" t="s" s="8"/>
      <c r="J747" t="s" s="8"/>
      <c r="K747" t="s" s="8"/>
      <c r="L747" t="s" s="8"/>
    </row>
    <row r="748" ht="15.75" customHeight="true">
      <c r="A748" t="s" s="15"/>
      <c r="B748" t="s" s="8"/>
      <c r="C748" t="s" s="8"/>
      <c r="D748" t="s" s="8"/>
      <c r="E748" t="s" s="8"/>
      <c r="F748" t="s" s="8"/>
      <c r="G748" t="s" s="8"/>
      <c r="H748" t="s" s="8"/>
      <c r="I748" t="s" s="8"/>
      <c r="J748" t="s" s="8"/>
      <c r="K748" t="s" s="8"/>
      <c r="L748" t="s" s="8"/>
    </row>
    <row r="749" ht="15.75" customHeight="true">
      <c r="A749" t="s" s="15"/>
      <c r="B749" t="s" s="8"/>
      <c r="C749" t="s" s="8"/>
      <c r="D749" t="s" s="8"/>
      <c r="E749" t="s" s="8"/>
      <c r="F749" t="s" s="8"/>
      <c r="G749" t="s" s="8"/>
      <c r="H749" t="s" s="8"/>
      <c r="I749" t="s" s="8"/>
      <c r="J749" t="s" s="8"/>
      <c r="K749" t="s" s="8"/>
      <c r="L749" t="s" s="8"/>
    </row>
    <row r="750" ht="15.75" customHeight="true">
      <c r="A750" t="s" s="15"/>
      <c r="B750" t="s" s="8"/>
      <c r="C750" t="s" s="8"/>
      <c r="D750" t="s" s="8"/>
      <c r="E750" t="s" s="8"/>
      <c r="F750" t="s" s="8"/>
      <c r="G750" t="s" s="8"/>
      <c r="H750" t="s" s="8"/>
      <c r="I750" t="s" s="8"/>
      <c r="J750" t="s" s="8"/>
      <c r="K750" t="s" s="8"/>
      <c r="L750" t="s" s="8"/>
    </row>
    <row r="751" ht="15.75" customHeight="true">
      <c r="A751" t="s" s="15"/>
      <c r="B751" t="s" s="8"/>
      <c r="C751" t="s" s="8"/>
      <c r="D751" t="s" s="8"/>
      <c r="E751" t="s" s="8"/>
      <c r="F751" t="s" s="8"/>
      <c r="G751" t="s" s="8"/>
      <c r="H751" t="s" s="8"/>
      <c r="I751" t="s" s="8"/>
      <c r="J751" t="s" s="8"/>
      <c r="K751" t="s" s="8"/>
      <c r="L751" t="s" s="8"/>
    </row>
    <row r="752" ht="15.75" customHeight="true">
      <c r="A752" t="s" s="15"/>
      <c r="B752" t="s" s="8"/>
      <c r="C752" t="s" s="8"/>
      <c r="D752" t="s" s="8"/>
      <c r="E752" t="s" s="8"/>
      <c r="F752" t="s" s="8"/>
      <c r="G752" t="s" s="8"/>
      <c r="H752" t="s" s="8"/>
      <c r="I752" t="s" s="8"/>
      <c r="J752" t="s" s="8"/>
      <c r="K752" t="s" s="8"/>
      <c r="L752" t="s" s="8"/>
    </row>
    <row r="753" ht="15.75" customHeight="true">
      <c r="A753" t="s" s="15"/>
      <c r="B753" t="s" s="8"/>
      <c r="C753" t="s" s="8"/>
      <c r="D753" t="s" s="8"/>
      <c r="E753" t="s" s="8"/>
      <c r="F753" t="s" s="8"/>
      <c r="G753" t="s" s="8"/>
      <c r="H753" t="s" s="8"/>
      <c r="I753" t="s" s="8"/>
      <c r="J753" t="s" s="8"/>
      <c r="K753" t="s" s="8"/>
      <c r="L753" t="s" s="8"/>
    </row>
    <row r="754" ht="15.75" customHeight="true">
      <c r="A754" t="s" s="15"/>
      <c r="B754" t="s" s="8"/>
      <c r="C754" t="s" s="8"/>
      <c r="D754" t="s" s="8"/>
      <c r="E754" t="s" s="8"/>
      <c r="F754" t="s" s="8"/>
      <c r="G754" t="s" s="8"/>
      <c r="H754" t="s" s="8"/>
      <c r="I754" t="s" s="8"/>
      <c r="J754" t="s" s="8"/>
      <c r="K754" t="s" s="8"/>
      <c r="L754" t="s" s="8"/>
    </row>
    <row r="755" ht="15.75" customHeight="true">
      <c r="A755" t="s" s="15"/>
      <c r="B755" t="s" s="8"/>
      <c r="C755" t="s" s="8"/>
      <c r="D755" t="s" s="8"/>
      <c r="E755" t="s" s="8"/>
      <c r="F755" t="s" s="8"/>
      <c r="G755" t="s" s="8"/>
      <c r="H755" t="s" s="8"/>
      <c r="I755" t="s" s="8"/>
      <c r="J755" t="s" s="8"/>
      <c r="K755" t="s" s="8"/>
      <c r="L755" t="s" s="8"/>
    </row>
    <row r="756" ht="15.75" customHeight="true">
      <c r="A756" t="s" s="15"/>
      <c r="B756" t="s" s="8"/>
      <c r="C756" t="s" s="8"/>
      <c r="D756" t="s" s="8"/>
      <c r="E756" t="s" s="8"/>
      <c r="F756" t="s" s="8"/>
      <c r="G756" t="s" s="8"/>
      <c r="H756" t="s" s="8"/>
      <c r="I756" t="s" s="8"/>
      <c r="J756" t="s" s="8"/>
      <c r="K756" t="s" s="8"/>
      <c r="L756" t="s" s="8"/>
    </row>
    <row r="757" ht="15.75" customHeight="true">
      <c r="A757" t="s" s="15"/>
      <c r="B757" t="s" s="8"/>
      <c r="C757" t="s" s="8"/>
      <c r="D757" t="s" s="8"/>
      <c r="E757" t="s" s="8"/>
      <c r="F757" t="s" s="8"/>
      <c r="G757" t="s" s="8"/>
      <c r="H757" t="s" s="8"/>
      <c r="I757" t="s" s="8"/>
      <c r="J757" t="s" s="8"/>
      <c r="K757" t="s" s="8"/>
      <c r="L757" t="s" s="8"/>
    </row>
    <row r="758" ht="15.75" customHeight="true">
      <c r="A758" t="s" s="15"/>
      <c r="B758" t="s" s="8"/>
      <c r="C758" t="s" s="8"/>
      <c r="D758" t="s" s="8"/>
      <c r="E758" t="s" s="8"/>
      <c r="F758" t="s" s="8"/>
      <c r="G758" t="s" s="8"/>
      <c r="H758" t="s" s="8"/>
      <c r="I758" t="s" s="8"/>
      <c r="J758" t="s" s="8"/>
      <c r="K758" t="s" s="8"/>
      <c r="L758" t="s" s="8"/>
    </row>
    <row r="759" ht="15.75" customHeight="true">
      <c r="A759" t="s" s="15"/>
      <c r="B759" t="s" s="8"/>
      <c r="C759" t="s" s="8"/>
      <c r="D759" t="s" s="8"/>
      <c r="E759" t="s" s="8"/>
      <c r="F759" t="s" s="8"/>
      <c r="G759" t="s" s="8"/>
      <c r="H759" t="s" s="8"/>
      <c r="I759" t="s" s="8"/>
      <c r="J759" t="s" s="8"/>
      <c r="K759" t="s" s="8"/>
      <c r="L759" t="s" s="8"/>
    </row>
    <row r="760" ht="15.75" customHeight="true">
      <c r="A760" t="s" s="15"/>
      <c r="B760" t="s" s="8"/>
      <c r="C760" t="s" s="8"/>
      <c r="D760" t="s" s="8"/>
      <c r="E760" t="s" s="8"/>
      <c r="F760" t="s" s="8"/>
      <c r="G760" t="s" s="8"/>
      <c r="H760" t="s" s="8"/>
      <c r="I760" t="s" s="8"/>
      <c r="J760" t="s" s="8"/>
      <c r="K760" t="s" s="8"/>
      <c r="L760" t="s" s="8"/>
    </row>
    <row r="761" ht="15.75" customHeight="true">
      <c r="A761" t="s" s="15"/>
      <c r="B761" t="s" s="8"/>
      <c r="C761" t="s" s="8"/>
      <c r="D761" t="s" s="8"/>
      <c r="E761" t="s" s="8"/>
      <c r="F761" t="s" s="8"/>
      <c r="G761" t="s" s="8"/>
      <c r="H761" t="s" s="8"/>
      <c r="I761" t="s" s="8"/>
      <c r="J761" t="s" s="8"/>
      <c r="K761" t="s" s="8"/>
      <c r="L761" t="s" s="8"/>
    </row>
    <row r="762" ht="15.75" customHeight="true">
      <c r="A762" t="s" s="15"/>
      <c r="B762" t="s" s="8"/>
      <c r="C762" t="s" s="8"/>
      <c r="D762" t="s" s="8"/>
      <c r="E762" t="s" s="8"/>
      <c r="F762" t="s" s="8"/>
      <c r="G762" t="s" s="8"/>
      <c r="H762" t="s" s="8"/>
      <c r="I762" t="s" s="8"/>
      <c r="J762" t="s" s="8"/>
      <c r="K762" t="s" s="8"/>
      <c r="L762" t="s" s="8"/>
    </row>
    <row r="763" ht="15.75" customHeight="true">
      <c r="A763" t="s" s="15"/>
      <c r="B763" t="s" s="8"/>
      <c r="C763" t="s" s="8"/>
      <c r="D763" t="s" s="8"/>
      <c r="E763" t="s" s="8"/>
      <c r="F763" t="s" s="8"/>
      <c r="G763" t="s" s="8"/>
      <c r="H763" t="s" s="8"/>
      <c r="I763" t="s" s="8"/>
      <c r="J763" t="s" s="8"/>
      <c r="K763" t="s" s="8"/>
      <c r="L763" t="s" s="8"/>
    </row>
    <row r="764" ht="15.75" customHeight="true">
      <c r="A764" t="s" s="15"/>
      <c r="B764" t="s" s="8"/>
      <c r="C764" t="s" s="8"/>
      <c r="D764" t="s" s="8"/>
      <c r="E764" t="s" s="8"/>
      <c r="F764" t="s" s="8"/>
      <c r="G764" t="s" s="8"/>
      <c r="H764" t="s" s="8"/>
      <c r="I764" t="s" s="8"/>
      <c r="J764" t="s" s="8"/>
      <c r="K764" t="s" s="8"/>
      <c r="L764" t="s" s="8"/>
    </row>
    <row r="765" ht="15.75" customHeight="true">
      <c r="A765" t="s" s="15"/>
      <c r="B765" t="s" s="8"/>
      <c r="C765" t="s" s="8"/>
      <c r="D765" t="s" s="8"/>
      <c r="E765" t="s" s="8"/>
      <c r="F765" t="s" s="8"/>
      <c r="G765" t="s" s="8"/>
      <c r="H765" t="s" s="8"/>
      <c r="I765" t="s" s="8"/>
      <c r="J765" t="s" s="8"/>
      <c r="K765" t="s" s="8"/>
      <c r="L765" t="s" s="8"/>
    </row>
    <row r="766" ht="15.75" customHeight="true">
      <c r="A766" t="s" s="15"/>
      <c r="B766" t="s" s="8"/>
      <c r="C766" t="s" s="8"/>
      <c r="D766" t="s" s="8"/>
      <c r="E766" t="s" s="8"/>
      <c r="F766" t="s" s="8"/>
      <c r="G766" t="s" s="8"/>
      <c r="H766" t="s" s="8"/>
      <c r="I766" t="s" s="8"/>
      <c r="J766" t="s" s="8"/>
      <c r="K766" t="s" s="8"/>
      <c r="L766" t="s" s="8"/>
    </row>
    <row r="767" ht="15.75" customHeight="true">
      <c r="A767" t="s" s="15"/>
      <c r="B767" t="s" s="8"/>
      <c r="C767" t="s" s="8"/>
      <c r="D767" t="s" s="8"/>
      <c r="E767" t="s" s="8"/>
      <c r="F767" t="s" s="8"/>
      <c r="G767" t="s" s="8"/>
      <c r="H767" t="s" s="8"/>
      <c r="I767" t="s" s="8"/>
      <c r="J767" t="s" s="8"/>
      <c r="K767" t="s" s="8"/>
      <c r="L767" t="s" s="8"/>
    </row>
    <row r="768" ht="15.75" customHeight="true">
      <c r="A768" t="s" s="15"/>
      <c r="B768" t="s" s="8"/>
      <c r="C768" t="s" s="8"/>
      <c r="D768" t="s" s="8"/>
      <c r="E768" t="s" s="8"/>
      <c r="F768" t="s" s="8"/>
      <c r="G768" t="s" s="8"/>
      <c r="H768" t="s" s="8"/>
      <c r="I768" t="s" s="8"/>
      <c r="J768" t="s" s="8"/>
      <c r="K768" t="s" s="8"/>
      <c r="L768" t="s" s="8"/>
    </row>
    <row r="769" ht="15.75" customHeight="true">
      <c r="A769" t="s" s="15"/>
      <c r="B769" t="s" s="8"/>
      <c r="C769" t="s" s="8"/>
      <c r="D769" t="s" s="8"/>
      <c r="E769" t="s" s="8"/>
      <c r="F769" t="s" s="8"/>
      <c r="G769" t="s" s="8"/>
      <c r="H769" t="s" s="8"/>
      <c r="I769" t="s" s="8"/>
      <c r="J769" t="s" s="8"/>
      <c r="K769" t="s" s="8"/>
      <c r="L769" t="s" s="8"/>
    </row>
    <row r="770" ht="15.75" customHeight="true">
      <c r="A770" t="s" s="15"/>
      <c r="B770" t="s" s="8"/>
      <c r="C770" t="s" s="8"/>
      <c r="D770" t="s" s="8"/>
      <c r="E770" t="s" s="8"/>
      <c r="F770" t="s" s="8"/>
      <c r="G770" t="s" s="8"/>
      <c r="H770" t="s" s="8"/>
      <c r="I770" t="s" s="8"/>
      <c r="J770" t="s" s="8"/>
      <c r="K770" t="s" s="8"/>
      <c r="L770" t="s" s="8"/>
    </row>
    <row r="771" ht="15.75" customHeight="true">
      <c r="A771" t="s" s="15"/>
      <c r="B771" t="s" s="8"/>
      <c r="C771" t="s" s="8"/>
      <c r="D771" t="s" s="8"/>
      <c r="E771" t="s" s="8"/>
      <c r="F771" t="s" s="8"/>
      <c r="G771" t="s" s="8"/>
      <c r="H771" t="s" s="8"/>
      <c r="I771" t="s" s="8"/>
      <c r="J771" t="s" s="8"/>
      <c r="K771" t="s" s="8"/>
      <c r="L771" t="s" s="8"/>
    </row>
    <row r="772" ht="15.75" customHeight="true">
      <c r="A772" t="s" s="15"/>
      <c r="B772" t="s" s="8"/>
      <c r="C772" t="s" s="8"/>
      <c r="D772" t="s" s="8"/>
      <c r="E772" t="s" s="8"/>
      <c r="F772" t="s" s="8"/>
      <c r="G772" t="s" s="8"/>
      <c r="H772" t="s" s="8"/>
      <c r="I772" t="s" s="8"/>
      <c r="J772" t="s" s="8"/>
      <c r="K772" t="s" s="8"/>
      <c r="L772" t="s" s="8"/>
    </row>
    <row r="773" ht="15.75" customHeight="true">
      <c r="A773" t="s" s="15"/>
      <c r="B773" t="s" s="8"/>
      <c r="C773" t="s" s="8"/>
      <c r="D773" t="s" s="8"/>
      <c r="E773" t="s" s="8"/>
      <c r="F773" t="s" s="8"/>
      <c r="G773" t="s" s="8"/>
      <c r="H773" t="s" s="8"/>
      <c r="I773" t="s" s="8"/>
      <c r="J773" t="s" s="8"/>
      <c r="K773" t="s" s="8"/>
      <c r="L773" t="s" s="8"/>
    </row>
    <row r="774" ht="15.75" customHeight="true">
      <c r="A774" t="s" s="15"/>
      <c r="B774" t="s" s="8"/>
      <c r="C774" t="s" s="8"/>
      <c r="D774" t="s" s="8"/>
      <c r="E774" t="s" s="8"/>
      <c r="F774" t="s" s="8"/>
      <c r="G774" t="s" s="8"/>
      <c r="H774" t="s" s="8"/>
      <c r="I774" t="s" s="8"/>
      <c r="J774" t="s" s="8"/>
      <c r="K774" t="s" s="8"/>
      <c r="L774" t="s" s="8"/>
    </row>
    <row r="775" ht="15.75" customHeight="true">
      <c r="A775" t="s" s="15"/>
      <c r="B775" t="s" s="8"/>
      <c r="C775" t="s" s="8"/>
      <c r="D775" t="s" s="8"/>
      <c r="E775" t="s" s="8"/>
      <c r="F775" t="s" s="8"/>
      <c r="G775" t="s" s="8"/>
      <c r="H775" t="s" s="8"/>
      <c r="I775" t="s" s="8"/>
      <c r="J775" t="s" s="8"/>
      <c r="K775" t="s" s="8"/>
      <c r="L775" t="s" s="8"/>
    </row>
    <row r="776" ht="15.75" customHeight="true">
      <c r="A776" t="s" s="15"/>
      <c r="B776" t="s" s="8"/>
      <c r="C776" t="s" s="8"/>
      <c r="D776" t="s" s="8"/>
      <c r="E776" t="s" s="8"/>
      <c r="F776" t="s" s="8"/>
      <c r="G776" t="s" s="8"/>
      <c r="H776" t="s" s="8"/>
      <c r="I776" t="s" s="8"/>
      <c r="J776" t="s" s="8"/>
      <c r="K776" t="s" s="8"/>
      <c r="L776" t="s" s="8"/>
    </row>
    <row r="777" ht="15.75" customHeight="true">
      <c r="A777" t="s" s="15"/>
      <c r="B777" t="s" s="8"/>
      <c r="C777" t="s" s="8"/>
      <c r="D777" t="s" s="8"/>
      <c r="E777" t="s" s="8"/>
      <c r="F777" t="s" s="8"/>
      <c r="G777" t="s" s="8"/>
      <c r="H777" t="s" s="8"/>
      <c r="I777" t="s" s="8"/>
      <c r="J777" t="s" s="8"/>
      <c r="K777" t="s" s="8"/>
      <c r="L777" t="s" s="8"/>
    </row>
    <row r="778" ht="15.75" customHeight="true">
      <c r="A778" t="s" s="15"/>
      <c r="B778" t="s" s="8"/>
      <c r="C778" t="s" s="8"/>
      <c r="D778" t="s" s="8"/>
      <c r="E778" t="s" s="8"/>
      <c r="F778" t="s" s="8"/>
      <c r="G778" t="s" s="8"/>
      <c r="H778" t="s" s="8"/>
      <c r="I778" t="s" s="8"/>
      <c r="J778" t="s" s="8"/>
      <c r="K778" t="s" s="8"/>
      <c r="L778" t="s" s="8"/>
    </row>
    <row r="779" ht="15.75" customHeight="true">
      <c r="A779" t="s" s="15"/>
      <c r="B779" t="s" s="8"/>
      <c r="C779" t="s" s="8"/>
      <c r="D779" t="s" s="8"/>
      <c r="E779" t="s" s="8"/>
      <c r="F779" t="s" s="8"/>
      <c r="G779" t="s" s="8"/>
      <c r="H779" t="s" s="8"/>
      <c r="I779" t="s" s="8"/>
      <c r="J779" t="s" s="8"/>
      <c r="K779" t="s" s="8"/>
      <c r="L779" t="s" s="8"/>
    </row>
    <row r="780" ht="15.75" customHeight="true">
      <c r="A780" t="s" s="15"/>
      <c r="B780" t="s" s="8"/>
      <c r="C780" t="s" s="8"/>
      <c r="D780" t="s" s="8"/>
      <c r="E780" t="s" s="8"/>
      <c r="F780" t="s" s="8"/>
      <c r="G780" t="s" s="8"/>
      <c r="H780" t="s" s="8"/>
      <c r="I780" t="s" s="8"/>
      <c r="J780" t="s" s="8"/>
      <c r="K780" t="s" s="8"/>
      <c r="L780" t="s" s="8"/>
    </row>
    <row r="781" ht="15.75" customHeight="true">
      <c r="A781" t="s" s="15"/>
      <c r="B781" t="s" s="8"/>
      <c r="C781" t="s" s="8"/>
      <c r="D781" t="s" s="8"/>
      <c r="E781" t="s" s="8"/>
      <c r="F781" t="s" s="8"/>
      <c r="G781" t="s" s="8"/>
      <c r="H781" t="s" s="8"/>
      <c r="I781" t="s" s="8"/>
      <c r="J781" t="s" s="8"/>
      <c r="K781" t="s" s="8"/>
      <c r="L781" t="s" s="8"/>
    </row>
    <row r="782" ht="15.75" customHeight="true">
      <c r="A782" t="s" s="15"/>
      <c r="B782" t="s" s="8"/>
      <c r="C782" t="s" s="8"/>
      <c r="D782" t="s" s="8"/>
      <c r="E782" t="s" s="8"/>
      <c r="F782" t="s" s="8"/>
      <c r="G782" t="s" s="8"/>
      <c r="H782" t="s" s="8"/>
      <c r="I782" t="s" s="8"/>
      <c r="J782" t="s" s="8"/>
      <c r="K782" t="s" s="8"/>
      <c r="L782" t="s" s="8"/>
    </row>
    <row r="783" ht="15.75" customHeight="true">
      <c r="A783" t="s" s="15"/>
      <c r="B783" t="s" s="8"/>
      <c r="C783" t="s" s="8"/>
      <c r="D783" t="s" s="8"/>
      <c r="E783" t="s" s="8"/>
      <c r="F783" t="s" s="8"/>
      <c r="G783" t="s" s="8"/>
      <c r="H783" t="s" s="8"/>
      <c r="I783" t="s" s="8"/>
      <c r="J783" t="s" s="8"/>
      <c r="K783" t="s" s="8"/>
      <c r="L783" t="s" s="8"/>
    </row>
    <row r="784" ht="15.75" customHeight="true">
      <c r="A784" t="s" s="15"/>
      <c r="B784" t="s" s="8"/>
      <c r="C784" t="s" s="8"/>
      <c r="D784" t="s" s="8"/>
      <c r="E784" t="s" s="8"/>
      <c r="F784" t="s" s="8"/>
      <c r="G784" t="s" s="8"/>
      <c r="H784" t="s" s="8"/>
      <c r="I784" t="s" s="8"/>
      <c r="J784" t="s" s="8"/>
      <c r="K784" t="s" s="8"/>
      <c r="L784" t="s" s="8"/>
    </row>
    <row r="785" ht="15.75" customHeight="true">
      <c r="A785" t="s" s="15"/>
      <c r="B785" t="s" s="8"/>
      <c r="C785" t="s" s="8"/>
      <c r="D785" t="s" s="8"/>
      <c r="E785" t="s" s="8"/>
      <c r="F785" t="s" s="8"/>
      <c r="G785" t="s" s="8"/>
      <c r="H785" t="s" s="8"/>
      <c r="I785" t="s" s="8"/>
      <c r="J785" t="s" s="8"/>
      <c r="K785" t="s" s="8"/>
      <c r="L785" t="s" s="8"/>
    </row>
    <row r="786" ht="15.75" customHeight="true">
      <c r="A786" t="s" s="15"/>
      <c r="B786" t="s" s="8"/>
      <c r="C786" t="s" s="8"/>
      <c r="D786" t="s" s="8"/>
      <c r="E786" t="s" s="8"/>
      <c r="F786" t="s" s="8"/>
      <c r="G786" t="s" s="8"/>
      <c r="H786" t="s" s="8"/>
      <c r="I786" t="s" s="8"/>
      <c r="J786" t="s" s="8"/>
      <c r="K786" t="s" s="8"/>
      <c r="L786" t="s" s="8"/>
    </row>
    <row r="787" ht="15.75" customHeight="true">
      <c r="A787" t="s" s="15"/>
      <c r="B787" t="s" s="8"/>
      <c r="C787" t="s" s="8"/>
      <c r="D787" t="s" s="8"/>
      <c r="E787" t="s" s="8"/>
      <c r="F787" t="s" s="8"/>
      <c r="G787" t="s" s="8"/>
      <c r="H787" t="s" s="8"/>
      <c r="I787" t="s" s="8"/>
      <c r="J787" t="s" s="8"/>
      <c r="K787" t="s" s="8"/>
      <c r="L787" t="s" s="8"/>
    </row>
    <row r="788" ht="15.75" customHeight="true">
      <c r="A788" t="s" s="15"/>
      <c r="B788" t="s" s="8"/>
      <c r="C788" t="s" s="8"/>
      <c r="D788" t="s" s="8"/>
      <c r="E788" t="s" s="8"/>
      <c r="F788" t="s" s="8"/>
      <c r="G788" t="s" s="8"/>
      <c r="H788" t="s" s="8"/>
      <c r="I788" t="s" s="8"/>
      <c r="J788" t="s" s="8"/>
      <c r="K788" t="s" s="8"/>
      <c r="L788" t="s" s="8"/>
    </row>
    <row r="789" ht="15.75" customHeight="true">
      <c r="A789" t="s" s="15"/>
      <c r="B789" t="s" s="8"/>
      <c r="C789" t="s" s="8"/>
      <c r="D789" t="s" s="8"/>
      <c r="E789" t="s" s="8"/>
      <c r="F789" t="s" s="8"/>
      <c r="G789" t="s" s="8"/>
      <c r="H789" t="s" s="8"/>
      <c r="I789" t="s" s="8"/>
      <c r="J789" t="s" s="8"/>
      <c r="K789" t="s" s="8"/>
      <c r="L789" t="s" s="8"/>
    </row>
    <row r="790" ht="15.75" customHeight="true">
      <c r="A790" t="s" s="15"/>
      <c r="B790" t="s" s="8"/>
      <c r="C790" t="s" s="8"/>
      <c r="D790" t="s" s="8"/>
      <c r="E790" t="s" s="8"/>
      <c r="F790" t="s" s="8"/>
      <c r="G790" t="s" s="8"/>
      <c r="H790" t="s" s="8"/>
      <c r="I790" t="s" s="8"/>
      <c r="J790" t="s" s="8"/>
      <c r="K790" t="s" s="8"/>
      <c r="L790" t="s" s="8"/>
    </row>
    <row r="791" ht="15.75" customHeight="true">
      <c r="A791" t="s" s="15"/>
      <c r="B791" t="s" s="8"/>
      <c r="C791" t="s" s="8"/>
      <c r="D791" t="s" s="8"/>
      <c r="E791" t="s" s="8"/>
      <c r="F791" t="s" s="8"/>
      <c r="G791" t="s" s="8"/>
      <c r="H791" t="s" s="8"/>
      <c r="I791" t="s" s="8"/>
      <c r="J791" t="s" s="8"/>
      <c r="K791" t="s" s="8"/>
      <c r="L791" t="s" s="8"/>
    </row>
    <row r="792" ht="15.75" customHeight="true">
      <c r="A792" t="s" s="15"/>
      <c r="B792" t="s" s="8"/>
      <c r="C792" t="s" s="8"/>
      <c r="D792" t="s" s="8"/>
      <c r="E792" t="s" s="8"/>
      <c r="F792" t="s" s="8"/>
      <c r="G792" t="s" s="8"/>
      <c r="H792" t="s" s="8"/>
      <c r="I792" t="s" s="8"/>
      <c r="J792" t="s" s="8"/>
      <c r="K792" t="s" s="8"/>
      <c r="L792" t="s" s="8"/>
    </row>
    <row r="793" ht="15.75" customHeight="true">
      <c r="A793" t="s" s="15"/>
      <c r="B793" t="s" s="8"/>
      <c r="C793" t="s" s="8"/>
      <c r="D793" t="s" s="8"/>
      <c r="E793" t="s" s="8"/>
      <c r="F793" t="s" s="8"/>
      <c r="G793" t="s" s="8"/>
      <c r="H793" t="s" s="8"/>
      <c r="I793" t="s" s="8"/>
      <c r="J793" t="s" s="8"/>
      <c r="K793" t="s" s="8"/>
      <c r="L793" t="s" s="8"/>
    </row>
    <row r="794" ht="15.75" customHeight="true">
      <c r="A794" t="s" s="15"/>
      <c r="B794" t="s" s="8"/>
      <c r="C794" t="s" s="8"/>
      <c r="D794" t="s" s="8"/>
      <c r="E794" t="s" s="8"/>
      <c r="F794" t="s" s="8"/>
      <c r="G794" t="s" s="8"/>
      <c r="H794" t="s" s="8"/>
      <c r="I794" t="s" s="8"/>
      <c r="J794" t="s" s="8"/>
      <c r="K794" t="s" s="8"/>
      <c r="L794" t="s" s="8"/>
    </row>
    <row r="795" ht="15.75" customHeight="true">
      <c r="A795" t="s" s="15"/>
      <c r="B795" t="s" s="8"/>
      <c r="C795" t="s" s="8"/>
      <c r="D795" t="s" s="8"/>
      <c r="E795" t="s" s="8"/>
      <c r="F795" t="s" s="8"/>
      <c r="G795" t="s" s="8"/>
      <c r="H795" t="s" s="8"/>
      <c r="I795" t="s" s="8"/>
      <c r="J795" t="s" s="8"/>
      <c r="K795" t="s" s="8"/>
      <c r="L795" t="s" s="8"/>
    </row>
    <row r="796" ht="15.75" customHeight="true">
      <c r="A796" t="s" s="15"/>
      <c r="B796" t="s" s="8"/>
      <c r="C796" t="s" s="8"/>
      <c r="D796" t="s" s="8"/>
      <c r="E796" t="s" s="8"/>
      <c r="F796" t="s" s="8"/>
      <c r="G796" t="s" s="8"/>
      <c r="H796" t="s" s="8"/>
      <c r="I796" t="s" s="8"/>
      <c r="J796" t="s" s="8"/>
      <c r="K796" t="s" s="8"/>
      <c r="L796" t="s" s="8"/>
    </row>
    <row r="797" ht="15.75" customHeight="true">
      <c r="A797" t="s" s="15"/>
      <c r="B797" t="s" s="8"/>
      <c r="C797" t="s" s="8"/>
      <c r="D797" t="s" s="8"/>
      <c r="E797" t="s" s="8"/>
      <c r="F797" t="s" s="8"/>
      <c r="G797" t="s" s="8"/>
      <c r="H797" t="s" s="8"/>
      <c r="I797" t="s" s="8"/>
      <c r="J797" t="s" s="8"/>
      <c r="K797" t="s" s="8"/>
      <c r="L797" t="s" s="8"/>
    </row>
    <row r="798" ht="15.75" customHeight="true">
      <c r="A798" t="s" s="15"/>
      <c r="B798" t="s" s="8"/>
      <c r="C798" t="s" s="8"/>
      <c r="D798" t="s" s="8"/>
      <c r="E798" t="s" s="8"/>
      <c r="F798" t="s" s="8"/>
      <c r="G798" t="s" s="8"/>
      <c r="H798" t="s" s="8"/>
      <c r="I798" t="s" s="8"/>
      <c r="J798" t="s" s="8"/>
      <c r="K798" t="s" s="8"/>
      <c r="L798" t="s" s="8"/>
    </row>
    <row r="799" ht="15.75" customHeight="true">
      <c r="A799" t="s" s="15"/>
      <c r="B799" t="s" s="8"/>
      <c r="C799" t="s" s="8"/>
      <c r="D799" t="s" s="8"/>
      <c r="E799" t="s" s="8"/>
      <c r="F799" t="s" s="8"/>
      <c r="G799" t="s" s="8"/>
      <c r="H799" t="s" s="8"/>
      <c r="I799" t="s" s="8"/>
      <c r="J799" t="s" s="8"/>
      <c r="K799" t="s" s="8"/>
      <c r="L799" t="s" s="8"/>
    </row>
    <row r="800" ht="15.75" customHeight="true">
      <c r="A800" t="s" s="15"/>
      <c r="B800" t="s" s="8"/>
      <c r="C800" t="s" s="8"/>
      <c r="D800" t="s" s="8"/>
      <c r="E800" t="s" s="8"/>
      <c r="F800" t="s" s="8"/>
      <c r="G800" t="s" s="8"/>
      <c r="H800" t="s" s="8"/>
      <c r="I800" t="s" s="8"/>
      <c r="J800" t="s" s="8"/>
      <c r="K800" t="s" s="8"/>
      <c r="L800" t="s" s="8"/>
    </row>
    <row r="801" ht="15.75" customHeight="true">
      <c r="A801" t="s" s="15"/>
      <c r="B801" t="s" s="8"/>
      <c r="C801" t="s" s="8"/>
      <c r="D801" t="s" s="8"/>
      <c r="E801" t="s" s="8"/>
      <c r="F801" t="s" s="8"/>
      <c r="G801" t="s" s="8"/>
      <c r="H801" t="s" s="8"/>
      <c r="I801" t="s" s="8"/>
      <c r="J801" t="s" s="8"/>
      <c r="K801" t="s" s="8"/>
      <c r="L801" t="s" s="8"/>
    </row>
    <row r="802" ht="15.75" customHeight="true">
      <c r="A802" t="s" s="15"/>
      <c r="B802" t="s" s="8"/>
      <c r="C802" t="s" s="8"/>
      <c r="D802" t="s" s="8"/>
      <c r="E802" t="s" s="8"/>
      <c r="F802" t="s" s="8"/>
      <c r="G802" t="s" s="8"/>
      <c r="H802" t="s" s="8"/>
      <c r="I802" t="s" s="8"/>
      <c r="J802" t="s" s="8"/>
      <c r="K802" t="s" s="8"/>
      <c r="L802" t="s" s="8"/>
    </row>
    <row r="803" ht="15.75" customHeight="true">
      <c r="A803" t="s" s="15"/>
      <c r="B803" t="s" s="8"/>
      <c r="C803" t="s" s="8"/>
      <c r="D803" t="s" s="8"/>
      <c r="E803" t="s" s="8"/>
      <c r="F803" t="s" s="8"/>
      <c r="G803" t="s" s="8"/>
      <c r="H803" t="s" s="8"/>
      <c r="I803" t="s" s="8"/>
      <c r="J803" t="s" s="8"/>
      <c r="K803" t="s" s="8"/>
      <c r="L803" t="s" s="8"/>
    </row>
    <row r="804" ht="15.75" customHeight="true">
      <c r="A804" t="s" s="15"/>
      <c r="B804" t="s" s="8"/>
      <c r="C804" t="s" s="8"/>
      <c r="D804" t="s" s="8"/>
      <c r="E804" t="s" s="8"/>
      <c r="F804" t="s" s="8"/>
      <c r="G804" t="s" s="8"/>
      <c r="H804" t="s" s="8"/>
      <c r="I804" t="s" s="8"/>
      <c r="J804" t="s" s="8"/>
      <c r="K804" t="s" s="8"/>
      <c r="L804" t="s" s="8"/>
    </row>
    <row r="805" ht="15.75" customHeight="true">
      <c r="A805" t="s" s="15"/>
      <c r="B805" t="s" s="8"/>
      <c r="C805" t="s" s="8"/>
      <c r="D805" t="s" s="8"/>
      <c r="E805" t="s" s="8"/>
      <c r="F805" t="s" s="8"/>
      <c r="G805" t="s" s="8"/>
      <c r="H805" t="s" s="8"/>
      <c r="I805" t="s" s="8"/>
      <c r="J805" t="s" s="8"/>
      <c r="K805" t="s" s="8"/>
      <c r="L805" t="s" s="8"/>
    </row>
    <row r="806" ht="15.75" customHeight="true">
      <c r="A806" t="s" s="15"/>
      <c r="B806" t="s" s="8"/>
      <c r="C806" t="s" s="8"/>
      <c r="D806" t="s" s="8"/>
      <c r="E806" t="s" s="8"/>
      <c r="F806" t="s" s="8"/>
      <c r="G806" t="s" s="8"/>
      <c r="H806" t="s" s="8"/>
      <c r="I806" t="s" s="8"/>
      <c r="J806" t="s" s="8"/>
      <c r="K806" t="s" s="8"/>
      <c r="L806" t="s" s="8"/>
    </row>
    <row r="807" ht="15.75" customHeight="true">
      <c r="A807" t="s" s="15"/>
      <c r="B807" t="s" s="8"/>
      <c r="C807" t="s" s="8"/>
      <c r="D807" t="s" s="8"/>
      <c r="E807" t="s" s="8"/>
      <c r="F807" t="s" s="8"/>
      <c r="G807" t="s" s="8"/>
      <c r="H807" t="s" s="8"/>
      <c r="I807" t="s" s="8"/>
      <c r="J807" t="s" s="8"/>
      <c r="K807" t="s" s="8"/>
      <c r="L807" t="s" s="8"/>
    </row>
    <row r="808" ht="15.75" customHeight="true">
      <c r="A808" t="s" s="15"/>
      <c r="B808" t="s" s="8"/>
      <c r="C808" t="s" s="8"/>
      <c r="D808" t="s" s="8"/>
      <c r="E808" t="s" s="8"/>
      <c r="F808" t="s" s="8"/>
      <c r="G808" t="s" s="8"/>
      <c r="H808" t="s" s="8"/>
      <c r="I808" t="s" s="8"/>
      <c r="J808" t="s" s="8"/>
      <c r="K808" t="s" s="8"/>
      <c r="L808" t="s" s="8"/>
    </row>
    <row r="809" ht="15.75" customHeight="true">
      <c r="A809" t="s" s="15"/>
      <c r="B809" t="s" s="8"/>
      <c r="C809" t="s" s="8"/>
      <c r="D809" t="s" s="8"/>
      <c r="E809" t="s" s="8"/>
      <c r="F809" t="s" s="8"/>
      <c r="G809" t="s" s="8"/>
      <c r="H809" t="s" s="8"/>
      <c r="I809" t="s" s="8"/>
      <c r="J809" t="s" s="8"/>
      <c r="K809" t="s" s="8"/>
      <c r="L809" t="s" s="8"/>
    </row>
    <row r="810" ht="15.75" customHeight="true">
      <c r="A810" t="s" s="15"/>
      <c r="B810" t="s" s="8"/>
      <c r="C810" t="s" s="8"/>
      <c r="D810" t="s" s="8"/>
      <c r="E810" t="s" s="8"/>
      <c r="F810" t="s" s="8"/>
      <c r="G810" t="s" s="8"/>
      <c r="H810" t="s" s="8"/>
      <c r="I810" t="s" s="8"/>
      <c r="J810" t="s" s="8"/>
      <c r="K810" t="s" s="8"/>
      <c r="L810" t="s" s="8"/>
    </row>
    <row r="811" ht="15.75" customHeight="true">
      <c r="A811" t="s" s="15"/>
      <c r="B811" t="s" s="8"/>
      <c r="C811" t="s" s="8"/>
      <c r="D811" t="s" s="8"/>
      <c r="E811" t="s" s="8"/>
      <c r="F811" t="s" s="8"/>
      <c r="G811" t="s" s="8"/>
      <c r="H811" t="s" s="8"/>
      <c r="I811" t="s" s="8"/>
      <c r="J811" t="s" s="8"/>
      <c r="K811" t="s" s="8"/>
      <c r="L811" t="s" s="8"/>
    </row>
    <row r="812" ht="15.75" customHeight="true">
      <c r="A812" t="s" s="15"/>
      <c r="B812" t="s" s="8"/>
      <c r="C812" t="s" s="8"/>
      <c r="D812" t="s" s="8"/>
      <c r="E812" t="s" s="8"/>
      <c r="F812" t="s" s="8"/>
      <c r="G812" t="s" s="8"/>
      <c r="H812" t="s" s="8"/>
      <c r="I812" t="s" s="8"/>
      <c r="J812" t="s" s="8"/>
      <c r="K812" t="s" s="8"/>
      <c r="L812" t="s" s="8"/>
    </row>
    <row r="813" ht="15.75" customHeight="true">
      <c r="A813" t="s" s="15"/>
      <c r="B813" t="s" s="8"/>
      <c r="C813" t="s" s="8"/>
      <c r="D813" t="s" s="8"/>
      <c r="E813" t="s" s="8"/>
      <c r="F813" t="s" s="8"/>
      <c r="G813" t="s" s="8"/>
      <c r="H813" t="s" s="8"/>
      <c r="I813" t="s" s="8"/>
      <c r="J813" t="s" s="8"/>
      <c r="K813" t="s" s="8"/>
      <c r="L813" t="s" s="8"/>
    </row>
    <row r="814" ht="15.75" customHeight="true">
      <c r="A814" t="s" s="15"/>
      <c r="B814" t="s" s="8"/>
      <c r="C814" t="s" s="8"/>
      <c r="D814" t="s" s="8"/>
      <c r="E814" t="s" s="8"/>
      <c r="F814" t="s" s="8"/>
      <c r="G814" t="s" s="8"/>
      <c r="H814" t="s" s="8"/>
      <c r="I814" t="s" s="8"/>
      <c r="J814" t="s" s="8"/>
      <c r="K814" t="s" s="8"/>
      <c r="L814" t="s" s="8"/>
    </row>
    <row r="815" ht="15.75" customHeight="true">
      <c r="A815" t="s" s="15"/>
      <c r="B815" t="s" s="8"/>
      <c r="C815" t="s" s="8"/>
      <c r="D815" t="s" s="8"/>
      <c r="E815" t="s" s="8"/>
      <c r="F815" t="s" s="8"/>
      <c r="G815" t="s" s="8"/>
      <c r="H815" t="s" s="8"/>
      <c r="I815" t="s" s="8"/>
      <c r="J815" t="s" s="8"/>
      <c r="K815" t="s" s="8"/>
      <c r="L815" t="s" s="8"/>
    </row>
    <row r="816" ht="15.75" customHeight="true">
      <c r="A816" t="s" s="15"/>
      <c r="B816" t="s" s="8"/>
      <c r="C816" t="s" s="8"/>
      <c r="D816" t="s" s="8"/>
      <c r="E816" t="s" s="8"/>
      <c r="F816" t="s" s="8"/>
      <c r="G816" t="s" s="8"/>
      <c r="H816" t="s" s="8"/>
      <c r="I816" t="s" s="8"/>
      <c r="J816" t="s" s="8"/>
      <c r="K816" t="s" s="8"/>
      <c r="L816" t="s" s="8"/>
    </row>
    <row r="817" ht="15.75" customHeight="true">
      <c r="A817" t="s" s="15"/>
      <c r="B817" t="s" s="8"/>
      <c r="C817" t="s" s="8"/>
      <c r="D817" t="s" s="8"/>
      <c r="E817" t="s" s="8"/>
      <c r="F817" t="s" s="8"/>
      <c r="G817" t="s" s="8"/>
      <c r="H817" t="s" s="8"/>
      <c r="I817" t="s" s="8"/>
      <c r="J817" t="s" s="8"/>
      <c r="K817" t="s" s="8"/>
      <c r="L817" t="s" s="8"/>
    </row>
    <row r="818" ht="15.75" customHeight="true">
      <c r="A818" t="s" s="15"/>
      <c r="B818" t="s" s="8"/>
      <c r="C818" t="s" s="8"/>
      <c r="D818" t="s" s="8"/>
      <c r="E818" t="s" s="8"/>
      <c r="F818" t="s" s="8"/>
      <c r="G818" t="s" s="8"/>
      <c r="H818" t="s" s="8"/>
      <c r="I818" t="s" s="8"/>
      <c r="J818" t="s" s="8"/>
      <c r="K818" t="s" s="8"/>
      <c r="L818" t="s" s="8"/>
    </row>
    <row r="819" ht="15.75" customHeight="true">
      <c r="A819" t="s" s="15"/>
      <c r="B819" t="s" s="8"/>
      <c r="C819" t="s" s="8"/>
      <c r="D819" t="s" s="8"/>
      <c r="E819" t="s" s="8"/>
      <c r="F819" t="s" s="8"/>
      <c r="G819" t="s" s="8"/>
      <c r="H819" t="s" s="8"/>
      <c r="I819" t="s" s="8"/>
      <c r="J819" t="s" s="8"/>
      <c r="K819" t="s" s="8"/>
      <c r="L819" t="s" s="8"/>
    </row>
    <row r="820" ht="15.75" customHeight="true">
      <c r="A820" t="s" s="15"/>
      <c r="B820" t="s" s="8"/>
      <c r="C820" t="s" s="8"/>
      <c r="D820" t="s" s="8"/>
      <c r="E820" t="s" s="8"/>
      <c r="F820" t="s" s="8"/>
      <c r="G820" t="s" s="8"/>
      <c r="H820" t="s" s="8"/>
      <c r="I820" t="s" s="8"/>
      <c r="J820" t="s" s="8"/>
      <c r="K820" t="s" s="8"/>
      <c r="L820" t="s" s="8"/>
    </row>
    <row r="821" ht="15.75" customHeight="true">
      <c r="A821" t="s" s="15"/>
      <c r="B821" t="s" s="8"/>
      <c r="C821" t="s" s="8"/>
      <c r="D821" t="s" s="8"/>
      <c r="E821" t="s" s="8"/>
      <c r="F821" t="s" s="8"/>
      <c r="G821" t="s" s="8"/>
      <c r="H821" t="s" s="8"/>
      <c r="I821" t="s" s="8"/>
      <c r="J821" t="s" s="8"/>
      <c r="K821" t="s" s="8"/>
      <c r="L821" t="s" s="8"/>
    </row>
    <row r="822" ht="15.75" customHeight="true">
      <c r="A822" t="s" s="15"/>
      <c r="B822" t="s" s="8"/>
      <c r="C822" t="s" s="8"/>
      <c r="D822" t="s" s="8"/>
      <c r="E822" t="s" s="8"/>
      <c r="F822" t="s" s="8"/>
      <c r="G822" t="s" s="8"/>
      <c r="H822" t="s" s="8"/>
      <c r="I822" t="s" s="8"/>
      <c r="J822" t="s" s="8"/>
      <c r="K822" t="s" s="8"/>
      <c r="L822" t="s" s="8"/>
    </row>
    <row r="823" ht="15.75" customHeight="true">
      <c r="A823" t="s" s="15"/>
      <c r="B823" t="s" s="8"/>
      <c r="C823" t="s" s="8"/>
      <c r="D823" t="s" s="8"/>
      <c r="E823" t="s" s="8"/>
      <c r="F823" t="s" s="8"/>
      <c r="G823" t="s" s="8"/>
      <c r="H823" t="s" s="8"/>
      <c r="I823" t="s" s="8"/>
      <c r="J823" t="s" s="8"/>
      <c r="K823" t="s" s="8"/>
      <c r="L823" t="s" s="8"/>
    </row>
    <row r="824" ht="15.75" customHeight="true">
      <c r="A824" t="s" s="15"/>
      <c r="B824" t="s" s="8"/>
      <c r="C824" t="s" s="8"/>
      <c r="D824" t="s" s="8"/>
      <c r="E824" t="s" s="8"/>
      <c r="F824" t="s" s="8"/>
      <c r="G824" t="s" s="8"/>
      <c r="H824" t="s" s="8"/>
      <c r="I824" t="s" s="8"/>
      <c r="J824" t="s" s="8"/>
      <c r="K824" t="s" s="8"/>
      <c r="L824" t="s" s="8"/>
    </row>
    <row r="825" ht="15.75" customHeight="true">
      <c r="A825" t="s" s="15"/>
      <c r="B825" t="s" s="8"/>
      <c r="C825" t="s" s="8"/>
      <c r="D825" t="s" s="8"/>
      <c r="E825" t="s" s="8"/>
      <c r="F825" t="s" s="8"/>
      <c r="G825" t="s" s="8"/>
      <c r="H825" t="s" s="8"/>
      <c r="I825" t="s" s="8"/>
      <c r="J825" t="s" s="8"/>
      <c r="K825" t="s" s="8"/>
      <c r="L825" t="s" s="8"/>
    </row>
    <row r="826" ht="15.75" customHeight="true">
      <c r="A826" t="s" s="15"/>
      <c r="B826" t="s" s="8"/>
      <c r="C826" t="s" s="8"/>
      <c r="D826" t="s" s="8"/>
      <c r="E826" t="s" s="8"/>
      <c r="F826" t="s" s="8"/>
      <c r="G826" t="s" s="8"/>
      <c r="H826" t="s" s="8"/>
      <c r="I826" t="s" s="8"/>
      <c r="J826" t="s" s="8"/>
      <c r="K826" t="s" s="8"/>
      <c r="L826" t="s" s="8"/>
    </row>
    <row r="827" ht="15.75" customHeight="true">
      <c r="A827" t="s" s="15"/>
      <c r="B827" t="s" s="8"/>
      <c r="C827" t="s" s="8"/>
      <c r="D827" t="s" s="8"/>
      <c r="E827" t="s" s="8"/>
      <c r="F827" t="s" s="8"/>
      <c r="G827" t="s" s="8"/>
      <c r="H827" t="s" s="8"/>
      <c r="I827" t="s" s="8"/>
      <c r="J827" t="s" s="8"/>
      <c r="K827" t="s" s="8"/>
      <c r="L827" t="s" s="8"/>
    </row>
    <row r="828" ht="15.75" customHeight="true">
      <c r="A828" t="s" s="15"/>
      <c r="B828" t="s" s="8"/>
      <c r="C828" t="s" s="8"/>
      <c r="D828" t="s" s="8"/>
      <c r="E828" t="s" s="8"/>
      <c r="F828" t="s" s="8"/>
      <c r="G828" t="s" s="8"/>
      <c r="H828" t="s" s="8"/>
      <c r="I828" t="s" s="8"/>
      <c r="J828" t="s" s="8"/>
      <c r="K828" t="s" s="8"/>
      <c r="L828" t="s" s="8"/>
    </row>
    <row r="829" ht="15.75" customHeight="true">
      <c r="A829" t="s" s="15"/>
      <c r="B829" t="s" s="8"/>
      <c r="C829" t="s" s="8"/>
      <c r="D829" t="s" s="8"/>
      <c r="E829" t="s" s="8"/>
      <c r="F829" t="s" s="8"/>
      <c r="G829" t="s" s="8"/>
      <c r="H829" t="s" s="8"/>
      <c r="I829" t="s" s="8"/>
      <c r="J829" t="s" s="8"/>
      <c r="K829" t="s" s="8"/>
      <c r="L829" t="s" s="8"/>
    </row>
    <row r="830" ht="15.75" customHeight="true">
      <c r="A830" t="s" s="15"/>
      <c r="B830" t="s" s="8"/>
      <c r="C830" t="s" s="8"/>
      <c r="D830" t="s" s="8"/>
      <c r="E830" t="s" s="8"/>
      <c r="F830" t="s" s="8"/>
      <c r="G830" t="s" s="8"/>
      <c r="H830" t="s" s="8"/>
      <c r="I830" t="s" s="8"/>
      <c r="J830" t="s" s="8"/>
      <c r="K830" t="s" s="8"/>
      <c r="L830" t="s" s="8"/>
    </row>
    <row r="831" ht="15.75" customHeight="true">
      <c r="A831" t="s" s="15"/>
      <c r="B831" t="s" s="8"/>
      <c r="C831" t="s" s="8"/>
      <c r="D831" t="s" s="8"/>
      <c r="E831" t="s" s="8"/>
      <c r="F831" t="s" s="8"/>
      <c r="G831" t="s" s="8"/>
      <c r="H831" t="s" s="8"/>
      <c r="I831" t="s" s="8"/>
      <c r="J831" t="s" s="8"/>
      <c r="K831" t="s" s="8"/>
      <c r="L831" t="s" s="8"/>
    </row>
    <row r="832" ht="15.75" customHeight="true">
      <c r="A832" t="s" s="15"/>
      <c r="B832" t="s" s="8"/>
      <c r="C832" t="s" s="8"/>
      <c r="D832" t="s" s="8"/>
      <c r="E832" t="s" s="8"/>
      <c r="F832" t="s" s="8"/>
      <c r="G832" t="s" s="8"/>
      <c r="H832" t="s" s="8"/>
      <c r="I832" t="s" s="8"/>
      <c r="J832" t="s" s="8"/>
      <c r="K832" t="s" s="8"/>
      <c r="L832" t="s" s="8"/>
    </row>
    <row r="833" ht="15.75" customHeight="true">
      <c r="A833" t="s" s="15"/>
      <c r="B833" t="s" s="8"/>
      <c r="C833" t="s" s="8"/>
      <c r="D833" t="s" s="8"/>
      <c r="E833" t="s" s="8"/>
      <c r="F833" t="s" s="8"/>
      <c r="G833" t="s" s="8"/>
      <c r="H833" t="s" s="8"/>
      <c r="I833" t="s" s="8"/>
      <c r="J833" t="s" s="8"/>
      <c r="K833" t="s" s="8"/>
      <c r="L833" t="s" s="8"/>
    </row>
    <row r="834" ht="15.75" customHeight="true">
      <c r="A834" t="s" s="15"/>
      <c r="B834" t="s" s="8"/>
      <c r="C834" t="s" s="8"/>
      <c r="D834" t="s" s="8"/>
      <c r="E834" t="s" s="8"/>
      <c r="F834" t="s" s="8"/>
      <c r="G834" t="s" s="8"/>
      <c r="H834" t="s" s="8"/>
      <c r="I834" t="s" s="8"/>
      <c r="J834" t="s" s="8"/>
      <c r="K834" t="s" s="8"/>
      <c r="L834" t="s" s="8"/>
    </row>
    <row r="835" ht="15.75" customHeight="true">
      <c r="A835" t="s" s="15"/>
      <c r="B835" t="s" s="8"/>
      <c r="C835" t="s" s="8"/>
      <c r="D835" t="s" s="8"/>
      <c r="E835" t="s" s="8"/>
      <c r="F835" t="s" s="8"/>
      <c r="G835" t="s" s="8"/>
      <c r="H835" t="s" s="8"/>
      <c r="I835" t="s" s="8"/>
      <c r="J835" t="s" s="8"/>
      <c r="K835" t="s" s="8"/>
      <c r="L835" t="s" s="8"/>
    </row>
    <row r="836" ht="15.75" customHeight="true">
      <c r="A836" t="s" s="15"/>
      <c r="B836" t="s" s="8"/>
      <c r="C836" t="s" s="8"/>
      <c r="D836" t="s" s="8"/>
      <c r="E836" t="s" s="8"/>
      <c r="F836" t="s" s="8"/>
      <c r="G836" t="s" s="8"/>
      <c r="H836" t="s" s="8"/>
      <c r="I836" t="s" s="8"/>
      <c r="J836" t="s" s="8"/>
      <c r="K836" t="s" s="8"/>
      <c r="L836" t="s" s="8"/>
    </row>
    <row r="837" ht="15.75" customHeight="true">
      <c r="A837" t="s" s="15"/>
      <c r="B837" t="s" s="8"/>
      <c r="C837" t="s" s="8"/>
      <c r="D837" t="s" s="8"/>
      <c r="E837" t="s" s="8"/>
      <c r="F837" t="s" s="8"/>
      <c r="G837" t="s" s="8"/>
      <c r="H837" t="s" s="8"/>
      <c r="I837" t="s" s="8"/>
      <c r="J837" t="s" s="8"/>
      <c r="K837" t="s" s="8"/>
      <c r="L837" t="s" s="8"/>
    </row>
    <row r="838" ht="15.75" customHeight="true">
      <c r="A838" t="s" s="15"/>
      <c r="B838" t="s" s="8"/>
      <c r="C838" t="s" s="8"/>
      <c r="D838" t="s" s="8"/>
      <c r="E838" t="s" s="8"/>
      <c r="F838" t="s" s="8"/>
      <c r="G838" t="s" s="8"/>
      <c r="H838" t="s" s="8"/>
      <c r="I838" t="s" s="8"/>
      <c r="J838" t="s" s="8"/>
      <c r="K838" t="s" s="8"/>
      <c r="L838" t="s" s="8"/>
    </row>
    <row r="839" ht="15.75" customHeight="true">
      <c r="A839" t="s" s="15"/>
      <c r="B839" t="s" s="8"/>
      <c r="C839" t="s" s="8"/>
      <c r="D839" t="s" s="8"/>
      <c r="E839" t="s" s="8"/>
      <c r="F839" t="s" s="8"/>
      <c r="G839" t="s" s="8"/>
      <c r="H839" t="s" s="8"/>
      <c r="I839" t="s" s="8"/>
      <c r="J839" t="s" s="8"/>
      <c r="K839" t="s" s="8"/>
      <c r="L839" t="s" s="8"/>
    </row>
    <row r="840" ht="15.75" customHeight="true">
      <c r="A840" t="s" s="15"/>
      <c r="B840" t="s" s="8"/>
      <c r="C840" t="s" s="8"/>
      <c r="D840" t="s" s="8"/>
      <c r="E840" t="s" s="8"/>
      <c r="F840" t="s" s="8"/>
      <c r="G840" t="s" s="8"/>
      <c r="H840" t="s" s="8"/>
      <c r="I840" t="s" s="8"/>
      <c r="J840" t="s" s="8"/>
      <c r="K840" t="s" s="8"/>
      <c r="L840" t="s" s="8"/>
    </row>
    <row r="841" ht="15.75" customHeight="true">
      <c r="A841" t="s" s="15"/>
      <c r="B841" t="s" s="8"/>
      <c r="C841" t="s" s="8"/>
      <c r="D841" t="s" s="8"/>
      <c r="E841" t="s" s="8"/>
      <c r="F841" t="s" s="8"/>
      <c r="G841" t="s" s="8"/>
      <c r="H841" t="s" s="8"/>
      <c r="I841" t="s" s="8"/>
      <c r="J841" t="s" s="8"/>
      <c r="K841" t="s" s="8"/>
      <c r="L841" t="s" s="8"/>
    </row>
    <row r="842" ht="15.75" customHeight="true">
      <c r="A842" t="s" s="15"/>
      <c r="B842" t="s" s="8"/>
      <c r="C842" t="s" s="8"/>
      <c r="D842" t="s" s="8"/>
      <c r="E842" t="s" s="8"/>
      <c r="F842" t="s" s="8"/>
      <c r="G842" t="s" s="8"/>
      <c r="H842" t="s" s="8"/>
      <c r="I842" t="s" s="8"/>
      <c r="J842" t="s" s="8"/>
      <c r="K842" t="s" s="8"/>
      <c r="L842" t="s" s="8"/>
    </row>
    <row r="843" ht="15.75" customHeight="true">
      <c r="A843" t="s" s="15"/>
      <c r="B843" t="s" s="8"/>
      <c r="C843" t="s" s="8"/>
      <c r="D843" t="s" s="8"/>
      <c r="E843" t="s" s="8"/>
      <c r="F843" t="s" s="8"/>
      <c r="G843" t="s" s="8"/>
      <c r="H843" t="s" s="8"/>
      <c r="I843" t="s" s="8"/>
      <c r="J843" t="s" s="8"/>
      <c r="K843" t="s" s="8"/>
      <c r="L843" t="s" s="8"/>
    </row>
    <row r="844" ht="15.75" customHeight="true">
      <c r="A844" t="s" s="15"/>
      <c r="B844" t="s" s="8"/>
      <c r="C844" t="s" s="8"/>
      <c r="D844" t="s" s="8"/>
      <c r="E844" t="s" s="8"/>
      <c r="F844" t="s" s="8"/>
      <c r="G844" t="s" s="8"/>
      <c r="H844" t="s" s="8"/>
      <c r="I844" t="s" s="8"/>
      <c r="J844" t="s" s="8"/>
      <c r="K844" t="s" s="8"/>
      <c r="L844" t="s" s="8"/>
    </row>
    <row r="845" ht="15.75" customHeight="true">
      <c r="A845" t="s" s="15"/>
      <c r="B845" t="s" s="8"/>
      <c r="C845" t="s" s="8"/>
      <c r="D845" t="s" s="8"/>
      <c r="E845" t="s" s="8"/>
      <c r="F845" t="s" s="8"/>
      <c r="G845" t="s" s="8"/>
      <c r="H845" t="s" s="8"/>
      <c r="I845" t="s" s="8"/>
      <c r="J845" t="s" s="8"/>
      <c r="K845" t="s" s="8"/>
      <c r="L845" t="s" s="8"/>
    </row>
    <row r="846" ht="15.75" customHeight="true">
      <c r="A846" t="s" s="15"/>
      <c r="B846" t="s" s="8"/>
      <c r="C846" t="s" s="8"/>
      <c r="D846" t="s" s="8"/>
      <c r="E846" t="s" s="8"/>
      <c r="F846" t="s" s="8"/>
      <c r="G846" t="s" s="8"/>
      <c r="H846" t="s" s="8"/>
      <c r="I846" t="s" s="8"/>
      <c r="J846" t="s" s="8"/>
      <c r="K846" t="s" s="8"/>
      <c r="L846" t="s" s="8"/>
    </row>
    <row r="847" ht="15.75" customHeight="true">
      <c r="A847" t="s" s="15"/>
      <c r="B847" t="s" s="8"/>
      <c r="C847" t="s" s="8"/>
      <c r="D847" t="s" s="8"/>
      <c r="E847" t="s" s="8"/>
      <c r="F847" t="s" s="8"/>
      <c r="G847" t="s" s="8"/>
      <c r="H847" t="s" s="8"/>
      <c r="I847" t="s" s="8"/>
      <c r="J847" t="s" s="8"/>
      <c r="K847" t="s" s="8"/>
      <c r="L847" t="s" s="8"/>
    </row>
    <row r="848" ht="15.75" customHeight="true">
      <c r="A848" t="s" s="15"/>
      <c r="B848" t="s" s="8"/>
      <c r="C848" t="s" s="8"/>
      <c r="D848" t="s" s="8"/>
      <c r="E848" t="s" s="8"/>
      <c r="F848" t="s" s="8"/>
      <c r="G848" t="s" s="8"/>
      <c r="H848" t="s" s="8"/>
      <c r="I848" t="s" s="8"/>
      <c r="J848" t="s" s="8"/>
      <c r="K848" t="s" s="8"/>
      <c r="L848" t="s" s="8"/>
    </row>
    <row r="849" ht="15.75" customHeight="true">
      <c r="A849" t="s" s="15"/>
      <c r="B849" t="s" s="8"/>
      <c r="C849" t="s" s="8"/>
      <c r="D849" t="s" s="8"/>
      <c r="E849" t="s" s="8"/>
      <c r="F849" t="s" s="8"/>
      <c r="G849" t="s" s="8"/>
      <c r="H849" t="s" s="8"/>
      <c r="I849" t="s" s="8"/>
      <c r="J849" t="s" s="8"/>
      <c r="K849" t="s" s="8"/>
      <c r="L849" t="s" s="8"/>
    </row>
    <row r="850" ht="15.75" customHeight="true">
      <c r="A850" t="s" s="15"/>
      <c r="B850" t="s" s="8"/>
      <c r="C850" t="s" s="8"/>
      <c r="D850" t="s" s="8"/>
      <c r="E850" t="s" s="8"/>
      <c r="F850" t="s" s="8"/>
      <c r="G850" t="s" s="8"/>
      <c r="H850" t="s" s="8"/>
      <c r="I850" t="s" s="8"/>
      <c r="J850" t="s" s="8"/>
      <c r="K850" t="s" s="8"/>
      <c r="L850" t="s" s="8"/>
    </row>
    <row r="851" ht="15.75" customHeight="true">
      <c r="A851" t="s" s="15"/>
      <c r="B851" t="s" s="8"/>
      <c r="C851" t="s" s="8"/>
      <c r="D851" t="s" s="8"/>
      <c r="E851" t="s" s="8"/>
      <c r="F851" t="s" s="8"/>
      <c r="G851" t="s" s="8"/>
      <c r="H851" t="s" s="8"/>
      <c r="I851" t="s" s="8"/>
      <c r="J851" t="s" s="8"/>
      <c r="K851" t="s" s="8"/>
      <c r="L851" t="s" s="8"/>
    </row>
    <row r="852" ht="15.75" customHeight="true">
      <c r="A852" t="s" s="15"/>
      <c r="B852" t="s" s="8"/>
      <c r="C852" t="s" s="8"/>
      <c r="D852" t="s" s="8"/>
      <c r="E852" t="s" s="8"/>
      <c r="F852" t="s" s="8"/>
      <c r="G852" t="s" s="8"/>
      <c r="H852" t="s" s="8"/>
      <c r="I852" t="s" s="8"/>
      <c r="J852" t="s" s="8"/>
      <c r="K852" t="s" s="8"/>
      <c r="L852" t="s" s="8"/>
    </row>
    <row r="853" ht="15.75" customHeight="true">
      <c r="A853" t="s" s="15"/>
      <c r="B853" t="s" s="8"/>
      <c r="C853" t="s" s="8"/>
      <c r="D853" t="s" s="8"/>
      <c r="E853" t="s" s="8"/>
      <c r="F853" t="s" s="8"/>
      <c r="G853" t="s" s="8"/>
      <c r="H853" t="s" s="8"/>
      <c r="I853" t="s" s="8"/>
      <c r="J853" t="s" s="8"/>
      <c r="K853" t="s" s="8"/>
      <c r="L853" t="s" s="8"/>
    </row>
    <row r="854" ht="15.75" customHeight="true">
      <c r="A854" t="s" s="15"/>
      <c r="B854" t="s" s="8"/>
      <c r="C854" t="s" s="8"/>
      <c r="D854" t="s" s="8"/>
      <c r="E854" t="s" s="8"/>
      <c r="F854" t="s" s="8"/>
      <c r="G854" t="s" s="8"/>
      <c r="H854" t="s" s="8"/>
      <c r="I854" t="s" s="8"/>
      <c r="J854" t="s" s="8"/>
      <c r="K854" t="s" s="8"/>
      <c r="L854" t="s" s="8"/>
    </row>
    <row r="855" ht="15.75" customHeight="true">
      <c r="A855" t="s" s="15"/>
      <c r="B855" t="s" s="8"/>
      <c r="C855" t="s" s="8"/>
      <c r="D855" t="s" s="8"/>
      <c r="E855" t="s" s="8"/>
      <c r="F855" t="s" s="8"/>
      <c r="G855" t="s" s="8"/>
      <c r="H855" t="s" s="8"/>
      <c r="I855" t="s" s="8"/>
      <c r="J855" t="s" s="8"/>
      <c r="K855" t="s" s="8"/>
      <c r="L855" t="s" s="8"/>
    </row>
    <row r="856" ht="15.75" customHeight="true">
      <c r="A856" t="s" s="15"/>
      <c r="B856" t="s" s="8"/>
      <c r="C856" t="s" s="8"/>
      <c r="D856" t="s" s="8"/>
      <c r="E856" t="s" s="8"/>
      <c r="F856" t="s" s="8"/>
      <c r="G856" t="s" s="8"/>
      <c r="H856" t="s" s="8"/>
      <c r="I856" t="s" s="8"/>
      <c r="J856" t="s" s="8"/>
      <c r="K856" t="s" s="8"/>
      <c r="L856" t="s" s="8"/>
    </row>
    <row r="857" ht="15.75" customHeight="true">
      <c r="A857" t="s" s="15"/>
      <c r="B857" t="s" s="8"/>
      <c r="C857" t="s" s="8"/>
      <c r="D857" t="s" s="8"/>
      <c r="E857" t="s" s="8"/>
      <c r="F857" t="s" s="8"/>
      <c r="G857" t="s" s="8"/>
      <c r="H857" t="s" s="8"/>
      <c r="I857" t="s" s="8"/>
      <c r="J857" t="s" s="8"/>
      <c r="K857" t="s" s="8"/>
      <c r="L857" t="s" s="8"/>
    </row>
    <row r="858" ht="15.75" customHeight="true">
      <c r="A858" t="s" s="15"/>
      <c r="B858" t="s" s="8"/>
      <c r="C858" t="s" s="8"/>
      <c r="D858" t="s" s="8"/>
      <c r="E858" t="s" s="8"/>
      <c r="F858" t="s" s="8"/>
      <c r="G858" t="s" s="8"/>
      <c r="H858" t="s" s="8"/>
      <c r="I858" t="s" s="8"/>
      <c r="J858" t="s" s="8"/>
      <c r="K858" t="s" s="8"/>
      <c r="L858" t="s" s="8"/>
    </row>
    <row r="859" ht="15.75" customHeight="true">
      <c r="A859" t="s" s="15"/>
      <c r="B859" t="s" s="8"/>
      <c r="C859" t="s" s="8"/>
      <c r="D859" t="s" s="8"/>
      <c r="E859" t="s" s="8"/>
      <c r="F859" t="s" s="8"/>
      <c r="G859" t="s" s="8"/>
      <c r="H859" t="s" s="8"/>
      <c r="I859" t="s" s="8"/>
      <c r="J859" t="s" s="8"/>
      <c r="K859" t="s" s="8"/>
      <c r="L859" t="s" s="8"/>
    </row>
    <row r="860" ht="15.75" customHeight="true">
      <c r="A860" t="s" s="15"/>
      <c r="B860" t="s" s="8"/>
      <c r="C860" t="s" s="8"/>
      <c r="D860" t="s" s="8"/>
      <c r="E860" t="s" s="8"/>
      <c r="F860" t="s" s="8"/>
      <c r="G860" t="s" s="8"/>
      <c r="H860" t="s" s="8"/>
      <c r="I860" t="s" s="8"/>
      <c r="J860" t="s" s="8"/>
      <c r="K860" t="s" s="8"/>
      <c r="L860" t="s" s="8"/>
    </row>
    <row r="861" ht="15.75" customHeight="true">
      <c r="A861" t="s" s="15"/>
      <c r="B861" t="s" s="8"/>
      <c r="C861" t="s" s="8"/>
      <c r="D861" t="s" s="8"/>
      <c r="E861" t="s" s="8"/>
      <c r="F861" t="s" s="8"/>
      <c r="G861" t="s" s="8"/>
      <c r="H861" t="s" s="8"/>
      <c r="I861" t="s" s="8"/>
      <c r="J861" t="s" s="8"/>
      <c r="K861" t="s" s="8"/>
      <c r="L861" t="s" s="8"/>
    </row>
    <row r="862" ht="15.75" customHeight="true">
      <c r="A862" t="s" s="15"/>
      <c r="B862" t="s" s="8"/>
      <c r="C862" t="s" s="8"/>
      <c r="D862" t="s" s="8"/>
      <c r="E862" t="s" s="8"/>
      <c r="F862" t="s" s="8"/>
      <c r="G862" t="s" s="8"/>
      <c r="H862" t="s" s="8"/>
      <c r="I862" t="s" s="8"/>
      <c r="J862" t="s" s="8"/>
      <c r="K862" t="s" s="8"/>
      <c r="L862" t="s" s="8"/>
    </row>
    <row r="863" ht="15.75" customHeight="true">
      <c r="A863" t="s" s="15"/>
      <c r="B863" t="s" s="8"/>
      <c r="C863" t="s" s="8"/>
      <c r="D863" t="s" s="8"/>
      <c r="E863" t="s" s="8"/>
      <c r="F863" t="s" s="8"/>
      <c r="G863" t="s" s="8"/>
      <c r="H863" t="s" s="8"/>
      <c r="I863" t="s" s="8"/>
      <c r="J863" t="s" s="8"/>
      <c r="K863" t="s" s="8"/>
      <c r="L863" t="s" s="8"/>
    </row>
    <row r="864" ht="15.75" customHeight="true">
      <c r="A864" t="s" s="15"/>
      <c r="B864" t="s" s="8"/>
      <c r="C864" t="s" s="8"/>
      <c r="D864" t="s" s="8"/>
      <c r="E864" t="s" s="8"/>
      <c r="F864" t="s" s="8"/>
      <c r="G864" t="s" s="8"/>
      <c r="H864" t="s" s="8"/>
      <c r="I864" t="s" s="8"/>
      <c r="J864" t="s" s="8"/>
      <c r="K864" t="s" s="8"/>
      <c r="L864" t="s" s="8"/>
    </row>
    <row r="865" ht="15.75" customHeight="true">
      <c r="A865" t="s" s="15"/>
      <c r="B865" t="s" s="8"/>
      <c r="C865" t="s" s="8"/>
      <c r="D865" t="s" s="8"/>
      <c r="E865" t="s" s="8"/>
      <c r="F865" t="s" s="8"/>
      <c r="G865" t="s" s="8"/>
      <c r="H865" t="s" s="8"/>
      <c r="I865" t="s" s="8"/>
      <c r="J865" t="s" s="8"/>
      <c r="K865" t="s" s="8"/>
      <c r="L865" t="s" s="8"/>
    </row>
    <row r="866" ht="15.75" customHeight="true">
      <c r="A866" t="s" s="15"/>
      <c r="B866" t="s" s="8"/>
      <c r="C866" t="s" s="8"/>
      <c r="D866" t="s" s="8"/>
      <c r="E866" t="s" s="8"/>
      <c r="F866" t="s" s="8"/>
      <c r="G866" t="s" s="8"/>
      <c r="H866" t="s" s="8"/>
      <c r="I866" t="s" s="8"/>
      <c r="J866" t="s" s="8"/>
      <c r="K866" t="s" s="8"/>
      <c r="L866" t="s" s="8"/>
    </row>
    <row r="867" ht="15.75" customHeight="true">
      <c r="A867" t="s" s="15"/>
      <c r="B867" t="s" s="8"/>
      <c r="C867" t="s" s="8"/>
      <c r="D867" t="s" s="8"/>
      <c r="E867" t="s" s="8"/>
      <c r="F867" t="s" s="8"/>
      <c r="G867" t="s" s="8"/>
      <c r="H867" t="s" s="8"/>
      <c r="I867" t="s" s="8"/>
      <c r="J867" t="s" s="8"/>
      <c r="K867" t="s" s="8"/>
      <c r="L867" t="s" s="8"/>
    </row>
    <row r="868" ht="15.75" customHeight="true">
      <c r="A868" t="s" s="15"/>
      <c r="B868" t="s" s="8"/>
      <c r="C868" t="s" s="8"/>
      <c r="D868" t="s" s="8"/>
      <c r="E868" t="s" s="8"/>
      <c r="F868" t="s" s="8"/>
      <c r="G868" t="s" s="8"/>
      <c r="H868" t="s" s="8"/>
      <c r="I868" t="s" s="8"/>
      <c r="J868" t="s" s="8"/>
      <c r="K868" t="s" s="8"/>
      <c r="L868" t="s" s="8"/>
    </row>
    <row r="869" ht="15.75" customHeight="true">
      <c r="A869" t="s" s="15"/>
      <c r="B869" t="s" s="8"/>
      <c r="C869" t="s" s="8"/>
      <c r="D869" t="s" s="8"/>
      <c r="E869" t="s" s="8"/>
      <c r="F869" t="s" s="8"/>
      <c r="G869" t="s" s="8"/>
      <c r="H869" t="s" s="8"/>
      <c r="I869" t="s" s="8"/>
      <c r="J869" t="s" s="8"/>
      <c r="K869" t="s" s="8"/>
      <c r="L869" t="s" s="8"/>
    </row>
    <row r="870" ht="15.75" customHeight="true">
      <c r="A870" t="s" s="15"/>
      <c r="B870" t="s" s="8"/>
      <c r="C870" t="s" s="8"/>
      <c r="D870" t="s" s="8"/>
      <c r="E870" t="s" s="8"/>
      <c r="F870" t="s" s="8"/>
      <c r="G870" t="s" s="8"/>
      <c r="H870" t="s" s="8"/>
      <c r="I870" t="s" s="8"/>
      <c r="J870" t="s" s="8"/>
      <c r="K870" t="s" s="8"/>
      <c r="L870" t="s" s="8"/>
    </row>
    <row r="871" ht="15.75" customHeight="true">
      <c r="A871" t="s" s="15"/>
      <c r="B871" t="s" s="8"/>
      <c r="C871" t="s" s="8"/>
      <c r="D871" t="s" s="8"/>
      <c r="E871" t="s" s="8"/>
      <c r="F871" t="s" s="8"/>
      <c r="G871" t="s" s="8"/>
      <c r="H871" t="s" s="8"/>
      <c r="I871" t="s" s="8"/>
      <c r="J871" t="s" s="8"/>
      <c r="K871" t="s" s="8"/>
      <c r="L871" t="s" s="8"/>
    </row>
    <row r="872" ht="15.75" customHeight="true">
      <c r="A872" t="s" s="15"/>
      <c r="B872" t="s" s="8"/>
      <c r="C872" t="s" s="8"/>
      <c r="D872" t="s" s="8"/>
      <c r="E872" t="s" s="8"/>
      <c r="F872" t="s" s="8"/>
      <c r="G872" t="s" s="8"/>
      <c r="H872" t="s" s="8"/>
      <c r="I872" t="s" s="8"/>
      <c r="J872" t="s" s="8"/>
      <c r="K872" t="s" s="8"/>
      <c r="L872" t="s" s="8"/>
    </row>
    <row r="873" ht="15.75" customHeight="true">
      <c r="A873" t="s" s="15"/>
      <c r="B873" t="s" s="8"/>
      <c r="C873" t="s" s="8"/>
      <c r="D873" t="s" s="8"/>
      <c r="E873" t="s" s="8"/>
      <c r="F873" t="s" s="8"/>
      <c r="G873" t="s" s="8"/>
      <c r="H873" t="s" s="8"/>
      <c r="I873" t="s" s="8"/>
      <c r="J873" t="s" s="8"/>
      <c r="K873" t="s" s="8"/>
      <c r="L873" t="s" s="8"/>
    </row>
    <row r="874" ht="15.75" customHeight="true">
      <c r="A874" t="s" s="15"/>
      <c r="B874" t="s" s="8"/>
      <c r="C874" t="s" s="8"/>
      <c r="D874" t="s" s="8"/>
      <c r="E874" t="s" s="8"/>
      <c r="F874" t="s" s="8"/>
      <c r="G874" t="s" s="8"/>
      <c r="H874" t="s" s="8"/>
      <c r="I874" t="s" s="8"/>
      <c r="J874" t="s" s="8"/>
      <c r="K874" t="s" s="8"/>
      <c r="L874" t="s" s="8"/>
    </row>
    <row r="875" ht="15.75" customHeight="true">
      <c r="A875" t="s" s="15"/>
      <c r="B875" t="s" s="8"/>
      <c r="C875" t="s" s="8"/>
      <c r="D875" t="s" s="8"/>
      <c r="E875" t="s" s="8"/>
      <c r="F875" t="s" s="8"/>
      <c r="G875" t="s" s="8"/>
      <c r="H875" t="s" s="8"/>
      <c r="I875" t="s" s="8"/>
      <c r="J875" t="s" s="8"/>
      <c r="K875" t="s" s="8"/>
      <c r="L875" t="s" s="8"/>
    </row>
    <row r="876" ht="15.75" customHeight="true">
      <c r="A876" t="s" s="15"/>
      <c r="B876" t="s" s="8"/>
      <c r="C876" t="s" s="8"/>
      <c r="D876" t="s" s="8"/>
      <c r="E876" t="s" s="8"/>
      <c r="F876" t="s" s="8"/>
      <c r="G876" t="s" s="8"/>
      <c r="H876" t="s" s="8"/>
      <c r="I876" t="s" s="8"/>
      <c r="J876" t="s" s="8"/>
      <c r="K876" t="s" s="8"/>
      <c r="L876" t="s" s="8"/>
    </row>
    <row r="877" ht="15.75" customHeight="true">
      <c r="A877" t="s" s="15"/>
      <c r="B877" t="s" s="8"/>
      <c r="C877" t="s" s="8"/>
      <c r="D877" t="s" s="8"/>
      <c r="E877" t="s" s="8"/>
      <c r="F877" t="s" s="8"/>
      <c r="G877" t="s" s="8"/>
      <c r="H877" t="s" s="8"/>
      <c r="I877" t="s" s="8"/>
      <c r="J877" t="s" s="8"/>
      <c r="K877" t="s" s="8"/>
      <c r="L877" t="s" s="8"/>
    </row>
    <row r="878" ht="15.75" customHeight="true">
      <c r="A878" t="s" s="15"/>
      <c r="B878" t="s" s="8"/>
      <c r="C878" t="s" s="8"/>
      <c r="D878" t="s" s="8"/>
      <c r="E878" t="s" s="8"/>
      <c r="F878" t="s" s="8"/>
      <c r="G878" t="s" s="8"/>
      <c r="H878" t="s" s="8"/>
      <c r="I878" t="s" s="8"/>
      <c r="J878" t="s" s="8"/>
      <c r="K878" t="s" s="8"/>
      <c r="L878" t="s" s="8"/>
    </row>
    <row r="879" ht="15.75" customHeight="true">
      <c r="A879" t="s" s="15"/>
      <c r="B879" t="s" s="8"/>
      <c r="C879" t="s" s="8"/>
      <c r="D879" t="s" s="8"/>
      <c r="E879" t="s" s="8"/>
      <c r="F879" t="s" s="8"/>
      <c r="G879" t="s" s="8"/>
      <c r="H879" t="s" s="8"/>
      <c r="I879" t="s" s="8"/>
      <c r="J879" t="s" s="8"/>
      <c r="K879" t="s" s="8"/>
      <c r="L879" t="s" s="8"/>
    </row>
    <row r="880" ht="15.75" customHeight="true">
      <c r="A880" t="s" s="15"/>
      <c r="B880" t="s" s="8"/>
      <c r="C880" t="s" s="8"/>
      <c r="D880" t="s" s="8"/>
      <c r="E880" t="s" s="8"/>
      <c r="F880" t="s" s="8"/>
      <c r="G880" t="s" s="8"/>
      <c r="H880" t="s" s="8"/>
      <c r="I880" t="s" s="8"/>
      <c r="J880" t="s" s="8"/>
      <c r="K880" t="s" s="8"/>
      <c r="L880" t="s" s="8"/>
    </row>
    <row r="881" ht="15.75" customHeight="true">
      <c r="A881" t="s" s="15"/>
      <c r="B881" t="s" s="8"/>
      <c r="C881" t="s" s="8"/>
      <c r="D881" t="s" s="8"/>
      <c r="E881" t="s" s="8"/>
      <c r="F881" t="s" s="8"/>
      <c r="G881" t="s" s="8"/>
      <c r="H881" t="s" s="8"/>
      <c r="I881" t="s" s="8"/>
      <c r="J881" t="s" s="8"/>
      <c r="K881" t="s" s="8"/>
      <c r="L881" t="s" s="8"/>
    </row>
    <row r="882" ht="15.75" customHeight="true">
      <c r="A882" t="s" s="15"/>
      <c r="B882" t="s" s="8"/>
      <c r="C882" t="s" s="8"/>
      <c r="D882" t="s" s="8"/>
      <c r="E882" t="s" s="8"/>
      <c r="F882" t="s" s="8"/>
      <c r="G882" t="s" s="8"/>
      <c r="H882" t="s" s="8"/>
      <c r="I882" t="s" s="8"/>
      <c r="J882" t="s" s="8"/>
      <c r="K882" t="s" s="8"/>
      <c r="L882" t="s" s="8"/>
    </row>
    <row r="883" ht="15.75" customHeight="true">
      <c r="A883" t="s" s="15"/>
      <c r="B883" t="s" s="8"/>
      <c r="C883" t="s" s="8"/>
      <c r="D883" t="s" s="8"/>
      <c r="E883" t="s" s="8"/>
      <c r="F883" t="s" s="8"/>
      <c r="G883" t="s" s="8"/>
      <c r="H883" t="s" s="8"/>
      <c r="I883" t="s" s="8"/>
      <c r="J883" t="s" s="8"/>
      <c r="K883" t="s" s="8"/>
      <c r="L883" t="s" s="8"/>
    </row>
    <row r="884" ht="15.75" customHeight="true">
      <c r="A884" t="s" s="15"/>
      <c r="B884" t="s" s="8"/>
      <c r="C884" t="s" s="8"/>
      <c r="D884" t="s" s="8"/>
      <c r="E884" t="s" s="8"/>
      <c r="F884" t="s" s="8"/>
      <c r="G884" t="s" s="8"/>
      <c r="H884" t="s" s="8"/>
      <c r="I884" t="s" s="8"/>
      <c r="J884" t="s" s="8"/>
      <c r="K884" t="s" s="8"/>
      <c r="L884" t="s" s="8"/>
    </row>
    <row r="885" ht="15.75" customHeight="true">
      <c r="A885" t="s" s="15"/>
      <c r="B885" t="s" s="8"/>
      <c r="C885" t="s" s="8"/>
      <c r="D885" t="s" s="8"/>
      <c r="E885" t="s" s="8"/>
      <c r="F885" t="s" s="8"/>
      <c r="G885" t="s" s="8"/>
      <c r="H885" t="s" s="8"/>
      <c r="I885" t="s" s="8"/>
      <c r="J885" t="s" s="8"/>
      <c r="K885" t="s" s="8"/>
      <c r="L885" t="s" s="8"/>
    </row>
    <row r="886" ht="15.75" customHeight="true">
      <c r="A886" t="s" s="15"/>
      <c r="B886" t="s" s="8"/>
      <c r="C886" t="s" s="8"/>
      <c r="D886" t="s" s="8"/>
      <c r="E886" t="s" s="8"/>
      <c r="F886" t="s" s="8"/>
      <c r="G886" t="s" s="8"/>
      <c r="H886" t="s" s="8"/>
      <c r="I886" t="s" s="8"/>
      <c r="J886" t="s" s="8"/>
      <c r="K886" t="s" s="8"/>
      <c r="L886" t="s" s="8"/>
    </row>
    <row r="887" ht="15.75" customHeight="true">
      <c r="A887" t="s" s="15"/>
      <c r="B887" t="s" s="8"/>
      <c r="C887" t="s" s="8"/>
      <c r="D887" t="s" s="8"/>
      <c r="E887" t="s" s="8"/>
      <c r="F887" t="s" s="8"/>
      <c r="G887" t="s" s="8"/>
      <c r="H887" t="s" s="8"/>
      <c r="I887" t="s" s="8"/>
      <c r="J887" t="s" s="8"/>
      <c r="K887" t="s" s="8"/>
      <c r="L887" t="s" s="8"/>
    </row>
    <row r="888" ht="15.75" customHeight="true">
      <c r="A888" t="s" s="15"/>
      <c r="B888" t="s" s="8"/>
      <c r="C888" t="s" s="8"/>
      <c r="D888" t="s" s="8"/>
      <c r="E888" t="s" s="8"/>
      <c r="F888" t="s" s="8"/>
      <c r="G888" t="s" s="8"/>
      <c r="H888" t="s" s="8"/>
      <c r="I888" t="s" s="8"/>
      <c r="J888" t="s" s="8"/>
      <c r="K888" t="s" s="8"/>
      <c r="L888" t="s" s="8"/>
    </row>
    <row r="889" ht="15.75" customHeight="true">
      <c r="A889" t="s" s="15"/>
      <c r="B889" t="s" s="8"/>
      <c r="C889" t="s" s="8"/>
      <c r="D889" t="s" s="8"/>
      <c r="E889" t="s" s="8"/>
      <c r="F889" t="s" s="8"/>
      <c r="G889" t="s" s="8"/>
      <c r="H889" t="s" s="8"/>
      <c r="I889" t="s" s="8"/>
      <c r="J889" t="s" s="8"/>
      <c r="K889" t="s" s="8"/>
      <c r="L889" t="s" s="8"/>
    </row>
    <row r="890" ht="15.75" customHeight="true">
      <c r="A890" t="s" s="15"/>
      <c r="B890" t="s" s="8"/>
      <c r="C890" t="s" s="8"/>
      <c r="D890" t="s" s="8"/>
      <c r="E890" t="s" s="8"/>
      <c r="F890" t="s" s="8"/>
      <c r="G890" t="s" s="8"/>
      <c r="H890" t="s" s="8"/>
      <c r="I890" t="s" s="8"/>
      <c r="J890" t="s" s="8"/>
      <c r="K890" t="s" s="8"/>
      <c r="L890" t="s" s="8"/>
    </row>
    <row r="891" ht="15.75" customHeight="true">
      <c r="A891" t="s" s="15"/>
      <c r="B891" t="s" s="8"/>
      <c r="C891" t="s" s="8"/>
      <c r="D891" t="s" s="8"/>
      <c r="E891" t="s" s="8"/>
      <c r="F891" t="s" s="8"/>
      <c r="G891" t="s" s="8"/>
      <c r="H891" t="s" s="8"/>
      <c r="I891" t="s" s="8"/>
      <c r="J891" t="s" s="8"/>
      <c r="K891" t="s" s="8"/>
      <c r="L891" t="s" s="8"/>
    </row>
    <row r="892" ht="15.75" customHeight="true">
      <c r="A892" t="s" s="15"/>
      <c r="B892" t="s" s="8"/>
      <c r="C892" t="s" s="8"/>
      <c r="D892" t="s" s="8"/>
      <c r="E892" t="s" s="8"/>
      <c r="F892" t="s" s="8"/>
      <c r="G892" t="s" s="8"/>
      <c r="H892" t="s" s="8"/>
      <c r="I892" t="s" s="8"/>
      <c r="J892" t="s" s="8"/>
      <c r="K892" t="s" s="8"/>
      <c r="L892" t="s" s="8"/>
    </row>
    <row r="893" ht="15.75" customHeight="true">
      <c r="A893" t="s" s="15"/>
      <c r="B893" t="s" s="8"/>
      <c r="C893" t="s" s="8"/>
      <c r="D893" t="s" s="8"/>
      <c r="E893" t="s" s="8"/>
      <c r="F893" t="s" s="8"/>
      <c r="G893" t="s" s="8"/>
      <c r="H893" t="s" s="8"/>
      <c r="I893" t="s" s="8"/>
      <c r="J893" t="s" s="8"/>
      <c r="K893" t="s" s="8"/>
      <c r="L893" t="s" s="8"/>
    </row>
    <row r="894" ht="15.75" customHeight="true">
      <c r="A894" t="s" s="15"/>
      <c r="B894" t="s" s="8"/>
      <c r="C894" t="s" s="8"/>
      <c r="D894" t="s" s="8"/>
      <c r="E894" t="s" s="8"/>
      <c r="F894" t="s" s="8"/>
      <c r="G894" t="s" s="8"/>
      <c r="H894" t="s" s="8"/>
      <c r="I894" t="s" s="8"/>
      <c r="J894" t="s" s="8"/>
      <c r="K894" t="s" s="8"/>
      <c r="L894" t="s" s="8"/>
    </row>
    <row r="895" ht="15.75" customHeight="true">
      <c r="A895" t="s" s="15"/>
      <c r="B895" t="s" s="8"/>
      <c r="C895" t="s" s="8"/>
      <c r="D895" t="s" s="8"/>
      <c r="E895" t="s" s="8"/>
      <c r="F895" t="s" s="8"/>
      <c r="G895" t="s" s="8"/>
      <c r="H895" t="s" s="8"/>
      <c r="I895" t="s" s="8"/>
      <c r="J895" t="s" s="8"/>
      <c r="K895" t="s" s="8"/>
      <c r="L895" t="s" s="8"/>
    </row>
    <row r="896" ht="15.75" customHeight="true">
      <c r="A896" t="s" s="15"/>
      <c r="B896" t="s" s="8"/>
      <c r="C896" t="s" s="8"/>
      <c r="D896" t="s" s="8"/>
      <c r="E896" t="s" s="8"/>
      <c r="F896" t="s" s="8"/>
      <c r="G896" t="s" s="8"/>
      <c r="H896" t="s" s="8"/>
      <c r="I896" t="s" s="8"/>
      <c r="J896" t="s" s="8"/>
      <c r="K896" t="s" s="8"/>
      <c r="L896" t="s" s="8"/>
    </row>
    <row r="897" ht="15.75" customHeight="true">
      <c r="A897" t="s" s="15"/>
      <c r="B897" t="s" s="8"/>
      <c r="C897" t="s" s="8"/>
      <c r="D897" t="s" s="8"/>
      <c r="E897" t="s" s="8"/>
      <c r="F897" t="s" s="8"/>
      <c r="G897" t="s" s="8"/>
      <c r="H897" t="s" s="8"/>
      <c r="I897" t="s" s="8"/>
      <c r="J897" t="s" s="8"/>
      <c r="K897" t="s" s="8"/>
      <c r="L897" t="s" s="8"/>
    </row>
    <row r="898" ht="15.75" customHeight="true">
      <c r="A898" t="s" s="15"/>
      <c r="B898" t="s" s="8"/>
      <c r="C898" t="s" s="8"/>
      <c r="D898" t="s" s="8"/>
      <c r="E898" t="s" s="8"/>
      <c r="F898" t="s" s="8"/>
      <c r="G898" t="s" s="8"/>
      <c r="H898" t="s" s="8"/>
      <c r="I898" t="s" s="8"/>
      <c r="J898" t="s" s="8"/>
      <c r="K898" t="s" s="8"/>
      <c r="L898" t="s" s="8"/>
    </row>
    <row r="899" ht="15.75" customHeight="true">
      <c r="A899" t="s" s="15"/>
      <c r="B899" t="s" s="8"/>
      <c r="C899" t="s" s="8"/>
      <c r="D899" t="s" s="8"/>
      <c r="E899" t="s" s="8"/>
      <c r="F899" t="s" s="8"/>
      <c r="G899" t="s" s="8"/>
      <c r="H899" t="s" s="8"/>
      <c r="I899" t="s" s="8"/>
      <c r="J899" t="s" s="8"/>
      <c r="K899" t="s" s="8"/>
      <c r="L899" t="s" s="8"/>
    </row>
    <row r="900" ht="15.75" customHeight="true">
      <c r="A900" t="s" s="15"/>
      <c r="B900" t="s" s="8"/>
      <c r="C900" t="s" s="8"/>
      <c r="D900" t="s" s="8"/>
      <c r="E900" t="s" s="8"/>
      <c r="F900" t="s" s="8"/>
      <c r="G900" t="s" s="8"/>
      <c r="H900" t="s" s="8"/>
      <c r="I900" t="s" s="8"/>
      <c r="J900" t="s" s="8"/>
      <c r="K900" t="s" s="8"/>
      <c r="L900" t="s" s="8"/>
    </row>
    <row r="901" ht="15.75" customHeight="true">
      <c r="A901" t="s" s="15"/>
      <c r="B901" t="s" s="8"/>
      <c r="C901" t="s" s="8"/>
      <c r="D901" t="s" s="8"/>
      <c r="E901" t="s" s="8"/>
      <c r="F901" t="s" s="8"/>
      <c r="G901" t="s" s="8"/>
      <c r="H901" t="s" s="8"/>
      <c r="I901" t="s" s="8"/>
      <c r="J901" t="s" s="8"/>
      <c r="K901" t="s" s="8"/>
      <c r="L901" t="s" s="8"/>
    </row>
    <row r="902" ht="15.75" customHeight="true">
      <c r="A902" t="s" s="15"/>
      <c r="B902" t="s" s="8"/>
      <c r="C902" t="s" s="8"/>
      <c r="D902" t="s" s="8"/>
      <c r="E902" t="s" s="8"/>
      <c r="F902" t="s" s="8"/>
      <c r="G902" t="s" s="8"/>
      <c r="H902" t="s" s="8"/>
      <c r="I902" t="s" s="8"/>
      <c r="J902" t="s" s="8"/>
      <c r="K902" t="s" s="8"/>
      <c r="L902" t="s" s="8"/>
    </row>
    <row r="903" ht="15.75" customHeight="true">
      <c r="A903" t="s" s="15"/>
      <c r="B903" t="s" s="8"/>
      <c r="C903" t="s" s="8"/>
      <c r="D903" t="s" s="8"/>
      <c r="E903" t="s" s="8"/>
      <c r="F903" t="s" s="8"/>
      <c r="G903" t="s" s="8"/>
      <c r="H903" t="s" s="8"/>
      <c r="I903" t="s" s="8"/>
      <c r="J903" t="s" s="8"/>
      <c r="K903" t="s" s="8"/>
      <c r="L903" t="s" s="8"/>
    </row>
    <row r="904" ht="15.75" customHeight="true">
      <c r="A904" t="s" s="15"/>
      <c r="B904" t="s" s="8"/>
      <c r="C904" t="s" s="8"/>
      <c r="D904" t="s" s="8"/>
      <c r="E904" t="s" s="8"/>
      <c r="F904" t="s" s="8"/>
      <c r="G904" t="s" s="8"/>
      <c r="H904" t="s" s="8"/>
      <c r="I904" t="s" s="8"/>
      <c r="J904" t="s" s="8"/>
      <c r="K904" t="s" s="8"/>
      <c r="L904" t="s" s="8"/>
    </row>
    <row r="905" ht="15.75" customHeight="true">
      <c r="A905" t="s" s="15"/>
      <c r="B905" t="s" s="8"/>
      <c r="C905" t="s" s="8"/>
      <c r="D905" t="s" s="8"/>
      <c r="E905" t="s" s="8"/>
      <c r="F905" t="s" s="8"/>
      <c r="G905" t="s" s="8"/>
      <c r="H905" t="s" s="8"/>
      <c r="I905" t="s" s="8"/>
      <c r="J905" t="s" s="8"/>
      <c r="K905" t="s" s="8"/>
      <c r="L905" t="s" s="8"/>
    </row>
    <row r="906" ht="15.75" customHeight="true">
      <c r="A906" t="s" s="15"/>
      <c r="B906" t="s" s="8"/>
      <c r="C906" t="s" s="8"/>
      <c r="D906" t="s" s="8"/>
      <c r="E906" t="s" s="8"/>
      <c r="F906" t="s" s="8"/>
      <c r="G906" t="s" s="8"/>
      <c r="H906" t="s" s="8"/>
      <c r="I906" t="s" s="8"/>
      <c r="J906" t="s" s="8"/>
      <c r="K906" t="s" s="8"/>
      <c r="L906" t="s" s="8"/>
    </row>
    <row r="907" ht="15.75" customHeight="true">
      <c r="A907" t="s" s="15"/>
      <c r="B907" t="s" s="8"/>
      <c r="C907" t="s" s="8"/>
      <c r="D907" t="s" s="8"/>
      <c r="E907" t="s" s="8"/>
      <c r="F907" t="s" s="8"/>
      <c r="G907" t="s" s="8"/>
      <c r="H907" t="s" s="8"/>
      <c r="I907" t="s" s="8"/>
      <c r="J907" t="s" s="8"/>
      <c r="K907" t="s" s="8"/>
      <c r="L907" t="s" s="8"/>
    </row>
    <row r="908" ht="15.75" customHeight="true">
      <c r="A908" t="s" s="15"/>
      <c r="B908" t="s" s="8"/>
      <c r="C908" t="s" s="8"/>
      <c r="D908" t="s" s="8"/>
      <c r="E908" t="s" s="8"/>
      <c r="F908" t="s" s="8"/>
      <c r="G908" t="s" s="8"/>
      <c r="H908" t="s" s="8"/>
      <c r="I908" t="s" s="8"/>
      <c r="J908" t="s" s="8"/>
      <c r="K908" t="s" s="8"/>
      <c r="L908" t="s" s="8"/>
    </row>
    <row r="909" ht="15.75" customHeight="true">
      <c r="A909" t="s" s="15"/>
      <c r="B909" t="s" s="8"/>
      <c r="C909" t="s" s="8"/>
      <c r="D909" t="s" s="8"/>
      <c r="E909" t="s" s="8"/>
      <c r="F909" t="s" s="8"/>
      <c r="G909" t="s" s="8"/>
      <c r="H909" t="s" s="8"/>
      <c r="I909" t="s" s="8"/>
      <c r="J909" t="s" s="8"/>
      <c r="K909" t="s" s="8"/>
      <c r="L909" t="s" s="8"/>
    </row>
    <row r="910" ht="15.75" customHeight="true">
      <c r="A910" t="s" s="15"/>
      <c r="B910" t="s" s="8"/>
      <c r="C910" t="s" s="8"/>
      <c r="D910" t="s" s="8"/>
      <c r="E910" t="s" s="8"/>
      <c r="F910" t="s" s="8"/>
      <c r="G910" t="s" s="8"/>
      <c r="H910" t="s" s="8"/>
      <c r="I910" t="s" s="8"/>
      <c r="J910" t="s" s="8"/>
      <c r="K910" t="s" s="8"/>
      <c r="L910" t="s" s="8"/>
    </row>
    <row r="911" ht="15.75" customHeight="true">
      <c r="A911" t="s" s="15"/>
      <c r="B911" t="s" s="8"/>
      <c r="C911" t="s" s="8"/>
      <c r="D911" t="s" s="8"/>
      <c r="E911" t="s" s="8"/>
      <c r="F911" t="s" s="8"/>
      <c r="G911" t="s" s="8"/>
      <c r="H911" t="s" s="8"/>
      <c r="I911" t="s" s="8"/>
      <c r="J911" t="s" s="8"/>
      <c r="K911" t="s" s="8"/>
      <c r="L911" t="s" s="8"/>
    </row>
    <row r="912" ht="15.75" customHeight="true">
      <c r="A912" t="s" s="15"/>
      <c r="B912" t="s" s="8"/>
      <c r="C912" t="s" s="8"/>
      <c r="D912" t="s" s="8"/>
      <c r="E912" t="s" s="8"/>
      <c r="F912" t="s" s="8"/>
      <c r="G912" t="s" s="8"/>
      <c r="H912" t="s" s="8"/>
      <c r="I912" t="s" s="8"/>
      <c r="J912" t="s" s="8"/>
      <c r="K912" t="s" s="8"/>
      <c r="L912" t="s" s="8"/>
    </row>
    <row r="913" ht="15.75" customHeight="true">
      <c r="A913" t="s" s="15"/>
      <c r="B913" t="s" s="8"/>
      <c r="C913" t="s" s="8"/>
      <c r="D913" t="s" s="8"/>
      <c r="E913" t="s" s="8"/>
      <c r="F913" t="s" s="8"/>
      <c r="G913" t="s" s="8"/>
      <c r="H913" t="s" s="8"/>
      <c r="I913" t="s" s="8"/>
      <c r="J913" t="s" s="8"/>
      <c r="K913" t="s" s="8"/>
      <c r="L913" t="s" s="8"/>
    </row>
    <row r="914" ht="15.75" customHeight="true">
      <c r="A914" t="s" s="15"/>
      <c r="B914" t="s" s="8"/>
      <c r="C914" t="s" s="8"/>
      <c r="D914" t="s" s="8"/>
      <c r="E914" t="s" s="8"/>
      <c r="F914" t="s" s="8"/>
      <c r="G914" t="s" s="8"/>
      <c r="H914" t="s" s="8"/>
      <c r="I914" t="s" s="8"/>
      <c r="J914" t="s" s="8"/>
      <c r="K914" t="s" s="8"/>
      <c r="L914" t="s" s="8"/>
    </row>
    <row r="915" ht="15.75" customHeight="true">
      <c r="A915" t="s" s="15"/>
      <c r="B915" t="s" s="8"/>
      <c r="C915" t="s" s="8"/>
      <c r="D915" t="s" s="8"/>
      <c r="E915" t="s" s="8"/>
      <c r="F915" t="s" s="8"/>
      <c r="G915" t="s" s="8"/>
      <c r="H915" t="s" s="8"/>
      <c r="I915" t="s" s="8"/>
      <c r="J915" t="s" s="8"/>
      <c r="K915" t="s" s="8"/>
      <c r="L915" t="s" s="8"/>
    </row>
    <row r="916" ht="15.75" customHeight="true">
      <c r="A916" t="s" s="15"/>
      <c r="B916" t="s" s="8"/>
      <c r="C916" t="s" s="8"/>
      <c r="D916" t="s" s="8"/>
      <c r="E916" t="s" s="8"/>
      <c r="F916" t="s" s="8"/>
      <c r="G916" t="s" s="8"/>
      <c r="H916" t="s" s="8"/>
      <c r="I916" t="s" s="8"/>
      <c r="J916" t="s" s="8"/>
      <c r="K916" t="s" s="8"/>
      <c r="L916" t="s" s="8"/>
    </row>
    <row r="917" ht="15.75" customHeight="true">
      <c r="A917" t="s" s="15"/>
      <c r="B917" t="s" s="8"/>
      <c r="C917" t="s" s="8"/>
      <c r="D917" t="s" s="8"/>
      <c r="E917" t="s" s="8"/>
      <c r="F917" t="s" s="8"/>
      <c r="G917" t="s" s="8"/>
      <c r="H917" t="s" s="8"/>
      <c r="I917" t="s" s="8"/>
      <c r="J917" t="s" s="8"/>
      <c r="K917" t="s" s="8"/>
      <c r="L917" t="s" s="8"/>
    </row>
    <row r="918" ht="15.75" customHeight="true">
      <c r="A918" t="s" s="15"/>
      <c r="B918" t="s" s="8"/>
      <c r="C918" t="s" s="8"/>
      <c r="D918" t="s" s="8"/>
      <c r="E918" t="s" s="8"/>
      <c r="F918" t="s" s="8"/>
      <c r="G918" t="s" s="8"/>
      <c r="H918" t="s" s="8"/>
      <c r="I918" t="s" s="8"/>
      <c r="J918" t="s" s="8"/>
      <c r="K918" t="s" s="8"/>
      <c r="L918" t="s" s="8"/>
    </row>
    <row r="919" ht="15.75" customHeight="true">
      <c r="A919" t="s" s="15"/>
      <c r="B919" t="s" s="8"/>
      <c r="C919" t="s" s="8"/>
      <c r="D919" t="s" s="8"/>
      <c r="E919" t="s" s="8"/>
      <c r="F919" t="s" s="8"/>
      <c r="G919" t="s" s="8"/>
      <c r="H919" t="s" s="8"/>
      <c r="I919" t="s" s="8"/>
      <c r="J919" t="s" s="8"/>
      <c r="K919" t="s" s="8"/>
      <c r="L919" t="s" s="8"/>
    </row>
    <row r="920" ht="15.75" customHeight="true">
      <c r="A920" t="s" s="15"/>
      <c r="B920" t="s" s="8"/>
      <c r="C920" t="s" s="8"/>
      <c r="D920" t="s" s="8"/>
      <c r="E920" t="s" s="8"/>
      <c r="F920" t="s" s="8"/>
      <c r="G920" t="s" s="8"/>
      <c r="H920" t="s" s="8"/>
      <c r="I920" t="s" s="8"/>
      <c r="J920" t="s" s="8"/>
      <c r="K920" t="s" s="8"/>
      <c r="L920" t="s" s="8"/>
    </row>
    <row r="921" ht="15.75" customHeight="true">
      <c r="A921" t="s" s="15"/>
      <c r="B921" t="s" s="8"/>
      <c r="C921" t="s" s="8"/>
      <c r="D921" t="s" s="8"/>
      <c r="E921" t="s" s="8"/>
      <c r="F921" t="s" s="8"/>
      <c r="G921" t="s" s="8"/>
      <c r="H921" t="s" s="8"/>
      <c r="I921" t="s" s="8"/>
      <c r="J921" t="s" s="8"/>
      <c r="K921" t="s" s="8"/>
      <c r="L921" t="s" s="8"/>
    </row>
    <row r="922" ht="15.75" customHeight="true">
      <c r="A922" t="s" s="15"/>
      <c r="B922" t="s" s="8"/>
      <c r="C922" t="s" s="8"/>
      <c r="D922" t="s" s="8"/>
      <c r="E922" t="s" s="8"/>
      <c r="F922" t="s" s="8"/>
      <c r="G922" t="s" s="8"/>
      <c r="H922" t="s" s="8"/>
      <c r="I922" t="s" s="8"/>
      <c r="J922" t="s" s="8"/>
      <c r="K922" t="s" s="8"/>
      <c r="L922" t="s" s="8"/>
    </row>
    <row r="923" ht="15.75" customHeight="true">
      <c r="A923" t="s" s="15"/>
      <c r="B923" t="s" s="8"/>
      <c r="C923" t="s" s="8"/>
      <c r="D923" t="s" s="8"/>
      <c r="E923" t="s" s="8"/>
      <c r="F923" t="s" s="8"/>
      <c r="G923" t="s" s="8"/>
      <c r="H923" t="s" s="8"/>
      <c r="I923" t="s" s="8"/>
      <c r="J923" t="s" s="8"/>
      <c r="K923" t="s" s="8"/>
      <c r="L923" t="s" s="8"/>
    </row>
    <row r="924" ht="15.75" customHeight="true">
      <c r="A924" t="s" s="15"/>
      <c r="B924" t="s" s="8"/>
      <c r="C924" t="s" s="8"/>
      <c r="D924" t="s" s="8"/>
      <c r="E924" t="s" s="8"/>
      <c r="F924" t="s" s="8"/>
      <c r="G924" t="s" s="8"/>
      <c r="H924" t="s" s="8"/>
      <c r="I924" t="s" s="8"/>
      <c r="J924" t="s" s="8"/>
      <c r="K924" t="s" s="8"/>
      <c r="L924" t="s" s="8"/>
    </row>
    <row r="925" ht="15.75" customHeight="true">
      <c r="A925" t="s" s="15"/>
      <c r="B925" t="s" s="8"/>
      <c r="C925" t="s" s="8"/>
      <c r="D925" t="s" s="8"/>
      <c r="E925" t="s" s="8"/>
      <c r="F925" t="s" s="8"/>
      <c r="G925" t="s" s="8"/>
      <c r="H925" t="s" s="8"/>
      <c r="I925" t="s" s="8"/>
      <c r="J925" t="s" s="8"/>
      <c r="K925" t="s" s="8"/>
      <c r="L925" t="s" s="8"/>
    </row>
    <row r="926" ht="15.75" customHeight="true">
      <c r="A926" t="s" s="15"/>
      <c r="B926" t="s" s="8"/>
      <c r="C926" t="s" s="8"/>
      <c r="D926" t="s" s="8"/>
      <c r="E926" t="s" s="8"/>
      <c r="F926" t="s" s="8"/>
      <c r="G926" t="s" s="8"/>
      <c r="H926" t="s" s="8"/>
      <c r="I926" t="s" s="8"/>
      <c r="J926" t="s" s="8"/>
      <c r="K926" t="s" s="8"/>
      <c r="L926" t="s" s="8"/>
    </row>
    <row r="927" ht="15.75" customHeight="true">
      <c r="A927" t="s" s="15"/>
      <c r="B927" t="s" s="8"/>
      <c r="C927" t="s" s="8"/>
      <c r="D927" t="s" s="8"/>
      <c r="E927" t="s" s="8"/>
      <c r="F927" t="s" s="8"/>
      <c r="G927" t="s" s="8"/>
      <c r="H927" t="s" s="8"/>
      <c r="I927" t="s" s="8"/>
      <c r="J927" t="s" s="8"/>
      <c r="K927" t="s" s="8"/>
      <c r="L927" t="s" s="8"/>
    </row>
    <row r="928" ht="15.75" customHeight="true">
      <c r="A928" t="s" s="15"/>
      <c r="B928" t="s" s="8"/>
      <c r="C928" t="s" s="8"/>
      <c r="D928" t="s" s="8"/>
      <c r="E928" t="s" s="8"/>
      <c r="F928" t="s" s="8"/>
      <c r="G928" t="s" s="8"/>
      <c r="H928" t="s" s="8"/>
      <c r="I928" t="s" s="8"/>
      <c r="J928" t="s" s="8"/>
      <c r="K928" t="s" s="8"/>
      <c r="L928" t="s" s="8"/>
    </row>
    <row r="929" ht="15.75" customHeight="true">
      <c r="A929" t="s" s="15"/>
      <c r="B929" t="s" s="8"/>
      <c r="C929" t="s" s="8"/>
      <c r="D929" t="s" s="8"/>
      <c r="E929" t="s" s="8"/>
      <c r="F929" t="s" s="8"/>
      <c r="G929" t="s" s="8"/>
      <c r="H929" t="s" s="8"/>
      <c r="I929" t="s" s="8"/>
      <c r="J929" t="s" s="8"/>
      <c r="K929" t="s" s="8"/>
      <c r="L929" t="s" s="8"/>
    </row>
    <row r="930" ht="15.75" customHeight="true">
      <c r="A930" t="s" s="15"/>
      <c r="B930" t="s" s="8"/>
      <c r="C930" t="s" s="8"/>
      <c r="D930" t="s" s="8"/>
      <c r="E930" t="s" s="8"/>
      <c r="F930" t="s" s="8"/>
      <c r="G930" t="s" s="8"/>
      <c r="H930" t="s" s="8"/>
      <c r="I930" t="s" s="8"/>
      <c r="J930" t="s" s="8"/>
      <c r="K930" t="s" s="8"/>
      <c r="L930" t="s" s="8"/>
    </row>
    <row r="931" ht="15.75" customHeight="true">
      <c r="A931" t="s" s="15"/>
      <c r="B931" t="s" s="8"/>
      <c r="C931" t="s" s="8"/>
      <c r="D931" t="s" s="8"/>
      <c r="E931" t="s" s="8"/>
      <c r="F931" t="s" s="8"/>
      <c r="G931" t="s" s="8"/>
      <c r="H931" t="s" s="8"/>
      <c r="I931" t="s" s="8"/>
      <c r="J931" t="s" s="8"/>
      <c r="K931" t="s" s="8"/>
      <c r="L931" t="s" s="8"/>
    </row>
    <row r="932" ht="15.75" customHeight="true">
      <c r="A932" t="s" s="15"/>
      <c r="B932" t="s" s="8"/>
      <c r="C932" t="s" s="8"/>
      <c r="D932" t="s" s="8"/>
      <c r="E932" t="s" s="8"/>
      <c r="F932" t="s" s="8"/>
      <c r="G932" t="s" s="8"/>
      <c r="H932" t="s" s="8"/>
      <c r="I932" t="s" s="8"/>
      <c r="J932" t="s" s="8"/>
      <c r="K932" t="s" s="8"/>
      <c r="L932" t="s" s="8"/>
    </row>
    <row r="933" ht="15.75" customHeight="true">
      <c r="A933" t="s" s="15"/>
      <c r="B933" t="s" s="8"/>
      <c r="C933" t="s" s="8"/>
      <c r="D933" t="s" s="8"/>
      <c r="E933" t="s" s="8"/>
      <c r="F933" t="s" s="8"/>
      <c r="G933" t="s" s="8"/>
      <c r="H933" t="s" s="8"/>
      <c r="I933" t="s" s="8"/>
      <c r="J933" t="s" s="8"/>
      <c r="K933" t="s" s="8"/>
      <c r="L933" t="s" s="8"/>
    </row>
    <row r="934" ht="15.75" customHeight="true">
      <c r="A934" t="s" s="15"/>
      <c r="B934" t="s" s="8"/>
      <c r="C934" t="s" s="8"/>
      <c r="D934" t="s" s="8"/>
      <c r="E934" t="s" s="8"/>
      <c r="F934" t="s" s="8"/>
      <c r="G934" t="s" s="8"/>
      <c r="H934" t="s" s="8"/>
      <c r="I934" t="s" s="8"/>
      <c r="J934" t="s" s="8"/>
      <c r="K934" t="s" s="8"/>
      <c r="L934" t="s" s="8"/>
    </row>
    <row r="935" ht="15.75" customHeight="true">
      <c r="A935" t="s" s="15"/>
      <c r="B935" t="s" s="8"/>
      <c r="C935" t="s" s="8"/>
      <c r="D935" t="s" s="8"/>
      <c r="E935" t="s" s="8"/>
      <c r="F935" t="s" s="8"/>
      <c r="G935" t="s" s="8"/>
      <c r="H935" t="s" s="8"/>
      <c r="I935" t="s" s="8"/>
      <c r="J935" t="s" s="8"/>
      <c r="K935" t="s" s="8"/>
      <c r="L935" t="s" s="8"/>
    </row>
    <row r="936" ht="15.75" customHeight="true">
      <c r="A936" t="s" s="15"/>
      <c r="B936" t="s" s="8"/>
      <c r="C936" t="s" s="8"/>
      <c r="D936" t="s" s="8"/>
      <c r="E936" t="s" s="8"/>
      <c r="F936" t="s" s="8"/>
      <c r="G936" t="s" s="8"/>
      <c r="H936" t="s" s="8"/>
      <c r="I936" t="s" s="8"/>
      <c r="J936" t="s" s="8"/>
      <c r="K936" t="s" s="8"/>
      <c r="L936" t="s" s="8"/>
    </row>
    <row r="937" ht="15.75" customHeight="true">
      <c r="A937" t="s" s="15"/>
      <c r="B937" t="s" s="8"/>
      <c r="C937" t="s" s="8"/>
      <c r="D937" t="s" s="8"/>
      <c r="E937" t="s" s="8"/>
      <c r="F937" t="s" s="8"/>
      <c r="G937" t="s" s="8"/>
      <c r="H937" t="s" s="8"/>
      <c r="I937" t="s" s="8"/>
      <c r="J937" t="s" s="8"/>
      <c r="K937" t="s" s="8"/>
      <c r="L937" t="s" s="8"/>
    </row>
    <row r="938" ht="15.75" customHeight="true">
      <c r="A938" t="s" s="15"/>
      <c r="B938" t="s" s="8"/>
      <c r="C938" t="s" s="8"/>
      <c r="D938" t="s" s="8"/>
      <c r="E938" t="s" s="8"/>
      <c r="F938" t="s" s="8"/>
      <c r="G938" t="s" s="8"/>
      <c r="H938" t="s" s="8"/>
      <c r="I938" t="s" s="8"/>
      <c r="J938" t="s" s="8"/>
      <c r="K938" t="s" s="8"/>
      <c r="L938" t="s" s="8"/>
    </row>
    <row r="939" ht="15.75" customHeight="true">
      <c r="A939" t="s" s="15"/>
      <c r="B939" t="s" s="8"/>
      <c r="C939" t="s" s="8"/>
      <c r="D939" t="s" s="8"/>
      <c r="E939" t="s" s="8"/>
      <c r="F939" t="s" s="8"/>
      <c r="G939" t="s" s="8"/>
      <c r="H939" t="s" s="8"/>
      <c r="I939" t="s" s="8"/>
      <c r="J939" t="s" s="8"/>
      <c r="K939" t="s" s="8"/>
      <c r="L939" t="s" s="8"/>
    </row>
    <row r="940" ht="15.75" customHeight="true">
      <c r="A940" t="s" s="15"/>
      <c r="B940" t="s" s="8"/>
      <c r="C940" t="s" s="8"/>
      <c r="D940" t="s" s="8"/>
      <c r="E940" t="s" s="8"/>
      <c r="F940" t="s" s="8"/>
      <c r="G940" t="s" s="8"/>
      <c r="H940" t="s" s="8"/>
      <c r="I940" t="s" s="8"/>
      <c r="J940" t="s" s="8"/>
      <c r="K940" t="s" s="8"/>
      <c r="L940" t="s" s="8"/>
    </row>
    <row r="941" ht="15.75" customHeight="true">
      <c r="A941" t="s" s="15"/>
      <c r="B941" t="s" s="8"/>
      <c r="C941" t="s" s="8"/>
      <c r="D941" t="s" s="8"/>
      <c r="E941" t="s" s="8"/>
      <c r="F941" t="s" s="8"/>
      <c r="G941" t="s" s="8"/>
      <c r="H941" t="s" s="8"/>
      <c r="I941" t="s" s="8"/>
      <c r="J941" t="s" s="8"/>
      <c r="K941" t="s" s="8"/>
      <c r="L941" t="s" s="8"/>
    </row>
    <row r="942" ht="15.75" customHeight="true">
      <c r="A942" t="s" s="15"/>
      <c r="B942" t="s" s="8"/>
      <c r="C942" t="s" s="8"/>
      <c r="D942" t="s" s="8"/>
      <c r="E942" t="s" s="8"/>
      <c r="F942" t="s" s="8"/>
      <c r="G942" t="s" s="8"/>
      <c r="H942" t="s" s="8"/>
      <c r="I942" t="s" s="8"/>
      <c r="J942" t="s" s="8"/>
      <c r="K942" t="s" s="8"/>
      <c r="L942" t="s" s="8"/>
    </row>
    <row r="943" ht="15.75" customHeight="true">
      <c r="A943" t="s" s="15"/>
      <c r="B943" t="s" s="8"/>
      <c r="C943" t="s" s="8"/>
      <c r="D943" t="s" s="8"/>
      <c r="E943" t="s" s="8"/>
      <c r="F943" t="s" s="8"/>
      <c r="G943" t="s" s="8"/>
      <c r="H943" t="s" s="8"/>
      <c r="I943" t="s" s="8"/>
      <c r="J943" t="s" s="8"/>
      <c r="K943" t="s" s="8"/>
      <c r="L943" t="s" s="8"/>
    </row>
    <row r="944" ht="15.75" customHeight="true">
      <c r="A944" t="s" s="15"/>
      <c r="B944" t="s" s="8"/>
      <c r="C944" t="s" s="8"/>
      <c r="D944" t="s" s="8"/>
      <c r="E944" t="s" s="8"/>
      <c r="F944" t="s" s="8"/>
      <c r="G944" t="s" s="8"/>
      <c r="H944" t="s" s="8"/>
      <c r="I944" t="s" s="8"/>
      <c r="J944" t="s" s="8"/>
      <c r="K944" t="s" s="8"/>
      <c r="L944" t="s" s="8"/>
    </row>
    <row r="945" ht="15.75" customHeight="true">
      <c r="A945" t="s" s="15"/>
      <c r="B945" t="s" s="8"/>
      <c r="C945" t="s" s="8"/>
      <c r="D945" t="s" s="8"/>
      <c r="E945" t="s" s="8"/>
      <c r="F945" t="s" s="8"/>
      <c r="G945" t="s" s="8"/>
      <c r="H945" t="s" s="8"/>
      <c r="I945" t="s" s="8"/>
      <c r="J945" t="s" s="8"/>
      <c r="K945" t="s" s="8"/>
      <c r="L945" t="s" s="8"/>
    </row>
    <row r="946" ht="15.75" customHeight="true">
      <c r="A946" t="s" s="15"/>
      <c r="B946" t="s" s="8"/>
      <c r="C946" t="s" s="8"/>
      <c r="D946" t="s" s="8"/>
      <c r="E946" t="s" s="8"/>
      <c r="F946" t="s" s="8"/>
      <c r="G946" t="s" s="8"/>
      <c r="H946" t="s" s="8"/>
      <c r="I946" t="s" s="8"/>
      <c r="J946" t="s" s="8"/>
      <c r="K946" t="s" s="8"/>
      <c r="L946" t="s" s="8"/>
    </row>
    <row r="947" ht="15.75" customHeight="true">
      <c r="A947" t="s" s="15"/>
      <c r="B947" t="s" s="8"/>
      <c r="C947" t="s" s="8"/>
      <c r="D947" t="s" s="8"/>
      <c r="E947" t="s" s="8"/>
      <c r="F947" t="s" s="8"/>
      <c r="G947" t="s" s="8"/>
      <c r="H947" t="s" s="8"/>
      <c r="I947" t="s" s="8"/>
      <c r="J947" t="s" s="8"/>
      <c r="K947" t="s" s="8"/>
      <c r="L947" t="s" s="8"/>
    </row>
    <row r="948" ht="15.75" customHeight="true">
      <c r="A948" t="s" s="15"/>
      <c r="B948" t="s" s="8"/>
      <c r="C948" t="s" s="8"/>
      <c r="D948" t="s" s="8"/>
      <c r="E948" t="s" s="8"/>
      <c r="F948" t="s" s="8"/>
      <c r="G948" t="s" s="8"/>
      <c r="H948" t="s" s="8"/>
      <c r="I948" t="s" s="8"/>
      <c r="J948" t="s" s="8"/>
      <c r="K948" t="s" s="8"/>
      <c r="L948" t="s" s="8"/>
    </row>
    <row r="949" ht="15.75" customHeight="true">
      <c r="A949" t="s" s="15"/>
      <c r="B949" t="s" s="8"/>
      <c r="C949" t="s" s="8"/>
      <c r="D949" t="s" s="8"/>
      <c r="E949" t="s" s="8"/>
      <c r="F949" t="s" s="8"/>
      <c r="G949" t="s" s="8"/>
      <c r="H949" t="s" s="8"/>
      <c r="I949" t="s" s="8"/>
      <c r="J949" t="s" s="8"/>
      <c r="K949" t="s" s="8"/>
      <c r="L949" t="s" s="8"/>
    </row>
    <row r="950" ht="15.75" customHeight="true">
      <c r="A950" t="s" s="15"/>
      <c r="B950" t="s" s="8"/>
      <c r="C950" t="s" s="8"/>
      <c r="D950" t="s" s="8"/>
      <c r="E950" t="s" s="8"/>
      <c r="F950" t="s" s="8"/>
      <c r="G950" t="s" s="8"/>
      <c r="H950" t="s" s="8"/>
      <c r="I950" t="s" s="8"/>
      <c r="J950" t="s" s="8"/>
      <c r="K950" t="s" s="8"/>
      <c r="L950" t="s" s="8"/>
    </row>
    <row r="951" ht="15.75" customHeight="true">
      <c r="A951" t="s" s="15"/>
      <c r="B951" t="s" s="8"/>
      <c r="C951" t="s" s="8"/>
      <c r="D951" t="s" s="8"/>
      <c r="E951" t="s" s="8"/>
      <c r="F951" t="s" s="8"/>
      <c r="G951" t="s" s="8"/>
      <c r="H951" t="s" s="8"/>
      <c r="I951" t="s" s="8"/>
      <c r="J951" t="s" s="8"/>
      <c r="K951" t="s" s="8"/>
      <c r="L951" t="s" s="8"/>
    </row>
    <row r="952" ht="15.75" customHeight="true">
      <c r="A952" t="s" s="15"/>
      <c r="B952" t="s" s="8"/>
      <c r="C952" t="s" s="8"/>
      <c r="D952" t="s" s="8"/>
      <c r="E952" t="s" s="8"/>
      <c r="F952" t="s" s="8"/>
      <c r="G952" t="s" s="8"/>
      <c r="H952" t="s" s="8"/>
      <c r="I952" t="s" s="8"/>
      <c r="J952" t="s" s="8"/>
      <c r="K952" t="s" s="8"/>
      <c r="L952" t="s" s="8"/>
    </row>
    <row r="953" ht="15.75" customHeight="true">
      <c r="A953" t="s" s="15"/>
      <c r="B953" t="s" s="8"/>
      <c r="C953" t="s" s="8"/>
      <c r="D953" t="s" s="8"/>
      <c r="E953" t="s" s="8"/>
      <c r="F953" t="s" s="8"/>
      <c r="G953" t="s" s="8"/>
      <c r="H953" t="s" s="8"/>
      <c r="I953" t="s" s="8"/>
      <c r="J953" t="s" s="8"/>
      <c r="K953" t="s" s="8"/>
      <c r="L953" t="s" s="8"/>
    </row>
    <row r="954" ht="15.75" customHeight="true">
      <c r="A954" t="s" s="15"/>
      <c r="B954" t="s" s="8"/>
      <c r="C954" t="s" s="8"/>
      <c r="D954" t="s" s="8"/>
      <c r="E954" t="s" s="8"/>
      <c r="F954" t="s" s="8"/>
      <c r="G954" t="s" s="8"/>
      <c r="H954" t="s" s="8"/>
      <c r="I954" t="s" s="8"/>
      <c r="J954" t="s" s="8"/>
      <c r="K954" t="s" s="8"/>
      <c r="L954" t="s" s="8"/>
    </row>
    <row r="955" ht="15.75" customHeight="true">
      <c r="A955" t="s" s="15"/>
      <c r="B955" t="s" s="8"/>
      <c r="C955" t="s" s="8"/>
      <c r="D955" t="s" s="8"/>
      <c r="E955" t="s" s="8"/>
      <c r="F955" t="s" s="8"/>
      <c r="G955" t="s" s="8"/>
      <c r="H955" t="s" s="8"/>
      <c r="I955" t="s" s="8"/>
      <c r="J955" t="s" s="8"/>
      <c r="K955" t="s" s="8"/>
      <c r="L955" t="s" s="8"/>
    </row>
    <row r="956" ht="15.75" customHeight="true">
      <c r="A956" t="s" s="15"/>
      <c r="B956" t="s" s="8"/>
      <c r="C956" t="s" s="8"/>
      <c r="D956" t="s" s="8"/>
      <c r="E956" t="s" s="8"/>
      <c r="F956" t="s" s="8"/>
      <c r="G956" t="s" s="8"/>
      <c r="H956" t="s" s="8"/>
      <c r="I956" t="s" s="8"/>
      <c r="J956" t="s" s="8"/>
      <c r="K956" t="s" s="8"/>
      <c r="L956" t="s" s="8"/>
    </row>
    <row r="957" ht="15.75" customHeight="true">
      <c r="A957" t="s" s="15"/>
      <c r="B957" t="s" s="8"/>
      <c r="C957" t="s" s="8"/>
      <c r="D957" t="s" s="8"/>
      <c r="E957" t="s" s="8"/>
      <c r="F957" t="s" s="8"/>
      <c r="G957" t="s" s="8"/>
      <c r="H957" t="s" s="8"/>
      <c r="I957" t="s" s="8"/>
      <c r="J957" t="s" s="8"/>
      <c r="K957" t="s" s="8"/>
      <c r="L957" t="s" s="8"/>
    </row>
    <row r="958" ht="15.75" customHeight="true">
      <c r="A958" t="s" s="15"/>
      <c r="B958" t="s" s="8"/>
      <c r="C958" t="s" s="8"/>
      <c r="D958" t="s" s="8"/>
      <c r="E958" t="s" s="8"/>
      <c r="F958" t="s" s="8"/>
      <c r="G958" t="s" s="8"/>
      <c r="H958" t="s" s="8"/>
      <c r="I958" t="s" s="8"/>
      <c r="J958" t="s" s="8"/>
      <c r="K958" t="s" s="8"/>
      <c r="L958" t="s" s="8"/>
    </row>
    <row r="959" ht="15.75" customHeight="true">
      <c r="A959" t="s" s="15"/>
      <c r="B959" t="s" s="8"/>
      <c r="C959" t="s" s="8"/>
      <c r="D959" t="s" s="8"/>
      <c r="E959" t="s" s="8"/>
      <c r="F959" t="s" s="8"/>
      <c r="G959" t="s" s="8"/>
      <c r="H959" t="s" s="8"/>
      <c r="I959" t="s" s="8"/>
      <c r="J959" t="s" s="8"/>
      <c r="K959" t="s" s="8"/>
      <c r="L959" t="s" s="8"/>
    </row>
    <row r="960" ht="15.75" customHeight="true">
      <c r="A960" t="s" s="15"/>
      <c r="B960" t="s" s="8"/>
      <c r="C960" t="s" s="8"/>
      <c r="D960" t="s" s="8"/>
      <c r="E960" t="s" s="8"/>
      <c r="F960" t="s" s="8"/>
      <c r="G960" t="s" s="8"/>
      <c r="H960" t="s" s="8"/>
      <c r="I960" t="s" s="8"/>
      <c r="J960" t="s" s="8"/>
      <c r="K960" t="s" s="8"/>
      <c r="L960" t="s" s="8"/>
    </row>
    <row r="961" ht="15.75" customHeight="true">
      <c r="A961" t="s" s="15"/>
      <c r="B961" t="s" s="8"/>
      <c r="C961" t="s" s="8"/>
      <c r="D961" t="s" s="8"/>
      <c r="E961" t="s" s="8"/>
      <c r="F961" t="s" s="8"/>
      <c r="G961" t="s" s="8"/>
      <c r="H961" t="s" s="8"/>
      <c r="I961" t="s" s="8"/>
      <c r="J961" t="s" s="8"/>
      <c r="K961" t="s" s="8"/>
      <c r="L961" t="s" s="8"/>
    </row>
    <row r="962" ht="15.75" customHeight="true">
      <c r="A962" t="s" s="15"/>
      <c r="B962" t="s" s="8"/>
      <c r="C962" t="s" s="8"/>
      <c r="D962" t="s" s="8"/>
      <c r="E962" t="s" s="8"/>
      <c r="F962" t="s" s="8"/>
      <c r="G962" t="s" s="8"/>
      <c r="H962" t="s" s="8"/>
      <c r="I962" t="s" s="8"/>
      <c r="J962" t="s" s="8"/>
      <c r="K962" t="s" s="8"/>
      <c r="L962" t="s" s="8"/>
    </row>
    <row r="963" ht="15.75" customHeight="true">
      <c r="A963" t="s" s="15"/>
      <c r="B963" t="s" s="8"/>
      <c r="C963" t="s" s="8"/>
      <c r="D963" t="s" s="8"/>
      <c r="E963" t="s" s="8"/>
      <c r="F963" t="s" s="8"/>
      <c r="G963" t="s" s="8"/>
      <c r="H963" t="s" s="8"/>
      <c r="I963" t="s" s="8"/>
      <c r="J963" t="s" s="8"/>
      <c r="K963" t="s" s="8"/>
      <c r="L963" t="s" s="8"/>
    </row>
    <row r="964" ht="15.75" customHeight="true">
      <c r="A964" t="s" s="15"/>
      <c r="B964" t="s" s="8"/>
      <c r="C964" t="s" s="8"/>
      <c r="D964" t="s" s="8"/>
      <c r="E964" t="s" s="8"/>
      <c r="F964" t="s" s="8"/>
      <c r="G964" t="s" s="8"/>
      <c r="H964" t="s" s="8"/>
      <c r="I964" t="s" s="8"/>
      <c r="J964" t="s" s="8"/>
      <c r="K964" t="s" s="8"/>
      <c r="L964" t="s" s="8"/>
    </row>
    <row r="965" ht="15.75" customHeight="true">
      <c r="A965" t="s" s="15"/>
      <c r="B965" t="s" s="8"/>
      <c r="C965" t="s" s="8"/>
      <c r="D965" t="s" s="8"/>
      <c r="E965" t="s" s="8"/>
      <c r="F965" t="s" s="8"/>
      <c r="G965" t="s" s="8"/>
      <c r="H965" t="s" s="8"/>
      <c r="I965" t="s" s="8"/>
      <c r="J965" t="s" s="8"/>
      <c r="K965" t="s" s="8"/>
      <c r="L965" t="s" s="8"/>
    </row>
    <row r="966" ht="15.75" customHeight="true">
      <c r="A966" t="s" s="15"/>
      <c r="B966" t="s" s="8"/>
      <c r="C966" t="s" s="8"/>
      <c r="D966" t="s" s="8"/>
      <c r="E966" t="s" s="8"/>
      <c r="F966" t="s" s="8"/>
      <c r="G966" t="s" s="8"/>
      <c r="H966" t="s" s="8"/>
      <c r="I966" t="s" s="8"/>
      <c r="J966" t="s" s="8"/>
      <c r="K966" t="s" s="8"/>
      <c r="L966" t="s" s="8"/>
    </row>
    <row r="967" ht="15.75" customHeight="true">
      <c r="A967" t="s" s="15"/>
      <c r="B967" t="s" s="8"/>
      <c r="C967" t="s" s="8"/>
      <c r="D967" t="s" s="8"/>
      <c r="E967" t="s" s="8"/>
      <c r="F967" t="s" s="8"/>
      <c r="G967" t="s" s="8"/>
      <c r="H967" t="s" s="8"/>
      <c r="I967" t="s" s="8"/>
      <c r="J967" t="s" s="8"/>
      <c r="K967" t="s" s="8"/>
      <c r="L967" t="s" s="8"/>
    </row>
    <row r="968" ht="15.75" customHeight="true">
      <c r="A968" t="s" s="15"/>
      <c r="B968" t="s" s="8"/>
      <c r="C968" t="s" s="8"/>
      <c r="D968" t="s" s="8"/>
      <c r="E968" t="s" s="8"/>
      <c r="F968" t="s" s="8"/>
      <c r="G968" t="s" s="8"/>
      <c r="H968" t="s" s="8"/>
      <c r="I968" t="s" s="8"/>
      <c r="J968" t="s" s="8"/>
      <c r="K968" t="s" s="8"/>
      <c r="L968" t="s" s="8"/>
    </row>
    <row r="969" ht="15.75" customHeight="true">
      <c r="A969" t="s" s="15"/>
      <c r="B969" t="s" s="8"/>
      <c r="C969" t="s" s="8"/>
      <c r="D969" t="s" s="8"/>
      <c r="E969" t="s" s="8"/>
      <c r="F969" t="s" s="8"/>
      <c r="G969" t="s" s="8"/>
      <c r="H969" t="s" s="8"/>
      <c r="I969" t="s" s="8"/>
      <c r="J969" t="s" s="8"/>
      <c r="K969" t="s" s="8"/>
      <c r="L969" t="s" s="8"/>
    </row>
    <row r="970" ht="15.75" customHeight="true">
      <c r="A970" t="s" s="15"/>
      <c r="B970" t="s" s="8"/>
      <c r="C970" t="s" s="8"/>
      <c r="D970" t="s" s="8"/>
      <c r="E970" t="s" s="8"/>
      <c r="F970" t="s" s="8"/>
      <c r="G970" t="s" s="8"/>
      <c r="H970" t="s" s="8"/>
      <c r="I970" t="s" s="8"/>
      <c r="J970" t="s" s="8"/>
      <c r="K970" t="s" s="8"/>
      <c r="L970" t="s" s="8"/>
    </row>
    <row r="971" ht="15.75" customHeight="true">
      <c r="A971" t="s" s="15"/>
      <c r="B971" t="s" s="8"/>
      <c r="C971" t="s" s="8"/>
      <c r="D971" t="s" s="8"/>
      <c r="E971" t="s" s="8"/>
      <c r="F971" t="s" s="8"/>
      <c r="G971" t="s" s="8"/>
      <c r="H971" t="s" s="8"/>
      <c r="I971" t="s" s="8"/>
      <c r="J971" t="s" s="8"/>
      <c r="K971" t="s" s="8"/>
      <c r="L971" t="s" s="8"/>
    </row>
    <row r="972" ht="15.75" customHeight="true">
      <c r="A972" t="s" s="15"/>
      <c r="B972" t="s" s="8"/>
      <c r="C972" t="s" s="8"/>
      <c r="D972" t="s" s="8"/>
      <c r="E972" t="s" s="8"/>
      <c r="F972" t="s" s="8"/>
      <c r="G972" t="s" s="8"/>
      <c r="H972" t="s" s="8"/>
      <c r="I972" t="s" s="8"/>
      <c r="J972" t="s" s="8"/>
      <c r="K972" t="s" s="8"/>
      <c r="L972" t="s" s="8"/>
    </row>
    <row r="973" ht="15.75" customHeight="true">
      <c r="A973" t="s" s="15"/>
      <c r="B973" t="s" s="8"/>
      <c r="C973" t="s" s="8"/>
      <c r="D973" t="s" s="8"/>
      <c r="E973" t="s" s="8"/>
      <c r="F973" t="s" s="8"/>
      <c r="G973" t="s" s="8"/>
      <c r="H973" t="s" s="8"/>
      <c r="I973" t="s" s="8"/>
      <c r="J973" t="s" s="8"/>
      <c r="K973" t="s" s="8"/>
      <c r="L973" t="s" s="8"/>
    </row>
    <row r="974" ht="15.75" customHeight="true">
      <c r="A974" t="s" s="15"/>
      <c r="B974" t="s" s="8"/>
      <c r="C974" t="s" s="8"/>
      <c r="D974" t="s" s="8"/>
      <c r="E974" t="s" s="8"/>
      <c r="F974" t="s" s="8"/>
      <c r="G974" t="s" s="8"/>
      <c r="H974" t="s" s="8"/>
      <c r="I974" t="s" s="8"/>
      <c r="J974" t="s" s="8"/>
      <c r="K974" t="s" s="8"/>
      <c r="L974" t="s" s="8"/>
    </row>
    <row r="975" ht="15.75" customHeight="true">
      <c r="A975" t="s" s="15"/>
      <c r="B975" t="s" s="8"/>
      <c r="C975" t="s" s="8"/>
      <c r="D975" t="s" s="8"/>
      <c r="E975" t="s" s="8"/>
      <c r="F975" t="s" s="8"/>
      <c r="G975" t="s" s="8"/>
      <c r="H975" t="s" s="8"/>
      <c r="I975" t="s" s="8"/>
      <c r="J975" t="s" s="8"/>
      <c r="K975" t="s" s="8"/>
      <c r="L975" t="s" s="8"/>
    </row>
    <row r="976" ht="15.75" customHeight="true">
      <c r="A976" t="s" s="15"/>
      <c r="B976" t="s" s="8"/>
      <c r="C976" t="s" s="8"/>
      <c r="D976" t="s" s="8"/>
      <c r="E976" t="s" s="8"/>
      <c r="F976" t="s" s="8"/>
      <c r="G976" t="s" s="8"/>
      <c r="H976" t="s" s="8"/>
      <c r="I976" t="s" s="8"/>
      <c r="J976" t="s" s="8"/>
      <c r="K976" t="s" s="8"/>
      <c r="L976" t="s" s="8"/>
    </row>
    <row r="977" ht="15.75" customHeight="true">
      <c r="A977" t="s" s="15"/>
      <c r="B977" t="s" s="8"/>
      <c r="C977" t="s" s="8"/>
      <c r="D977" t="s" s="8"/>
      <c r="E977" t="s" s="8"/>
      <c r="F977" t="s" s="8"/>
      <c r="G977" t="s" s="8"/>
      <c r="H977" t="s" s="8"/>
      <c r="I977" t="s" s="8"/>
      <c r="J977" t="s" s="8"/>
      <c r="K977" t="s" s="8"/>
      <c r="L977" t="s" s="8"/>
    </row>
    <row r="978" ht="15.75" customHeight="true">
      <c r="A978" t="s" s="15"/>
      <c r="B978" t="s" s="8"/>
      <c r="C978" t="s" s="8"/>
      <c r="D978" t="s" s="8"/>
      <c r="E978" t="s" s="8"/>
      <c r="F978" t="s" s="8"/>
      <c r="G978" t="s" s="8"/>
      <c r="H978" t="s" s="8"/>
      <c r="I978" t="s" s="8"/>
      <c r="J978" t="s" s="8"/>
      <c r="K978" t="s" s="8"/>
      <c r="L978" t="s" s="8"/>
    </row>
    <row r="979" ht="15.75" customHeight="true">
      <c r="A979" t="s" s="15"/>
      <c r="B979" t="s" s="8"/>
      <c r="C979" t="s" s="8"/>
      <c r="D979" t="s" s="8"/>
      <c r="E979" t="s" s="8"/>
      <c r="F979" t="s" s="8"/>
      <c r="G979" t="s" s="8"/>
      <c r="H979" t="s" s="8"/>
      <c r="I979" t="s" s="8"/>
      <c r="J979" t="s" s="8"/>
      <c r="K979" t="s" s="8"/>
      <c r="L979" t="s" s="8"/>
    </row>
    <row r="980" ht="15.75" customHeight="true">
      <c r="A980" t="s" s="15"/>
      <c r="B980" t="s" s="8"/>
      <c r="C980" t="s" s="8"/>
      <c r="D980" t="s" s="8"/>
      <c r="E980" t="s" s="8"/>
      <c r="F980" t="s" s="8"/>
      <c r="G980" t="s" s="8"/>
      <c r="H980" t="s" s="8"/>
      <c r="I980" t="s" s="8"/>
      <c r="J980" t="s" s="8"/>
      <c r="K980" t="s" s="8"/>
      <c r="L980" t="s" s="8"/>
    </row>
    <row r="981" ht="15.75" customHeight="true">
      <c r="A981" t="s" s="15"/>
      <c r="B981" t="s" s="8"/>
      <c r="C981" t="s" s="8"/>
      <c r="D981" t="s" s="8"/>
      <c r="E981" t="s" s="8"/>
      <c r="F981" t="s" s="8"/>
      <c r="G981" t="s" s="8"/>
      <c r="H981" t="s" s="8"/>
      <c r="I981" t="s" s="8"/>
      <c r="J981" t="s" s="8"/>
      <c r="K981" t="s" s="8"/>
      <c r="L981" t="s" s="8"/>
    </row>
    <row r="982" ht="15.75" customHeight="true">
      <c r="A982" t="s" s="15"/>
      <c r="B982" t="s" s="8"/>
      <c r="C982" t="s" s="8"/>
      <c r="D982" t="s" s="8"/>
      <c r="E982" t="s" s="8"/>
      <c r="F982" t="s" s="8"/>
      <c r="G982" t="s" s="8"/>
      <c r="H982" t="s" s="8"/>
      <c r="I982" t="s" s="8"/>
      <c r="J982" t="s" s="8"/>
      <c r="K982" t="s" s="8"/>
      <c r="L982" t="s" s="8"/>
    </row>
    <row r="983" ht="15.75" customHeight="true">
      <c r="A983" t="s" s="15"/>
      <c r="B983" t="s" s="8"/>
      <c r="C983" t="s" s="8"/>
      <c r="D983" t="s" s="8"/>
      <c r="E983" t="s" s="8"/>
      <c r="F983" t="s" s="8"/>
      <c r="G983" t="s" s="8"/>
      <c r="H983" t="s" s="8"/>
      <c r="I983" t="s" s="8"/>
      <c r="J983" t="s" s="8"/>
      <c r="K983" t="s" s="8"/>
      <c r="L983" t="s" s="8"/>
    </row>
    <row r="984" ht="15.75" customHeight="true">
      <c r="A984" t="s" s="15"/>
      <c r="B984" t="s" s="8"/>
      <c r="C984" t="s" s="8"/>
      <c r="D984" t="s" s="8"/>
      <c r="E984" t="s" s="8"/>
      <c r="F984" t="s" s="8"/>
      <c r="G984" t="s" s="8"/>
      <c r="H984" t="s" s="8"/>
      <c r="I984" t="s" s="8"/>
      <c r="J984" t="s" s="8"/>
      <c r="K984" t="s" s="8"/>
      <c r="L984" t="s" s="8"/>
    </row>
    <row r="985" ht="15.75" customHeight="true">
      <c r="A985" t="s" s="15"/>
      <c r="B985" t="s" s="8"/>
      <c r="C985" t="s" s="8"/>
      <c r="D985" t="s" s="8"/>
      <c r="E985" t="s" s="8"/>
      <c r="F985" t="s" s="8"/>
      <c r="G985" t="s" s="8"/>
      <c r="H985" t="s" s="8"/>
      <c r="I985" t="s" s="8"/>
      <c r="J985" t="s" s="8"/>
      <c r="K985" t="s" s="8"/>
      <c r="L985" t="s" s="8"/>
    </row>
    <row r="986" ht="15.75" customHeight="true">
      <c r="A986" t="s" s="15"/>
      <c r="B986" t="s" s="8"/>
      <c r="C986" t="s" s="8"/>
      <c r="D986" t="s" s="8"/>
      <c r="E986" t="s" s="8"/>
      <c r="F986" t="s" s="8"/>
      <c r="G986" t="s" s="8"/>
      <c r="H986" t="s" s="8"/>
      <c r="I986" t="s" s="8"/>
      <c r="J986" t="s" s="8"/>
      <c r="K986" t="s" s="8"/>
      <c r="L986" t="s" s="8"/>
    </row>
    <row r="987" ht="15.75" customHeight="true">
      <c r="A987" t="s" s="15"/>
      <c r="B987" t="s" s="8"/>
      <c r="C987" t="s" s="8"/>
      <c r="D987" t="s" s="8"/>
      <c r="E987" t="s" s="8"/>
      <c r="F987" t="s" s="8"/>
      <c r="G987" t="s" s="8"/>
      <c r="H987" t="s" s="8"/>
      <c r="I987" t="s" s="8"/>
      <c r="J987" t="s" s="8"/>
      <c r="K987" t="s" s="8"/>
      <c r="L987" t="s" s="8"/>
    </row>
    <row r="988" ht="15.75" customHeight="true">
      <c r="A988" t="s" s="15"/>
      <c r="B988" t="s" s="8"/>
      <c r="C988" t="s" s="8"/>
      <c r="D988" t="s" s="8"/>
      <c r="E988" t="s" s="8"/>
      <c r="F988" t="s" s="8"/>
      <c r="G988" t="s" s="8"/>
      <c r="H988" t="s" s="8"/>
      <c r="I988" t="s" s="8"/>
      <c r="J988" t="s" s="8"/>
      <c r="K988" t="s" s="8"/>
      <c r="L988" t="s" s="8"/>
    </row>
    <row r="989" ht="15.75" customHeight="true">
      <c r="A989" t="s" s="15"/>
      <c r="B989" t="s" s="8"/>
      <c r="C989" t="s" s="8"/>
      <c r="D989" t="s" s="8"/>
      <c r="E989" t="s" s="8"/>
      <c r="F989" t="s" s="8"/>
      <c r="G989" t="s" s="8"/>
      <c r="H989" t="s" s="8"/>
      <c r="I989" t="s" s="8"/>
      <c r="J989" t="s" s="8"/>
      <c r="K989" t="s" s="8"/>
      <c r="L989" t="s" s="8"/>
    </row>
    <row r="990" ht="15.75" customHeight="true">
      <c r="A990" t="s" s="15"/>
      <c r="B990" t="s" s="8"/>
      <c r="C990" t="s" s="8"/>
      <c r="D990" t="s" s="8"/>
      <c r="E990" t="s" s="8"/>
      <c r="F990" t="s" s="8"/>
      <c r="G990" t="s" s="8"/>
      <c r="H990" t="s" s="8"/>
      <c r="I990" t="s" s="8"/>
      <c r="J990" t="s" s="8"/>
      <c r="K990" t="s" s="8"/>
      <c r="L990" t="s" s="8"/>
    </row>
    <row r="991" ht="15.75" customHeight="true">
      <c r="A991" t="s" s="15"/>
      <c r="B991" t="s" s="8"/>
      <c r="C991" t="s" s="8"/>
      <c r="D991" t="s" s="8"/>
      <c r="E991" t="s" s="8"/>
      <c r="F991" t="s" s="8"/>
      <c r="G991" t="s" s="8"/>
      <c r="H991" t="s" s="8"/>
      <c r="I991" t="s" s="8"/>
      <c r="J991" t="s" s="8"/>
      <c r="K991" t="s" s="8"/>
      <c r="L991" t="s" s="8"/>
    </row>
    <row r="992" ht="15.75" customHeight="true">
      <c r="A992" t="s" s="15"/>
      <c r="B992" t="s" s="8"/>
      <c r="C992" t="s" s="8"/>
      <c r="D992" t="s" s="8"/>
      <c r="E992" t="s" s="8"/>
      <c r="F992" t="s" s="8"/>
      <c r="G992" t="s" s="8"/>
      <c r="H992" t="s" s="8"/>
      <c r="I992" t="s" s="8"/>
      <c r="J992" t="s" s="8"/>
      <c r="K992" t="s" s="8"/>
      <c r="L992" t="s" s="8"/>
    </row>
    <row r="993" ht="15.75" customHeight="true">
      <c r="A993" t="s" s="15"/>
      <c r="B993" t="s" s="8"/>
      <c r="C993" t="s" s="8"/>
      <c r="D993" t="s" s="8"/>
      <c r="E993" t="s" s="8"/>
      <c r="F993" t="s" s="8"/>
      <c r="G993" t="s" s="8"/>
      <c r="H993" t="s" s="8"/>
      <c r="I993" t="s" s="8"/>
      <c r="J993" t="s" s="8"/>
      <c r="K993" t="s" s="8"/>
      <c r="L993" t="s" s="8"/>
    </row>
    <row r="994" ht="15.75" customHeight="true">
      <c r="A994" t="s" s="15"/>
      <c r="B994" t="s" s="8"/>
      <c r="C994" t="s" s="8"/>
      <c r="D994" t="s" s="8"/>
      <c r="E994" t="s" s="8"/>
      <c r="F994" t="s" s="8"/>
      <c r="G994" t="s" s="8"/>
      <c r="H994" t="s" s="8"/>
      <c r="I994" t="s" s="8"/>
      <c r="J994" t="s" s="8"/>
      <c r="K994" t="s" s="8"/>
      <c r="L994" t="s" s="8"/>
    </row>
    <row r="995" ht="15.75" customHeight="true">
      <c r="A995" t="s" s="15"/>
      <c r="B995" t="s" s="8"/>
      <c r="C995" t="s" s="8"/>
      <c r="D995" t="s" s="8"/>
      <c r="E995" t="s" s="8"/>
      <c r="F995" t="s" s="8"/>
      <c r="G995" t="s" s="8"/>
      <c r="H995" t="s" s="8"/>
      <c r="I995" t="s" s="8"/>
      <c r="J995" t="s" s="8"/>
      <c r="K995" t="s" s="8"/>
      <c r="L995" t="s" s="8"/>
    </row>
    <row r="996" ht="15.75" customHeight="true">
      <c r="A996" t="s" s="15"/>
      <c r="B996" t="s" s="8"/>
      <c r="C996" t="s" s="8"/>
      <c r="D996" t="s" s="8"/>
      <c r="E996" t="s" s="8"/>
      <c r="F996" t="s" s="8"/>
      <c r="G996" t="s" s="8"/>
      <c r="H996" t="s" s="8"/>
      <c r="I996" t="s" s="8"/>
      <c r="J996" t="s" s="8"/>
      <c r="K996" t="s" s="8"/>
      <c r="L996" t="s" s="8"/>
    </row>
    <row r="997" ht="15.75" customHeight="true">
      <c r="A997" t="s" s="15"/>
      <c r="B997" t="s" s="8"/>
      <c r="C997" t="s" s="8"/>
      <c r="D997" t="s" s="8"/>
      <c r="E997" t="s" s="8"/>
      <c r="F997" t="s" s="8"/>
      <c r="G997" t="s" s="8"/>
      <c r="H997" t="s" s="8"/>
      <c r="I997" t="s" s="8"/>
      <c r="J997" t="s" s="8"/>
      <c r="K997" t="s" s="8"/>
      <c r="L997" t="s" s="8"/>
    </row>
    <row r="998" ht="15.75" customHeight="true">
      <c r="A998" t="s" s="15"/>
      <c r="B998" t="s" s="8"/>
      <c r="C998" t="s" s="8"/>
      <c r="D998" t="s" s="8"/>
      <c r="E998" t="s" s="8"/>
      <c r="F998" t="s" s="8"/>
      <c r="G998" t="s" s="8"/>
      <c r="H998" t="s" s="8"/>
      <c r="I998" t="s" s="8"/>
      <c r="J998" t="s" s="8"/>
      <c r="K998" t="s" s="8"/>
      <c r="L998" t="s" s="8"/>
    </row>
    <row r="999" ht="15.75" customHeight="true">
      <c r="A999" t="s" s="15"/>
      <c r="B999" t="s" s="8"/>
      <c r="C999" t="s" s="8"/>
      <c r="D999" t="s" s="8"/>
      <c r="E999" t="s" s="8"/>
      <c r="F999" t="s" s="8"/>
      <c r="G999" t="s" s="8"/>
      <c r="H999" t="s" s="8"/>
      <c r="I999" t="s" s="8"/>
      <c r="J999" t="s" s="8"/>
      <c r="K999" t="s" s="8"/>
      <c r="L999" t="s" s="8"/>
    </row>
    <row r="1000" ht="15.75" customHeight="true">
      <c r="A1000" t="s" s="15"/>
      <c r="B1000" t="s" s="8"/>
      <c r="C1000" t="s" s="8"/>
      <c r="D1000" t="s" s="8"/>
      <c r="E1000" t="s" s="8"/>
      <c r="F1000" t="s" s="8"/>
      <c r="G1000" t="s" s="8"/>
      <c r="H1000" t="s" s="8"/>
      <c r="I1000" t="s" s="8"/>
      <c r="J1000" t="s" s="8"/>
      <c r="K1000" t="s" s="8"/>
      <c r="L1000" t="s" s="8"/>
    </row>
    <row r="1001" ht="15.75" customHeight="true">
      <c r="A1001" t="s" s="15"/>
      <c r="B1001" t="s" s="8"/>
      <c r="C1001" t="s" s="8"/>
      <c r="D1001" t="s" s="8"/>
      <c r="E1001" t="s" s="8"/>
      <c r="F1001" t="s" s="8"/>
      <c r="G1001" t="s" s="8"/>
      <c r="H1001" t="s" s="8"/>
      <c r="I1001" t="s" s="8"/>
      <c r="J1001" t="s" s="8"/>
      <c r="K1001" t="s" s="8"/>
      <c r="L1001" t="s" s="8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ySplit="3" topLeftCell="A4" activePane="bottomRight" state="frozen"/>
      <selection activeCell="A1" sqref="A1"/>
    </sheetView>
  </sheetViews>
  <sheetFormatPr defaultRowHeight="15.75" customHeight="1" defaultColWidth="13.04"/>
  <cols>
    <col min="2" max="2" width="13.94" customWidth="1" hidden="0"/>
  </cols>
  <sheetData>
    <row r="1" ht="24.75" customHeight="true">
      <c r="A1" t="s" s="26">
        <v>30</v>
      </c>
      <c r="B1" s="5" t="s">
        <f>Sheet1!C1</f>
        <v>0</v>
      </c>
      <c r="G1" s="5"/>
      <c r="H1" s="8"/>
    </row>
    <row r="2" ht="18.00" customHeight="true">
      <c r="A2" s="26"/>
      <c r="B2" t="s" s="5">
        <v>2</v>
      </c>
      <c r="C2" s="5"/>
      <c r="D2" s="5"/>
      <c r="E2" s="5">
        <f>SUM(E4:E1001)</f>
        <v>315</v>
      </c>
      <c r="F2" t="s" s="5">
        <v>31</v>
      </c>
      <c r="G2" s="5">
        <f>SUM(G4:G1001)</f>
        <v>1890</v>
      </c>
      <c r="H2" s="8"/>
    </row>
    <row r="3" ht="18.00" customHeight="true">
      <c r="A3" t="s" s="29">
        <v>9</v>
      </c>
      <c r="B3" t="s" s="29">
        <v>10</v>
      </c>
      <c r="C3" t="s" s="29">
        <v>11</v>
      </c>
      <c r="D3" t="s" s="29">
        <v>12</v>
      </c>
      <c r="E3" t="s" s="29">
        <v>29</v>
      </c>
      <c r="F3" t="s" s="29">
        <v>14</v>
      </c>
      <c r="G3" t="s" s="29">
        <v>15</v>
      </c>
      <c r="H3" s="8"/>
    </row>
    <row r="4" ht="14.00" customHeight="true">
      <c r="A4" s="31" t="s">
        <f>IFERROR(__xludf.DUMMYFUNCTION("sort(unique(Sheet1!F3:I1001))"),"BEDCOVER")</f>
        <v>21</v>
      </c>
      <c r="B4" s="32" t="s">
        <f>IFERROR(__xludf.DUMMYFUNCTION("""COMPUTED_VALUE"""),"60*90")</f>
        <v>26</v>
      </c>
      <c r="C4" s="33" t="b">
        <f>IFERROR(__xludf.DUMMYFUNCTION("""COMPUTED_VALUE"""),FALSE)</f>
        <v>0</v>
      </c>
      <c r="D4" s="33" t="s">
        <f>IFERROR(__xludf.DUMMYFUNCTION("""COMPUTED_VALUE"""),"STITCHING")</f>
        <v>11</v>
      </c>
      <c r="E4" s="33" t="s">
        <f>IFERROR(__xludf.DUMMYFUNCTION("IFERROR(QUERY(Sheet1!A:L,""SELECT SUM(J) WHERE F= '""&amp;$A4&amp;""' AND G= '""&amp;$B4&amp;""' AND H='""&amp;C4&amp;""' AND I='""&amp;D4&amp;""'  LABEL SUM(J)'' ""),"""")"),"")</f>
      </c>
      <c r="F4" s="33" t="s">
        <f>IFERROR(__xludf.DUMMYFUNCTION("iferror(index(filter('PRICE LIST'!$E$2:$E1001,'PRICE LIST'!$A$2:$A1001=$D4,'PRICE LIST'!$B$2:$B1001=A4,'PRICE LIST'!$C$2:$C1001=B4,'PRICE LIST'!$D$2:$D1001=C4),1,1))"),"")</f>
      </c>
      <c r="G4" cm="1" s="33" t="s">
        <f t="array" ref="G4:G1001">IF(ISNUMBER(E4:E1001)*(E4:E1001&gt;0)*(F4:F1001&gt;0),E4:E1001*F4:F1001,"")</f>
      </c>
      <c r="H4" s="8"/>
      <c r="J4" t="s" s="8">
        <v>20</v>
      </c>
      <c r="K4" t="s" s="8">
        <v>21</v>
      </c>
      <c r="L4" t="s" s="8">
        <v>20</v>
      </c>
    </row>
    <row r="5" ht="14.00" customHeight="true">
      <c r="A5" s="32" t="s">
        <f>IFERROR(__xludf.DUMMYFUNCTION("""COMPUTED_VALUE"""),"BEDCOVER")</f>
        <v>21</v>
      </c>
      <c r="B5" s="32" t="s">
        <f>IFERROR(__xludf.DUMMYFUNCTION("""COMPUTED_VALUE"""),"90*100")</f>
        <v>22</v>
      </c>
      <c r="C5" s="33" t="s">
        <f>IFERROR(__xludf.DUMMYFUNCTION("""COMPUTED_VALUE"""),"NEW NAKSHI")</f>
        <v>20</v>
      </c>
      <c r="D5" s="33" t="s">
        <f>IFERROR(__xludf.DUMMYFUNCTION("""COMPUTED_VALUE"""),"STITCHING")</f>
        <v>11</v>
      </c>
      <c r="E5" s="33">
        <f>IFERROR(__xludf.DUMMYFUNCTION("IFERROR(QUERY(Sheet1!A:L,""SELECT SUM(J) WHERE F= '""&amp;$A5&amp;""' AND G= '""&amp;$B5&amp;""' AND H='""&amp;C5&amp;""' AND I='""&amp;D5&amp;""'  LABEL SUM(J)'' ""),"""")"),105)</f>
        <v>105</v>
      </c>
      <c r="F5" s="33">
        <f>IFERROR(__xludf.DUMMYFUNCTION("iferror(index(filter('PRICE LIST'!$E$2:$E1001,'PRICE LIST'!$A$2:$A1001=$D5,'PRICE LIST'!$B$2:$B1001=A5,'PRICE LIST'!$C$2:$C1001=B5,'PRICE LIST'!$D$2:$D1001=C5),1,1))"),4)</f>
        <v>4</v>
      </c>
      <c r="G5" s="32">
        <v>420</v>
      </c>
      <c r="H5" s="8"/>
      <c r="J5" t="s" s="8">
        <v>20</v>
      </c>
      <c r="K5" t="s" s="8">
        <v>24</v>
      </c>
      <c r="L5" t="s" s="8">
        <v>32</v>
      </c>
    </row>
    <row r="6" ht="14.00" customHeight="true">
      <c r="A6" s="32" t="s">
        <f>IFERROR(__xludf.DUMMYFUNCTION("""COMPUTED_VALUE"""),"PILLOW")</f>
        <v>24</v>
      </c>
      <c r="B6" s="32"/>
      <c r="C6" s="33" t="s">
        <f>IFERROR(__xludf.DUMMYFUNCTION("""COMPUTED_VALUE"""),"SINGLE")</f>
        <v>32</v>
      </c>
      <c r="D6" s="33" t="s">
        <f>IFERROR(__xludf.DUMMYFUNCTION("""COMPUTED_VALUE"""),"STITCHING")</f>
        <v>11</v>
      </c>
      <c r="E6" s="33">
        <f>IFERROR(__xludf.DUMMYFUNCTION("IFERROR(QUERY(Sheet1!A:L,""SELECT SUM(J) WHERE F= '""&amp;$A6&amp;""' AND G= '""&amp;$B6&amp;""' AND H='""&amp;C6&amp;""' AND I='""&amp;D6&amp;""'  LABEL SUM(J)'' ""),"""")"),210)</f>
        <v>210</v>
      </c>
      <c r="F6" s="33">
        <f>IFERROR(__xludf.DUMMYFUNCTION("iferror(index(filter('PRICE LIST'!$E$2:$E1001,'PRICE LIST'!$A$2:$A1001=$D6,'PRICE LIST'!$B$2:$B1001=A6,'PRICE LIST'!$C$2:$C1001=B6,'PRICE LIST'!$D$2:$D1001=C6),1,1))"),7)</f>
        <v>7</v>
      </c>
      <c r="G6" s="32">
        <v>1470</v>
      </c>
      <c r="H6" s="8"/>
      <c r="J6" t="s" s="8">
        <v>20</v>
      </c>
      <c r="K6" t="s" s="8">
        <v>33</v>
      </c>
      <c r="L6" t="s" s="8">
        <v>32</v>
      </c>
    </row>
    <row r="7" ht="14.00" customHeight="true">
      <c r="A7" s="32"/>
      <c r="B7" s="32"/>
      <c r="C7" s="33" t="s">
        <f>IFERROR(__xludf.DUMMYFUNCTION("""COMPUTED_VALUE"""),"NAKSHI")</f>
        <v>27</v>
      </c>
      <c r="D7" s="33" t="s">
        <f>IFERROR(__xludf.DUMMYFUNCTION("""COMPUTED_VALUE"""),"STITCHING")</f>
        <v>11</v>
      </c>
      <c r="E7" s="33" t="s">
        <f>IFERROR(__xludf.DUMMYFUNCTION("IFERROR(QUERY(Sheet1!A:L,""SELECT SUM(J) WHERE F= '""&amp;$A7&amp;""' AND G= '""&amp;$B7&amp;""' AND H='""&amp;C7&amp;""' AND I='""&amp;D7&amp;""'  LABEL SUM(J)'' ""),"""")"),"")</f>
      </c>
      <c r="F7" s="33" t="s">
        <f>IFERROR(__xludf.DUMMYFUNCTION("iferror(index(filter('PRICE LIST'!$E$2:$E1001,'PRICE LIST'!$A$2:$A1001=$D7,'PRICE LIST'!$B$2:$B1001=A7,'PRICE LIST'!$C$2:$C1001=B7,'PRICE LIST'!$D$2:$D1001=C7),1,1))"),"")</f>
      </c>
      <c r="G7" t="s" s="32"/>
      <c r="H7" s="8"/>
      <c r="J7" t="s" s="8">
        <v>20</v>
      </c>
      <c r="K7" t="s" s="8">
        <v>34</v>
      </c>
      <c r="L7" t="s" s="8">
        <v>34</v>
      </c>
    </row>
    <row r="8" ht="14.00" customHeight="true">
      <c r="A8" s="32"/>
      <c r="B8" s="32"/>
      <c r="C8" s="33" t="s">
        <f>IFERROR(__xludf.DUMMYFUNCTION("""COMPUTED_VALUE"""),"NEW NAKSHI")</f>
        <v>20</v>
      </c>
      <c r="D8" s="33" t="s">
        <f>IFERROR(__xludf.DUMMYFUNCTION("""COMPUTED_VALUE"""),"STITCHING")</f>
        <v>11</v>
      </c>
      <c r="E8" s="33" t="s">
        <f>IFERROR(__xludf.DUMMYFUNCTION("IFERROR(QUERY(Sheet1!A:L,""SELECT SUM(J) WHERE F= '""&amp;$A8&amp;""' AND G= '""&amp;$B8&amp;""' AND H='""&amp;C8&amp;""' AND I='""&amp;D8&amp;""'  LABEL SUM(J)'' ""),"""")"),"")</f>
      </c>
      <c r="F8" s="33" t="s">
        <f>IFERROR(__xludf.DUMMYFUNCTION("iferror(index(filter('PRICE LIST'!$E$2:$E1001,'PRICE LIST'!$A$2:$A1001=$D8,'PRICE LIST'!$B$2:$B1001=A8,'PRICE LIST'!$C$2:$C1001=B8,'PRICE LIST'!$D$2:$D1001=C8),1,1))"),"")</f>
      </c>
      <c r="G8" t="s" s="32"/>
      <c r="H8" s="8"/>
      <c r="J8" t="s" s="8">
        <v>27</v>
      </c>
      <c r="K8" t="s" s="8">
        <v>21</v>
      </c>
      <c r="L8" t="s" s="8">
        <v>27</v>
      </c>
    </row>
    <row r="9" ht="14.00" customHeight="true">
      <c r="A9" s="32"/>
      <c r="B9" s="32"/>
      <c r="C9" s="33" t="s">
        <f>IFERROR(__xludf.DUMMYFUNCTION("""COMPUTED_VALUE"""),"SINGLE")</f>
        <v>32</v>
      </c>
      <c r="D9" s="33" t="s">
        <f>IFERROR(__xludf.DUMMYFUNCTION("""COMPUTED_VALUE"""),"STITCHING")</f>
        <v>11</v>
      </c>
      <c r="E9" s="33" t="s">
        <f>IFERROR(__xludf.DUMMYFUNCTION("IFERROR(QUERY(Sheet1!A:L,""SELECT SUM(J) WHERE F= '""&amp;$A9&amp;""' AND G= '""&amp;$B9&amp;""' AND H='""&amp;C9&amp;""' AND I='""&amp;D9&amp;""'  LABEL SUM(J)'' ""),"""")"),"")</f>
      </c>
      <c r="F9" s="33" t="s">
        <f>IFERROR(__xludf.DUMMYFUNCTION("iferror(index(filter('PRICE LIST'!$E$2:$E1001,'PRICE LIST'!$A$2:$A1001=$D9,'PRICE LIST'!$B$2:$B1001=A9,'PRICE LIST'!$C$2:$C1001=B9,'PRICE LIST'!$D$2:$D1001=C9),1,1))"),"")</f>
      </c>
      <c r="G9" t="s" s="32"/>
      <c r="H9" s="8"/>
      <c r="J9" t="s" s="8">
        <v>27</v>
      </c>
      <c r="K9" t="s" s="8">
        <v>24</v>
      </c>
      <c r="L9" t="s" s="8">
        <v>24</v>
      </c>
    </row>
    <row r="10" ht="14.00" customHeight="true">
      <c r="A10" s="32"/>
      <c r="B10" s="32"/>
      <c r="C10" s="33"/>
      <c r="D10" s="33"/>
      <c r="E10" s="33" t="s">
        <f>IFERROR(__xludf.DUMMYFUNCTION("IFERROR(QUERY(Sheet1!A:L,""SELECT SUM(J) WHERE F= '""&amp;$A10&amp;""' AND G= '""&amp;$B10&amp;""' AND H='""&amp;C10&amp;""' AND I='""&amp;D10&amp;""'  LABEL SUM(J)'' ""),"""")"),"")</f>
      </c>
      <c r="F10" s="33" t="s">
        <f>IFERROR(__xludf.DUMMYFUNCTION("iferror(index(filter('PRICE LIST'!$E$2:$E1001,'PRICE LIST'!$A$2:$A1001=$D10,'PRICE LIST'!$B$2:$B1001=A10,'PRICE LIST'!$C$2:$C1001=B10,'PRICE LIST'!$D$2:$D1001=C10),1,1))"),"")</f>
      </c>
      <c r="G10" t="s" s="32"/>
      <c r="H10" s="8"/>
      <c r="J10" t="s" s="8">
        <v>27</v>
      </c>
      <c r="K10" t="s" s="8">
        <v>33</v>
      </c>
      <c r="L10" t="s" s="8">
        <v>33</v>
      </c>
    </row>
    <row r="11" ht="14.00" customHeight="true">
      <c r="A11" s="32"/>
      <c r="B11" s="32"/>
      <c r="C11" s="32"/>
      <c r="D11" s="32"/>
      <c r="E11" s="33" t="s">
        <f>IFERROR(__xludf.DUMMYFUNCTION("IFERROR(QUERY(Sheet1!A:L,""SELECT SUM(J) WHERE F= '""&amp;$A11&amp;""' AND G= '""&amp;$B11&amp;""' AND H='""&amp;C11&amp;""' AND I='""&amp;D11&amp;""'  LABEL SUM(J)'' ""),"""")"),"")</f>
      </c>
      <c r="F11" s="33" t="s">
        <f>IFERROR(__xludf.DUMMYFUNCTION("iferror(index(filter('PRICE LIST'!$E$2:$E1001,'PRICE LIST'!$A$2:$A1001=$D11,'PRICE LIST'!$B$2:$B1001=A11,'PRICE LIST'!$C$2:$C1001=B11,'PRICE LIST'!$D$2:$D1001=C11),1,1))"),"")</f>
      </c>
      <c r="G11" t="s" s="32"/>
      <c r="J11" t="s" s="8">
        <v>27</v>
      </c>
      <c r="K11" t="s" s="8">
        <v>34</v>
      </c>
      <c r="L11" t="s" s="8">
        <v>34</v>
      </c>
    </row>
    <row r="12" ht="14.00" customHeight="true">
      <c r="A12" s="32"/>
      <c r="B12" s="32"/>
      <c r="C12" s="32"/>
      <c r="D12" s="32"/>
      <c r="E12" s="33" t="s">
        <f>IFERROR(__xludf.DUMMYFUNCTION("IFERROR(QUERY(Sheet1!A:L,""SELECT SUM(J) WHERE F= '""&amp;$A12&amp;""' AND G= '""&amp;$B12&amp;""' AND H='""&amp;C12&amp;""' AND I='""&amp;D12&amp;""'  LABEL SUM(J)'' ""),"""")"),"")</f>
      </c>
      <c r="F12" s="33" t="s">
        <f>IFERROR(__xludf.DUMMYFUNCTION("iferror(index(filter('PRICE LIST'!$E$2:$E1001,'PRICE LIST'!$A$2:$A1001=$D12,'PRICE LIST'!$B$2:$B1001=A12,'PRICE LIST'!$C$2:$C1001=B12,'PRICE LIST'!$D$2:$D1001=C12),1,1))"),"")</f>
      </c>
      <c r="G12" t="s" s="32"/>
    </row>
    <row r="13" ht="14.00" customHeight="true">
      <c r="A13" s="32"/>
      <c r="B13" s="32"/>
      <c r="C13" s="32"/>
      <c r="D13" s="32"/>
      <c r="E13" s="33" t="s">
        <f>IFERROR(__xludf.DUMMYFUNCTION("IFERROR(QUERY(Sheet1!A:L,""SELECT SUM(J) WHERE F= '""&amp;$A13&amp;""' AND G= '""&amp;$B13&amp;""' AND H='""&amp;C13&amp;""' AND I='""&amp;D13&amp;""'  LABEL SUM(J)'' ""),"""")"),"")</f>
      </c>
      <c r="F13" s="33" t="s">
        <f>IFERROR(__xludf.DUMMYFUNCTION("iferror(index(filter('PRICE LIST'!$E$2:$E1001,'PRICE LIST'!$A$2:$A1001=$D13,'PRICE LIST'!$B$2:$B1001=A13,'PRICE LIST'!$C$2:$C1001=B13,'PRICE LIST'!$D$2:$D1001=C13),1,1))"),"")</f>
      </c>
      <c r="G13" t="s" s="32"/>
    </row>
    <row r="14" ht="14.00" customHeight="true">
      <c r="A14" s="32"/>
      <c r="B14" s="32"/>
      <c r="C14" s="32"/>
      <c r="D14" s="32"/>
      <c r="E14" s="33" t="s">
        <f>IFERROR(__xludf.DUMMYFUNCTION("IFERROR(QUERY(Sheet1!A:L,""SELECT SUM(J) WHERE F= '""&amp;$A14&amp;""' AND G= '""&amp;$B14&amp;""' AND H='""&amp;C14&amp;""' AND I='""&amp;D14&amp;""'  LABEL SUM(J)'' ""),"""")"),"")</f>
      </c>
      <c r="F14" s="33" t="s">
        <f>IFERROR(__xludf.DUMMYFUNCTION("iferror(index(filter('PRICE LIST'!$E$2:$E1001,'PRICE LIST'!$A$2:$A1001=$D14,'PRICE LIST'!$B$2:$B1001=A14,'PRICE LIST'!$C$2:$C1001=B14,'PRICE LIST'!$D$2:$D1001=C14),1,1))"),"")</f>
      </c>
      <c r="G14" t="s" s="32"/>
    </row>
    <row r="15" ht="12.50" customHeight="true">
      <c r="A15" s="11"/>
      <c r="B15" s="11"/>
      <c r="C15" s="11"/>
      <c r="D15" s="11"/>
      <c r="E15" s="11"/>
      <c r="F15" s="11"/>
      <c r="G15" t="s" s="11"/>
    </row>
    <row r="16" ht="12.50" customHeight="true">
      <c r="G16" t="s" s="8"/>
    </row>
    <row r="17" ht="12.50" customHeight="true">
      <c r="G17" t="s" s="8"/>
    </row>
    <row r="18" ht="12.50" customHeight="true">
      <c r="G18" t="s" s="8"/>
    </row>
    <row r="19" ht="12.50" customHeight="true">
      <c r="G19" t="s" s="8"/>
    </row>
    <row r="20" ht="12.50" customHeight="true">
      <c r="G20" t="s" s="8"/>
    </row>
    <row r="21" ht="12.50" customHeight="true">
      <c r="G21" t="s" s="8"/>
    </row>
    <row r="22" ht="12.50" customHeight="true">
      <c r="G22" t="s" s="8"/>
    </row>
    <row r="23" ht="12.50" customHeight="true">
      <c r="G23" t="s" s="8"/>
    </row>
    <row r="24" ht="12.50" customHeight="true">
      <c r="G24" t="s" s="8"/>
    </row>
    <row r="25" ht="12.50" customHeight="true">
      <c r="G25" t="s" s="8"/>
    </row>
    <row r="26" ht="12.50" customHeight="true">
      <c r="G26" t="s" s="8"/>
    </row>
    <row r="27" ht="12.50" customHeight="true">
      <c r="G27" t="s" s="8"/>
    </row>
    <row r="28" ht="12.50" customHeight="true">
      <c r="G28" t="s" s="8"/>
    </row>
    <row r="29" ht="12.50" customHeight="true">
      <c r="G29" t="s" s="8"/>
    </row>
    <row r="30" ht="12.50" customHeight="true">
      <c r="G30" t="s" s="8"/>
    </row>
    <row r="31" ht="12.50" customHeight="true">
      <c r="G31" t="s" s="8"/>
    </row>
    <row r="32" ht="12.50" customHeight="true">
      <c r="G32" t="s" s="8"/>
    </row>
    <row r="33" ht="12.50" customHeight="true">
      <c r="G33" t="s" s="8"/>
    </row>
    <row r="34" ht="12.50" customHeight="true">
      <c r="G34" t="s" s="8"/>
    </row>
    <row r="35" ht="12.50" customHeight="true">
      <c r="G35" t="s" s="8"/>
    </row>
    <row r="36" ht="12.50" customHeight="true">
      <c r="G36" t="s" s="8"/>
    </row>
    <row r="37" ht="12.50" customHeight="true">
      <c r="G37" t="s" s="8"/>
    </row>
    <row r="38" ht="12.50" customHeight="true">
      <c r="G38" t="s" s="8"/>
    </row>
    <row r="39" ht="12.50" customHeight="true">
      <c r="G39" t="s" s="8"/>
    </row>
    <row r="40" ht="12.50" customHeight="true">
      <c r="G40" t="s" s="8"/>
    </row>
    <row r="41" ht="12.50" customHeight="true">
      <c r="G41" t="s" s="8"/>
    </row>
    <row r="42" ht="12.50" customHeight="true">
      <c r="G42" t="s" s="8"/>
    </row>
    <row r="43" ht="12.50" customHeight="true">
      <c r="G43" t="s" s="8"/>
    </row>
    <row r="44" ht="12.50" customHeight="true">
      <c r="G44" t="s" s="8"/>
    </row>
    <row r="45" ht="12.50" customHeight="true">
      <c r="G45" t="s" s="8"/>
    </row>
    <row r="46" ht="12.50" customHeight="true">
      <c r="G46" t="s" s="8"/>
    </row>
    <row r="47" ht="12.50" customHeight="true">
      <c r="G47" t="s" s="8"/>
    </row>
    <row r="48" ht="12.50" customHeight="true">
      <c r="G48" t="s" s="8"/>
    </row>
    <row r="49" ht="12.50" customHeight="true">
      <c r="G49" t="s" s="8"/>
    </row>
    <row r="50" ht="12.50" customHeight="true">
      <c r="G50" t="s" s="8"/>
    </row>
    <row r="51" ht="12.50" customHeight="true">
      <c r="G51" t="s" s="8"/>
    </row>
    <row r="52" ht="12.50" customHeight="true">
      <c r="G52" t="s" s="8"/>
    </row>
    <row r="53" ht="12.50" customHeight="true">
      <c r="G53" t="s" s="8"/>
    </row>
    <row r="54" ht="12.50" customHeight="true">
      <c r="G54" t="s" s="8"/>
    </row>
    <row r="55" ht="12.50" customHeight="true">
      <c r="G55" t="s" s="8"/>
    </row>
    <row r="56" ht="12.50" customHeight="true">
      <c r="G56" t="s" s="8"/>
    </row>
    <row r="57" ht="12.50" customHeight="true">
      <c r="G57" t="s" s="8"/>
    </row>
    <row r="58" ht="12.50" customHeight="true">
      <c r="G58" t="s" s="8"/>
    </row>
    <row r="59" ht="12.50" customHeight="true">
      <c r="G59" t="s" s="8"/>
    </row>
    <row r="60" ht="12.50" customHeight="true">
      <c r="G60" t="s" s="8"/>
    </row>
    <row r="61" ht="12.50" customHeight="true">
      <c r="G61" t="s" s="8"/>
    </row>
    <row r="62" ht="12.50" customHeight="true">
      <c r="G62" t="s" s="8"/>
    </row>
    <row r="63" ht="12.50" customHeight="true">
      <c r="G63" t="s" s="8"/>
    </row>
    <row r="64" ht="12.50" customHeight="true">
      <c r="G64" t="s" s="8"/>
    </row>
    <row r="65" ht="12.50" customHeight="true">
      <c r="G65" t="s" s="8"/>
    </row>
    <row r="66" ht="12.50" customHeight="true">
      <c r="G66" t="s" s="8"/>
    </row>
    <row r="67" ht="12.50" customHeight="true">
      <c r="G67" t="s" s="8"/>
    </row>
    <row r="68" ht="12.50" customHeight="true">
      <c r="G68" t="s" s="8"/>
    </row>
    <row r="69" ht="12.50" customHeight="true">
      <c r="G69" t="s" s="8"/>
    </row>
    <row r="70" ht="12.50" customHeight="true">
      <c r="G70" t="s" s="8"/>
    </row>
    <row r="71" ht="12.50" customHeight="true">
      <c r="G71" t="s" s="8"/>
    </row>
    <row r="72" ht="12.50" customHeight="true">
      <c r="G72" t="s" s="8"/>
    </row>
    <row r="73" ht="12.50" customHeight="true">
      <c r="G73" t="s" s="8"/>
    </row>
    <row r="74" ht="12.50" customHeight="true">
      <c r="G74" t="s" s="8"/>
    </row>
    <row r="75" ht="12.50" customHeight="true">
      <c r="G75" t="s" s="8"/>
    </row>
    <row r="76" ht="12.50" customHeight="true">
      <c r="G76" t="s" s="8"/>
    </row>
    <row r="77" ht="12.50" customHeight="true">
      <c r="G77" t="s" s="8"/>
    </row>
    <row r="78" ht="12.50" customHeight="true">
      <c r="G78" t="s" s="8"/>
    </row>
    <row r="79" ht="12.50" customHeight="true">
      <c r="G79" t="s" s="8"/>
    </row>
    <row r="80" ht="12.50" customHeight="true">
      <c r="G80" t="s" s="8"/>
    </row>
    <row r="81" ht="12.50" customHeight="true">
      <c r="G81" t="s" s="8"/>
    </row>
    <row r="82" ht="12.50" customHeight="true">
      <c r="G82" t="s" s="8"/>
    </row>
    <row r="83" ht="12.50" customHeight="true">
      <c r="G83" t="s" s="8"/>
    </row>
    <row r="84" ht="12.50" customHeight="true">
      <c r="G84" t="s" s="8"/>
    </row>
    <row r="85" ht="12.50" customHeight="true">
      <c r="G85" t="s" s="8"/>
    </row>
    <row r="86" ht="12.50" customHeight="true">
      <c r="G86" t="s" s="8"/>
    </row>
    <row r="87" ht="12.50" customHeight="true">
      <c r="G87" t="s" s="8"/>
    </row>
    <row r="88" ht="12.50" customHeight="true">
      <c r="G88" t="s" s="8"/>
    </row>
    <row r="89" ht="12.50" customHeight="true">
      <c r="G89" t="s" s="8"/>
    </row>
    <row r="90" ht="12.50" customHeight="true">
      <c r="G90" t="s" s="8"/>
    </row>
    <row r="91" ht="12.50" customHeight="true">
      <c r="G91" t="s" s="8"/>
    </row>
    <row r="92" ht="12.50" customHeight="true">
      <c r="G92" t="s" s="8"/>
    </row>
    <row r="93" ht="12.50" customHeight="true">
      <c r="G93" t="s" s="8"/>
    </row>
    <row r="94" ht="12.50" customHeight="true">
      <c r="G94" t="s" s="8"/>
    </row>
    <row r="95" ht="12.50" customHeight="true">
      <c r="G95" t="s" s="8"/>
    </row>
    <row r="96" ht="12.50" customHeight="true">
      <c r="G96" t="s" s="8"/>
    </row>
    <row r="97" ht="12.50" customHeight="true">
      <c r="G97" t="s" s="8"/>
    </row>
    <row r="98" ht="12.50" customHeight="true">
      <c r="G98" t="s" s="8"/>
    </row>
    <row r="99" ht="12.50" customHeight="true">
      <c r="G99" t="s" s="8"/>
    </row>
    <row r="100" ht="12.50" customHeight="true">
      <c r="G100" t="s" s="8"/>
    </row>
    <row r="101" ht="12.50" customHeight="true">
      <c r="G101" t="s" s="8"/>
    </row>
    <row r="102" ht="12.50" customHeight="true">
      <c r="G102" t="s" s="8"/>
    </row>
    <row r="103" ht="12.50" customHeight="true">
      <c r="G103" t="s" s="8"/>
    </row>
    <row r="104" ht="12.50" customHeight="true">
      <c r="G104" t="s" s="8"/>
    </row>
    <row r="105" ht="12.50" customHeight="true">
      <c r="G105" t="s" s="8"/>
    </row>
    <row r="106" ht="12.50" customHeight="true">
      <c r="G106" t="s" s="8"/>
    </row>
    <row r="107" ht="12.50" customHeight="true">
      <c r="G107" t="s" s="8"/>
    </row>
    <row r="108" ht="12.50" customHeight="true">
      <c r="G108" t="s" s="8"/>
    </row>
    <row r="109" ht="12.50" customHeight="true">
      <c r="G109" t="s" s="8"/>
    </row>
    <row r="110" ht="12.50" customHeight="true">
      <c r="G110" t="s" s="8"/>
    </row>
    <row r="111" ht="12.50" customHeight="true">
      <c r="G111" t="s" s="8"/>
    </row>
    <row r="112" ht="12.50" customHeight="true">
      <c r="G112" t="s" s="8"/>
    </row>
    <row r="113" ht="12.50" customHeight="true">
      <c r="G113" t="s" s="8"/>
    </row>
    <row r="114" ht="12.50" customHeight="true">
      <c r="G114" t="s" s="8"/>
    </row>
    <row r="115" ht="12.50" customHeight="true">
      <c r="G115" t="s" s="8"/>
    </row>
    <row r="116" ht="12.50" customHeight="true">
      <c r="G116" t="s" s="8"/>
    </row>
    <row r="117" ht="12.50" customHeight="true">
      <c r="G117" t="s" s="8"/>
    </row>
    <row r="118" ht="12.50" customHeight="true">
      <c r="G118" t="s" s="8"/>
    </row>
    <row r="119" ht="12.50" customHeight="true">
      <c r="G119" t="s" s="8"/>
    </row>
    <row r="120" ht="12.50" customHeight="true">
      <c r="G120" t="s" s="8"/>
    </row>
    <row r="121" ht="12.50" customHeight="true">
      <c r="G121" t="s" s="8"/>
    </row>
    <row r="122" ht="12.50" customHeight="true">
      <c r="G122" t="s" s="8"/>
    </row>
    <row r="123" ht="12.50" customHeight="true">
      <c r="G123" t="s" s="8"/>
    </row>
    <row r="124" ht="12.50" customHeight="true">
      <c r="G124" t="s" s="8"/>
    </row>
    <row r="125" ht="12.50" customHeight="true">
      <c r="G125" t="s" s="8"/>
    </row>
    <row r="126" ht="12.50" customHeight="true">
      <c r="G126" t="s" s="8"/>
    </row>
    <row r="127" ht="12.50" customHeight="true">
      <c r="G127" t="s" s="8"/>
    </row>
    <row r="128" ht="12.50" customHeight="true">
      <c r="G128" t="s" s="8"/>
    </row>
    <row r="129" ht="12.50" customHeight="true">
      <c r="G129" t="s" s="8"/>
    </row>
    <row r="130" ht="12.50" customHeight="true">
      <c r="G130" t="s" s="8"/>
    </row>
    <row r="131" ht="12.50" customHeight="true">
      <c r="G131" t="s" s="8"/>
    </row>
    <row r="132" ht="12.50" customHeight="true">
      <c r="G132" t="s" s="8"/>
    </row>
    <row r="133" ht="12.50" customHeight="true">
      <c r="G133" t="s" s="8"/>
    </row>
    <row r="134" ht="12.50" customHeight="true">
      <c r="G134" t="s" s="8"/>
    </row>
    <row r="135" ht="12.50" customHeight="true">
      <c r="G135" t="s" s="8"/>
    </row>
    <row r="136" ht="12.50" customHeight="true">
      <c r="G136" t="s" s="8"/>
    </row>
    <row r="137" ht="12.50" customHeight="true">
      <c r="G137" t="s" s="8"/>
    </row>
    <row r="138" ht="12.50" customHeight="true">
      <c r="G138" t="s" s="8"/>
    </row>
    <row r="139" ht="12.50" customHeight="true">
      <c r="G139" t="s" s="8"/>
    </row>
    <row r="140" ht="12.50" customHeight="true">
      <c r="G140" t="s" s="8"/>
    </row>
    <row r="141" ht="12.50" customHeight="true">
      <c r="G141" t="s" s="8"/>
    </row>
    <row r="142" ht="12.50" customHeight="true">
      <c r="G142" t="s" s="8"/>
    </row>
    <row r="143" ht="12.50" customHeight="true">
      <c r="G143" t="s" s="8"/>
    </row>
    <row r="144" ht="12.50" customHeight="true">
      <c r="G144" t="s" s="8"/>
    </row>
    <row r="145" ht="12.50" customHeight="true">
      <c r="G145" t="s" s="8"/>
    </row>
    <row r="146" ht="12.50" customHeight="true">
      <c r="G146" t="s" s="8"/>
    </row>
    <row r="147" ht="12.50" customHeight="true">
      <c r="G147" t="s" s="8"/>
    </row>
    <row r="148" ht="12.50" customHeight="true">
      <c r="G148" t="s" s="8"/>
    </row>
    <row r="149" ht="12.50" customHeight="true">
      <c r="G149" t="s" s="8"/>
    </row>
    <row r="150" ht="12.50" customHeight="true">
      <c r="G150" t="s" s="8"/>
    </row>
    <row r="151" ht="12.50" customHeight="true">
      <c r="G151" t="s" s="8"/>
    </row>
    <row r="152" ht="12.50" customHeight="true">
      <c r="G152" t="s" s="8"/>
    </row>
    <row r="153" ht="12.50" customHeight="true">
      <c r="G153" t="s" s="8"/>
    </row>
    <row r="154" ht="12.50" customHeight="true">
      <c r="G154" t="s" s="8"/>
    </row>
    <row r="155" ht="12.50" customHeight="true">
      <c r="G155" t="s" s="8"/>
    </row>
    <row r="156" ht="12.50" customHeight="true">
      <c r="G156" t="s" s="8"/>
    </row>
    <row r="157" ht="12.50" customHeight="true">
      <c r="G157" t="s" s="8"/>
    </row>
    <row r="158" ht="12.50" customHeight="true">
      <c r="G158" t="s" s="8"/>
    </row>
    <row r="159" ht="12.50" customHeight="true">
      <c r="G159" t="s" s="8"/>
    </row>
    <row r="160" ht="12.50" customHeight="true">
      <c r="G160" t="s" s="8"/>
    </row>
    <row r="161" ht="12.50" customHeight="true">
      <c r="G161" t="s" s="8"/>
    </row>
    <row r="162" ht="12.50" customHeight="true">
      <c r="G162" t="s" s="8"/>
    </row>
    <row r="163" ht="12.50" customHeight="true">
      <c r="G163" t="s" s="8"/>
    </row>
    <row r="164" ht="12.50" customHeight="true">
      <c r="G164" t="s" s="8"/>
    </row>
    <row r="165" ht="12.50" customHeight="true">
      <c r="G165" t="s" s="8"/>
    </row>
    <row r="166" ht="12.50" customHeight="true">
      <c r="G166" t="s" s="8"/>
    </row>
    <row r="167" ht="12.50" customHeight="true">
      <c r="G167" t="s" s="8"/>
    </row>
    <row r="168" ht="12.50" customHeight="true">
      <c r="G168" t="s" s="8"/>
    </row>
    <row r="169" ht="12.50" customHeight="true">
      <c r="G169" t="s" s="8"/>
    </row>
    <row r="170" ht="12.50" customHeight="true">
      <c r="G170" t="s" s="8"/>
    </row>
    <row r="171" ht="12.50" customHeight="true">
      <c r="G171" t="s" s="8"/>
    </row>
    <row r="172" ht="12.50" customHeight="true">
      <c r="G172" t="s" s="8"/>
    </row>
    <row r="173" ht="12.50" customHeight="true">
      <c r="G173" t="s" s="8"/>
    </row>
    <row r="174" ht="12.50" customHeight="true">
      <c r="G174" t="s" s="8"/>
    </row>
    <row r="175" ht="12.50" customHeight="true">
      <c r="G175" t="s" s="8"/>
    </row>
    <row r="176" ht="12.50" customHeight="true">
      <c r="G176" t="s" s="8"/>
    </row>
    <row r="177" ht="12.50" customHeight="true">
      <c r="G177" t="s" s="8"/>
    </row>
    <row r="178" ht="12.50" customHeight="true">
      <c r="G178" t="s" s="8"/>
    </row>
    <row r="179" ht="12.50" customHeight="true">
      <c r="G179" t="s" s="8"/>
    </row>
    <row r="180" ht="12.50" customHeight="true">
      <c r="G180" t="s" s="8"/>
    </row>
    <row r="181" ht="12.50" customHeight="true">
      <c r="G181" t="s" s="8"/>
    </row>
    <row r="182" ht="12.50" customHeight="true">
      <c r="G182" t="s" s="8"/>
    </row>
    <row r="183" ht="12.50" customHeight="true">
      <c r="G183" t="s" s="8"/>
    </row>
    <row r="184" ht="12.50" customHeight="true">
      <c r="G184" t="s" s="8"/>
    </row>
    <row r="185" ht="12.50" customHeight="true">
      <c r="G185" t="s" s="8"/>
    </row>
    <row r="186" ht="12.50" customHeight="true">
      <c r="G186" t="s" s="8"/>
    </row>
    <row r="187" ht="12.50" customHeight="true">
      <c r="G187" t="s" s="8"/>
    </row>
    <row r="188" ht="12.50" customHeight="true">
      <c r="G188" t="s" s="8"/>
    </row>
    <row r="189" ht="12.50" customHeight="true">
      <c r="G189" t="s" s="8"/>
    </row>
    <row r="190" ht="12.50" customHeight="true">
      <c r="G190" t="s" s="8"/>
    </row>
    <row r="191" ht="12.50" customHeight="true">
      <c r="G191" t="s" s="8"/>
    </row>
    <row r="192" ht="12.50" customHeight="true">
      <c r="G192" t="s" s="8"/>
    </row>
    <row r="193" ht="12.50" customHeight="true">
      <c r="G193" t="s" s="8"/>
    </row>
    <row r="194" ht="12.50" customHeight="true">
      <c r="G194" t="s" s="8"/>
    </row>
    <row r="195" ht="12.50" customHeight="true">
      <c r="G195" t="s" s="8"/>
    </row>
    <row r="196" ht="12.50" customHeight="true">
      <c r="G196" t="s" s="8"/>
    </row>
    <row r="197" ht="12.50" customHeight="true">
      <c r="G197" t="s" s="8"/>
    </row>
    <row r="198" ht="12.50" customHeight="true">
      <c r="G198" t="s" s="8"/>
    </row>
    <row r="199" ht="12.50" customHeight="true">
      <c r="G199" t="s" s="8"/>
    </row>
    <row r="200" ht="12.50" customHeight="true">
      <c r="G200" t="s" s="8"/>
    </row>
    <row r="201" ht="12.50" customHeight="true">
      <c r="G201" t="s" s="8"/>
    </row>
    <row r="202" ht="12.50" customHeight="true">
      <c r="G202" t="s" s="8"/>
    </row>
    <row r="203" ht="12.50" customHeight="true">
      <c r="G203" t="s" s="8"/>
    </row>
    <row r="204" ht="12.50" customHeight="true">
      <c r="G204" t="s" s="8"/>
    </row>
    <row r="205" ht="12.50" customHeight="true">
      <c r="G205" t="s" s="8"/>
    </row>
    <row r="206" ht="12.50" customHeight="true">
      <c r="G206" t="s" s="8"/>
    </row>
    <row r="207" ht="12.50" customHeight="true">
      <c r="G207" t="s" s="8"/>
    </row>
    <row r="208" ht="12.50" customHeight="true">
      <c r="G208" t="s" s="8"/>
    </row>
    <row r="209" ht="12.50" customHeight="true">
      <c r="G209" t="s" s="8"/>
    </row>
    <row r="210" ht="12.50" customHeight="true">
      <c r="G210" t="s" s="8"/>
    </row>
    <row r="211" ht="12.50" customHeight="true">
      <c r="G211" t="s" s="8"/>
    </row>
    <row r="212" ht="12.50" customHeight="true">
      <c r="G212" t="s" s="8"/>
    </row>
    <row r="213" ht="12.50" customHeight="true">
      <c r="G213" t="s" s="8"/>
    </row>
    <row r="214" ht="12.50" customHeight="true">
      <c r="G214" t="s" s="8"/>
    </row>
    <row r="215" ht="12.50" customHeight="true">
      <c r="G215" t="s" s="8"/>
    </row>
    <row r="216" ht="12.50" customHeight="true">
      <c r="G216" t="s" s="8"/>
    </row>
    <row r="217" ht="12.50" customHeight="true">
      <c r="G217" t="s" s="8"/>
    </row>
    <row r="218" ht="12.50" customHeight="true">
      <c r="G218" t="s" s="8"/>
    </row>
    <row r="219" ht="12.50" customHeight="true">
      <c r="G219" t="s" s="8"/>
    </row>
    <row r="220" ht="12.50" customHeight="true">
      <c r="G220" t="s" s="8"/>
    </row>
    <row r="221" ht="12.50" customHeight="true">
      <c r="G221" t="s" s="8"/>
    </row>
    <row r="222" ht="12.50" customHeight="true">
      <c r="G222" t="s" s="8"/>
    </row>
    <row r="223" ht="12.50" customHeight="true">
      <c r="G223" t="s" s="8"/>
    </row>
    <row r="224" ht="12.50" customHeight="true">
      <c r="G224" t="s" s="8"/>
    </row>
    <row r="225" ht="12.50" customHeight="true">
      <c r="G225" t="s" s="8"/>
    </row>
    <row r="226" ht="12.50" customHeight="true">
      <c r="G226" t="s" s="8"/>
    </row>
    <row r="227" ht="12.50" customHeight="true">
      <c r="G227" t="s" s="8"/>
    </row>
    <row r="228" ht="12.50" customHeight="true">
      <c r="G228" t="s" s="8"/>
    </row>
    <row r="229" ht="12.50" customHeight="true">
      <c r="G229" t="s" s="8"/>
    </row>
    <row r="230" ht="12.50" customHeight="true">
      <c r="G230" t="s" s="8"/>
    </row>
    <row r="231" ht="12.50" customHeight="true">
      <c r="G231" t="s" s="8"/>
    </row>
    <row r="232" ht="12.50" customHeight="true">
      <c r="G232" t="s" s="8"/>
    </row>
    <row r="233" ht="12.50" customHeight="true">
      <c r="G233" t="s" s="8"/>
    </row>
    <row r="234" ht="12.50" customHeight="true">
      <c r="G234" t="s" s="8"/>
    </row>
    <row r="235" ht="12.50" customHeight="true">
      <c r="G235" t="s" s="8"/>
    </row>
    <row r="236" ht="12.50" customHeight="true">
      <c r="G236" t="s" s="8"/>
    </row>
    <row r="237" ht="12.50" customHeight="true">
      <c r="G237" t="s" s="8"/>
    </row>
    <row r="238" ht="12.50" customHeight="true">
      <c r="G238" t="s" s="8"/>
    </row>
    <row r="239" ht="12.50" customHeight="true">
      <c r="G239" t="s" s="8"/>
    </row>
    <row r="240" ht="12.50" customHeight="true">
      <c r="G240" t="s" s="8"/>
    </row>
    <row r="241" ht="12.50" customHeight="true">
      <c r="G241" t="s" s="8"/>
    </row>
    <row r="242" ht="12.50" customHeight="true">
      <c r="G242" t="s" s="8"/>
    </row>
    <row r="243" ht="12.50" customHeight="true">
      <c r="G243" t="s" s="8"/>
    </row>
    <row r="244" ht="12.50" customHeight="true">
      <c r="G244" t="s" s="8"/>
    </row>
    <row r="245" ht="12.50" customHeight="true">
      <c r="G245" t="s" s="8"/>
    </row>
    <row r="246" ht="12.50" customHeight="true">
      <c r="G246" t="s" s="8"/>
    </row>
    <row r="247" ht="12.50" customHeight="true">
      <c r="G247" t="s" s="8"/>
    </row>
    <row r="248" ht="12.50" customHeight="true">
      <c r="G248" t="s" s="8"/>
    </row>
    <row r="249" ht="12.50" customHeight="true">
      <c r="G249" t="s" s="8"/>
    </row>
    <row r="250" ht="12.50" customHeight="true">
      <c r="G250" t="s" s="8"/>
    </row>
    <row r="251" ht="12.50" customHeight="true">
      <c r="G251" t="s" s="8"/>
    </row>
    <row r="252" ht="12.50" customHeight="true">
      <c r="G252" t="s" s="8"/>
    </row>
    <row r="253" ht="12.50" customHeight="true">
      <c r="G253" t="s" s="8"/>
    </row>
    <row r="254" ht="12.50" customHeight="true">
      <c r="G254" t="s" s="8"/>
    </row>
    <row r="255" ht="12.50" customHeight="true">
      <c r="G255" t="s" s="8"/>
    </row>
    <row r="256" ht="12.50" customHeight="true">
      <c r="G256" t="s" s="8"/>
    </row>
    <row r="257" ht="12.50" customHeight="true">
      <c r="G257" t="s" s="8"/>
    </row>
    <row r="258" ht="12.50" customHeight="true">
      <c r="G258" t="s" s="8"/>
    </row>
    <row r="259" ht="12.50" customHeight="true">
      <c r="G259" t="s" s="8"/>
    </row>
    <row r="260" ht="12.50" customHeight="true">
      <c r="G260" t="s" s="8"/>
    </row>
    <row r="261" ht="12.50" customHeight="true">
      <c r="G261" t="s" s="8"/>
    </row>
    <row r="262" ht="12.50" customHeight="true">
      <c r="G262" t="s" s="8"/>
    </row>
    <row r="263" ht="12.50" customHeight="true">
      <c r="G263" t="s" s="8"/>
    </row>
    <row r="264" ht="12.50" customHeight="true">
      <c r="G264" t="s" s="8"/>
    </row>
    <row r="265" ht="12.50" customHeight="true">
      <c r="G265" t="s" s="8"/>
    </row>
    <row r="266" ht="12.50" customHeight="true">
      <c r="G266" t="s" s="8"/>
    </row>
    <row r="267" ht="12.50" customHeight="true">
      <c r="G267" t="s" s="8"/>
    </row>
    <row r="268" ht="12.50" customHeight="true">
      <c r="G268" t="s" s="8"/>
    </row>
    <row r="269" ht="12.50" customHeight="true">
      <c r="G269" t="s" s="8"/>
    </row>
    <row r="270" ht="12.50" customHeight="true">
      <c r="G270" t="s" s="8"/>
    </row>
    <row r="271" ht="12.50" customHeight="true">
      <c r="G271" t="s" s="8"/>
    </row>
    <row r="272" ht="12.50" customHeight="true">
      <c r="G272" t="s" s="8"/>
    </row>
    <row r="273" ht="12.50" customHeight="true">
      <c r="G273" t="s" s="8"/>
    </row>
    <row r="274" ht="12.50" customHeight="true">
      <c r="G274" t="s" s="8"/>
    </row>
    <row r="275" ht="12.50" customHeight="true">
      <c r="G275" t="s" s="8"/>
    </row>
    <row r="276" ht="12.50" customHeight="true">
      <c r="G276" t="s" s="8"/>
    </row>
    <row r="277" ht="12.50" customHeight="true">
      <c r="G277" t="s" s="8"/>
    </row>
    <row r="278" ht="12.50" customHeight="true">
      <c r="G278" t="s" s="8"/>
    </row>
    <row r="279" ht="12.50" customHeight="true">
      <c r="G279" t="s" s="8"/>
    </row>
    <row r="280" ht="12.50" customHeight="true">
      <c r="G280" t="s" s="8"/>
    </row>
    <row r="281" ht="12.50" customHeight="true">
      <c r="G281" t="s" s="8"/>
    </row>
    <row r="282" ht="12.50" customHeight="true">
      <c r="G282" t="s" s="8"/>
    </row>
    <row r="283" ht="12.50" customHeight="true">
      <c r="G283" t="s" s="8"/>
    </row>
    <row r="284" ht="12.50" customHeight="true">
      <c r="G284" t="s" s="8"/>
    </row>
    <row r="285" ht="12.50" customHeight="true">
      <c r="G285" t="s" s="8"/>
    </row>
    <row r="286" ht="12.50" customHeight="true">
      <c r="G286" t="s" s="8"/>
    </row>
    <row r="287" ht="12.50" customHeight="true">
      <c r="G287" t="s" s="8"/>
    </row>
    <row r="288" ht="12.50" customHeight="true">
      <c r="G288" t="s" s="8"/>
    </row>
    <row r="289" ht="12.50" customHeight="true">
      <c r="G289" t="s" s="8"/>
    </row>
    <row r="290" ht="12.50" customHeight="true">
      <c r="G290" t="s" s="8"/>
    </row>
    <row r="291" ht="12.50" customHeight="true">
      <c r="G291" t="s" s="8"/>
    </row>
    <row r="292" ht="12.50" customHeight="true">
      <c r="G292" t="s" s="8"/>
    </row>
    <row r="293" ht="12.50" customHeight="true">
      <c r="G293" t="s" s="8"/>
    </row>
    <row r="294" ht="12.50" customHeight="true">
      <c r="G294" t="s" s="8"/>
    </row>
    <row r="295" ht="12.50" customHeight="true">
      <c r="G295" t="s" s="8"/>
    </row>
    <row r="296" ht="12.50" customHeight="true">
      <c r="G296" t="s" s="8"/>
    </row>
    <row r="297" ht="12.50" customHeight="true">
      <c r="G297" t="s" s="8"/>
    </row>
    <row r="298" ht="12.50" customHeight="true">
      <c r="G298" t="s" s="8"/>
    </row>
    <row r="299" ht="12.50" customHeight="true">
      <c r="G299" t="s" s="8"/>
    </row>
    <row r="300" ht="12.50" customHeight="true">
      <c r="G300" t="s" s="8"/>
    </row>
    <row r="301" ht="12.50" customHeight="true">
      <c r="G301" t="s" s="8"/>
    </row>
    <row r="302" ht="12.50" customHeight="true">
      <c r="G302" t="s" s="8"/>
    </row>
    <row r="303" ht="12.50" customHeight="true">
      <c r="G303" t="s" s="8"/>
    </row>
    <row r="304" ht="12.50" customHeight="true">
      <c r="G304" t="s" s="8"/>
    </row>
    <row r="305" ht="12.50" customHeight="true">
      <c r="G305" t="s" s="8"/>
    </row>
    <row r="306" ht="12.50" customHeight="true">
      <c r="G306" t="s" s="8"/>
    </row>
    <row r="307" ht="12.50" customHeight="true">
      <c r="G307" t="s" s="8"/>
    </row>
    <row r="308" ht="12.50" customHeight="true">
      <c r="G308" t="s" s="8"/>
    </row>
    <row r="309" ht="12.50" customHeight="true">
      <c r="G309" t="s" s="8"/>
    </row>
    <row r="310" ht="12.50" customHeight="true">
      <c r="G310" t="s" s="8"/>
    </row>
    <row r="311" ht="12.50" customHeight="true">
      <c r="G311" t="s" s="8"/>
    </row>
    <row r="312" ht="12.50" customHeight="true">
      <c r="G312" t="s" s="8"/>
    </row>
    <row r="313" ht="12.50" customHeight="true">
      <c r="G313" t="s" s="8"/>
    </row>
    <row r="314" ht="12.50" customHeight="true">
      <c r="G314" t="s" s="8"/>
    </row>
    <row r="315" ht="12.50" customHeight="true">
      <c r="G315" t="s" s="8"/>
    </row>
    <row r="316" ht="12.50" customHeight="true">
      <c r="G316" t="s" s="8"/>
    </row>
    <row r="317" ht="12.50" customHeight="true">
      <c r="G317" t="s" s="8"/>
    </row>
    <row r="318" ht="12.50" customHeight="true">
      <c r="G318" t="s" s="8"/>
    </row>
    <row r="319" ht="12.50" customHeight="true">
      <c r="G319" t="s" s="8"/>
    </row>
    <row r="320" ht="12.50" customHeight="true">
      <c r="G320" t="s" s="8"/>
    </row>
    <row r="321" ht="12.50" customHeight="true">
      <c r="G321" t="s" s="8"/>
    </row>
    <row r="322" ht="12.50" customHeight="true">
      <c r="G322" t="s" s="8"/>
    </row>
    <row r="323" ht="12.50" customHeight="true">
      <c r="G323" t="s" s="8"/>
    </row>
    <row r="324" ht="12.50" customHeight="true">
      <c r="G324" t="s" s="8"/>
    </row>
    <row r="325" ht="12.50" customHeight="true">
      <c r="G325" t="s" s="8"/>
    </row>
    <row r="326" ht="12.50" customHeight="true">
      <c r="G326" t="s" s="8"/>
    </row>
    <row r="327" ht="12.50" customHeight="true">
      <c r="G327" t="s" s="8"/>
    </row>
    <row r="328" ht="12.50" customHeight="true">
      <c r="G328" t="s" s="8"/>
    </row>
    <row r="329" ht="12.50" customHeight="true">
      <c r="G329" t="s" s="8"/>
    </row>
    <row r="330" ht="12.50" customHeight="true">
      <c r="G330" t="s" s="8"/>
    </row>
    <row r="331" ht="12.50" customHeight="true">
      <c r="G331" t="s" s="8"/>
    </row>
    <row r="332" ht="12.50" customHeight="true">
      <c r="G332" t="s" s="8"/>
    </row>
    <row r="333" ht="12.50" customHeight="true">
      <c r="G333" t="s" s="8"/>
    </row>
    <row r="334" ht="12.50" customHeight="true">
      <c r="G334" t="s" s="8"/>
    </row>
    <row r="335" ht="12.50" customHeight="true">
      <c r="G335" t="s" s="8"/>
    </row>
    <row r="336" ht="12.50" customHeight="true">
      <c r="G336" t="s" s="8"/>
    </row>
    <row r="337" ht="12.50" customHeight="true">
      <c r="G337" t="s" s="8"/>
    </row>
    <row r="338" ht="12.50" customHeight="true">
      <c r="G338" t="s" s="8"/>
    </row>
    <row r="339" ht="12.50" customHeight="true">
      <c r="G339" t="s" s="8"/>
    </row>
    <row r="340" ht="12.50" customHeight="true">
      <c r="G340" t="s" s="8"/>
    </row>
    <row r="341" ht="12.50" customHeight="true">
      <c r="G341" t="s" s="8"/>
    </row>
    <row r="342" ht="12.50" customHeight="true">
      <c r="G342" t="s" s="8"/>
    </row>
    <row r="343" ht="12.50" customHeight="true">
      <c r="G343" t="s" s="8"/>
    </row>
    <row r="344" ht="12.50" customHeight="true">
      <c r="G344" t="s" s="8"/>
    </row>
    <row r="345" ht="12.50" customHeight="true">
      <c r="G345" t="s" s="8"/>
    </row>
    <row r="346" ht="12.50" customHeight="true">
      <c r="G346" t="s" s="8"/>
    </row>
    <row r="347" ht="12.50" customHeight="true">
      <c r="G347" t="s" s="8"/>
    </row>
    <row r="348" ht="12.50" customHeight="true">
      <c r="G348" t="s" s="8"/>
    </row>
    <row r="349" ht="12.50" customHeight="true">
      <c r="G349" t="s" s="8"/>
    </row>
    <row r="350" ht="12.50" customHeight="true">
      <c r="G350" t="s" s="8"/>
    </row>
    <row r="351" ht="12.50" customHeight="true">
      <c r="G351" t="s" s="8"/>
    </row>
    <row r="352" ht="12.50" customHeight="true">
      <c r="G352" t="s" s="8"/>
    </row>
    <row r="353" ht="12.50" customHeight="true">
      <c r="G353" t="s" s="8"/>
    </row>
    <row r="354" ht="12.50" customHeight="true">
      <c r="G354" t="s" s="8"/>
    </row>
    <row r="355" ht="12.50" customHeight="true">
      <c r="G355" t="s" s="8"/>
    </row>
    <row r="356" ht="12.50" customHeight="true">
      <c r="G356" t="s" s="8"/>
    </row>
    <row r="357" ht="12.50" customHeight="true">
      <c r="G357" t="s" s="8"/>
    </row>
    <row r="358" ht="12.50" customHeight="true">
      <c r="G358" t="s" s="8"/>
    </row>
    <row r="359" ht="12.50" customHeight="true">
      <c r="G359" t="s" s="8"/>
    </row>
    <row r="360" ht="12.50" customHeight="true">
      <c r="G360" t="s" s="8"/>
    </row>
    <row r="361" ht="12.50" customHeight="true">
      <c r="G361" t="s" s="8"/>
    </row>
    <row r="362" ht="12.50" customHeight="true">
      <c r="G362" t="s" s="8"/>
    </row>
    <row r="363" ht="12.50" customHeight="true">
      <c r="G363" t="s" s="8"/>
    </row>
    <row r="364" ht="12.50" customHeight="true">
      <c r="G364" t="s" s="8"/>
    </row>
    <row r="365" ht="12.50" customHeight="true">
      <c r="G365" t="s" s="8"/>
    </row>
    <row r="366" ht="12.50" customHeight="true">
      <c r="G366" t="s" s="8"/>
    </row>
    <row r="367" ht="12.50" customHeight="true">
      <c r="G367" t="s" s="8"/>
    </row>
    <row r="368" ht="12.50" customHeight="true">
      <c r="G368" t="s" s="8"/>
    </row>
    <row r="369" ht="12.50" customHeight="true">
      <c r="G369" t="s" s="8"/>
    </row>
    <row r="370" ht="12.50" customHeight="true">
      <c r="G370" t="s" s="8"/>
    </row>
    <row r="371" ht="12.50" customHeight="true">
      <c r="G371" t="s" s="8"/>
    </row>
    <row r="372" ht="12.50" customHeight="true">
      <c r="G372" t="s" s="8"/>
    </row>
    <row r="373" ht="12.50" customHeight="true">
      <c r="G373" t="s" s="8"/>
    </row>
    <row r="374" ht="12.50" customHeight="true">
      <c r="G374" t="s" s="8"/>
    </row>
    <row r="375" ht="12.50" customHeight="true">
      <c r="G375" t="s" s="8"/>
    </row>
    <row r="376" ht="12.50" customHeight="true">
      <c r="G376" t="s" s="8"/>
    </row>
    <row r="377" ht="12.50" customHeight="true">
      <c r="G377" t="s" s="8"/>
    </row>
    <row r="378" ht="12.50" customHeight="true">
      <c r="G378" t="s" s="8"/>
    </row>
    <row r="379" ht="12.50" customHeight="true">
      <c r="G379" t="s" s="8"/>
    </row>
    <row r="380" ht="12.50" customHeight="true">
      <c r="G380" t="s" s="8"/>
    </row>
    <row r="381" ht="12.50" customHeight="true">
      <c r="G381" t="s" s="8"/>
    </row>
    <row r="382" ht="12.50" customHeight="true">
      <c r="G382" t="s" s="8"/>
    </row>
    <row r="383" ht="12.50" customHeight="true">
      <c r="G383" t="s" s="8"/>
    </row>
    <row r="384" ht="12.50" customHeight="true">
      <c r="G384" t="s" s="8"/>
    </row>
    <row r="385" ht="12.50" customHeight="true">
      <c r="G385" t="s" s="8"/>
    </row>
    <row r="386" ht="12.50" customHeight="true">
      <c r="G386" t="s" s="8"/>
    </row>
    <row r="387" ht="12.50" customHeight="true">
      <c r="G387" t="s" s="8"/>
    </row>
    <row r="388" ht="12.50" customHeight="true">
      <c r="G388" t="s" s="8"/>
    </row>
    <row r="389" ht="12.50" customHeight="true">
      <c r="G389" t="s" s="8"/>
    </row>
    <row r="390" ht="12.50" customHeight="true">
      <c r="G390" t="s" s="8"/>
    </row>
    <row r="391" ht="12.50" customHeight="true">
      <c r="G391" t="s" s="8"/>
    </row>
    <row r="392" ht="12.50" customHeight="true">
      <c r="G392" t="s" s="8"/>
    </row>
    <row r="393" ht="12.50" customHeight="true">
      <c r="G393" t="s" s="8"/>
    </row>
    <row r="394" ht="12.50" customHeight="true">
      <c r="G394" t="s" s="8"/>
    </row>
    <row r="395" ht="12.50" customHeight="true">
      <c r="G395" t="s" s="8"/>
    </row>
    <row r="396" ht="12.50" customHeight="true">
      <c r="G396" t="s" s="8"/>
    </row>
    <row r="397" ht="12.50" customHeight="true">
      <c r="G397" t="s" s="8"/>
    </row>
    <row r="398" ht="12.50" customHeight="true">
      <c r="G398" t="s" s="8"/>
    </row>
    <row r="399" ht="12.50" customHeight="true">
      <c r="G399" t="s" s="8"/>
    </row>
    <row r="400" ht="12.50" customHeight="true">
      <c r="G400" t="s" s="8"/>
    </row>
    <row r="401" ht="12.50" customHeight="true">
      <c r="G401" t="s" s="8"/>
    </row>
    <row r="402" ht="12.50" customHeight="true">
      <c r="G402" t="s" s="8"/>
    </row>
    <row r="403" ht="12.50" customHeight="true">
      <c r="G403" t="s" s="8"/>
    </row>
    <row r="404" ht="12.50" customHeight="true">
      <c r="G404" t="s" s="8"/>
    </row>
    <row r="405" ht="12.50" customHeight="true">
      <c r="G405" t="s" s="8"/>
    </row>
    <row r="406" ht="12.50" customHeight="true">
      <c r="G406" t="s" s="8"/>
    </row>
    <row r="407" ht="12.50" customHeight="true">
      <c r="G407" t="s" s="8"/>
    </row>
    <row r="408" ht="12.50" customHeight="true">
      <c r="G408" t="s" s="8"/>
    </row>
    <row r="409" ht="12.50" customHeight="true">
      <c r="G409" t="s" s="8"/>
    </row>
    <row r="410" ht="12.50" customHeight="true">
      <c r="G410" t="s" s="8"/>
    </row>
    <row r="411" ht="12.50" customHeight="true">
      <c r="G411" t="s" s="8"/>
    </row>
    <row r="412" ht="12.50" customHeight="true">
      <c r="G412" t="s" s="8"/>
    </row>
    <row r="413" ht="12.50" customHeight="true">
      <c r="G413" t="s" s="8"/>
    </row>
    <row r="414" ht="12.50" customHeight="true">
      <c r="G414" t="s" s="8"/>
    </row>
    <row r="415" ht="12.50" customHeight="true">
      <c r="G415" t="s" s="8"/>
    </row>
    <row r="416" ht="12.50" customHeight="true">
      <c r="G416" t="s" s="8"/>
    </row>
    <row r="417" ht="12.50" customHeight="true">
      <c r="G417" t="s" s="8"/>
    </row>
    <row r="418" ht="12.50" customHeight="true">
      <c r="G418" t="s" s="8"/>
    </row>
    <row r="419" ht="12.50" customHeight="true">
      <c r="G419" t="s" s="8"/>
    </row>
    <row r="420" ht="12.50" customHeight="true">
      <c r="G420" t="s" s="8"/>
    </row>
    <row r="421" ht="12.50" customHeight="true">
      <c r="G421" t="s" s="8"/>
    </row>
    <row r="422" ht="12.50" customHeight="true">
      <c r="G422" t="s" s="8"/>
    </row>
    <row r="423" ht="12.50" customHeight="true">
      <c r="G423" t="s" s="8"/>
    </row>
    <row r="424" ht="12.50" customHeight="true">
      <c r="G424" t="s" s="8"/>
    </row>
    <row r="425" ht="12.50" customHeight="true">
      <c r="G425" t="s" s="8"/>
    </row>
    <row r="426" ht="12.50" customHeight="true">
      <c r="G426" t="s" s="8"/>
    </row>
    <row r="427" ht="12.50" customHeight="true">
      <c r="G427" t="s" s="8"/>
    </row>
    <row r="428" ht="12.50" customHeight="true">
      <c r="G428" t="s" s="8"/>
    </row>
    <row r="429" ht="12.50" customHeight="true">
      <c r="G429" t="s" s="8"/>
    </row>
    <row r="430" ht="12.50" customHeight="true">
      <c r="G430" t="s" s="8"/>
    </row>
    <row r="431" ht="12.50" customHeight="true">
      <c r="G431" t="s" s="8"/>
    </row>
    <row r="432" ht="12.50" customHeight="true">
      <c r="G432" t="s" s="8"/>
    </row>
    <row r="433" ht="12.50" customHeight="true">
      <c r="G433" t="s" s="8"/>
    </row>
    <row r="434" ht="12.50" customHeight="true">
      <c r="G434" t="s" s="8"/>
    </row>
    <row r="435" ht="12.50" customHeight="true">
      <c r="G435" t="s" s="8"/>
    </row>
    <row r="436" ht="12.50" customHeight="true">
      <c r="G436" t="s" s="8"/>
    </row>
    <row r="437" ht="12.50" customHeight="true">
      <c r="G437" t="s" s="8"/>
    </row>
    <row r="438" ht="12.50" customHeight="true">
      <c r="G438" t="s" s="8"/>
    </row>
    <row r="439" ht="12.50" customHeight="true">
      <c r="G439" t="s" s="8"/>
    </row>
    <row r="440" ht="12.50" customHeight="true">
      <c r="G440" t="s" s="8"/>
    </row>
    <row r="441" ht="12.50" customHeight="true">
      <c r="G441" t="s" s="8"/>
    </row>
    <row r="442" ht="12.50" customHeight="true">
      <c r="G442" t="s" s="8"/>
    </row>
    <row r="443" ht="12.50" customHeight="true">
      <c r="G443" t="s" s="8"/>
    </row>
    <row r="444" ht="12.50" customHeight="true">
      <c r="G444" t="s" s="8"/>
    </row>
    <row r="445" ht="12.50" customHeight="true">
      <c r="G445" t="s" s="8"/>
    </row>
    <row r="446" ht="12.50" customHeight="true">
      <c r="G446" t="s" s="8"/>
    </row>
    <row r="447" ht="12.50" customHeight="true">
      <c r="G447" t="s" s="8"/>
    </row>
    <row r="448" ht="12.50" customHeight="true">
      <c r="G448" t="s" s="8"/>
    </row>
    <row r="449" ht="12.50" customHeight="true">
      <c r="G449" t="s" s="8"/>
    </row>
    <row r="450" ht="12.50" customHeight="true">
      <c r="G450" t="s" s="8"/>
    </row>
    <row r="451" ht="12.50" customHeight="true">
      <c r="G451" t="s" s="8"/>
    </row>
    <row r="452" ht="12.50" customHeight="true">
      <c r="G452" t="s" s="8"/>
    </row>
    <row r="453" ht="12.50" customHeight="true">
      <c r="G453" t="s" s="8"/>
    </row>
    <row r="454" ht="12.50" customHeight="true">
      <c r="G454" t="s" s="8"/>
    </row>
    <row r="455" ht="12.50" customHeight="true">
      <c r="G455" t="s" s="8"/>
    </row>
    <row r="456" ht="12.50" customHeight="true">
      <c r="G456" t="s" s="8"/>
    </row>
    <row r="457" ht="12.50" customHeight="true">
      <c r="G457" t="s" s="8"/>
    </row>
    <row r="458" ht="12.50" customHeight="true">
      <c r="G458" t="s" s="8"/>
    </row>
    <row r="459" ht="12.50" customHeight="true">
      <c r="G459" t="s" s="8"/>
    </row>
    <row r="460" ht="12.50" customHeight="true">
      <c r="G460" t="s" s="8"/>
    </row>
    <row r="461" ht="12.50" customHeight="true">
      <c r="G461" t="s" s="8"/>
    </row>
    <row r="462" ht="12.50" customHeight="true">
      <c r="G462" t="s" s="8"/>
    </row>
    <row r="463" ht="12.50" customHeight="true">
      <c r="G463" t="s" s="8"/>
    </row>
    <row r="464" ht="12.50" customHeight="true">
      <c r="G464" t="s" s="8"/>
    </row>
    <row r="465" ht="12.50" customHeight="true">
      <c r="G465" t="s" s="8"/>
    </row>
    <row r="466" ht="12.50" customHeight="true">
      <c r="G466" t="s" s="8"/>
    </row>
    <row r="467" ht="12.50" customHeight="true">
      <c r="G467" t="s" s="8"/>
    </row>
    <row r="468" ht="12.50" customHeight="true">
      <c r="G468" t="s" s="8"/>
    </row>
    <row r="469" ht="12.50" customHeight="true">
      <c r="G469" t="s" s="8"/>
    </row>
    <row r="470" ht="12.50" customHeight="true">
      <c r="G470" t="s" s="8"/>
    </row>
    <row r="471" ht="12.50" customHeight="true">
      <c r="G471" t="s" s="8"/>
    </row>
    <row r="472" ht="12.50" customHeight="true">
      <c r="G472" t="s" s="8"/>
    </row>
    <row r="473" ht="12.50" customHeight="true">
      <c r="G473" t="s" s="8"/>
    </row>
    <row r="474" ht="12.50" customHeight="true">
      <c r="G474" t="s" s="8"/>
    </row>
    <row r="475" ht="12.50" customHeight="true">
      <c r="G475" t="s" s="8"/>
    </row>
    <row r="476" ht="12.50" customHeight="true">
      <c r="G476" t="s" s="8"/>
    </row>
    <row r="477" ht="12.50" customHeight="true">
      <c r="G477" t="s" s="8"/>
    </row>
    <row r="478" ht="12.50" customHeight="true">
      <c r="G478" t="s" s="8"/>
    </row>
    <row r="479" ht="12.50" customHeight="true">
      <c r="G479" t="s" s="8"/>
    </row>
    <row r="480" ht="12.50" customHeight="true">
      <c r="G480" t="s" s="8"/>
    </row>
    <row r="481" ht="12.50" customHeight="true">
      <c r="G481" t="s" s="8"/>
    </row>
    <row r="482" ht="12.50" customHeight="true">
      <c r="G482" t="s" s="8"/>
    </row>
    <row r="483" ht="12.50" customHeight="true">
      <c r="G483" t="s" s="8"/>
    </row>
    <row r="484" ht="12.50" customHeight="true">
      <c r="G484" t="s" s="8"/>
    </row>
    <row r="485" ht="12.50" customHeight="true">
      <c r="G485" t="s" s="8"/>
    </row>
    <row r="486" ht="12.50" customHeight="true">
      <c r="G486" t="s" s="8"/>
    </row>
    <row r="487" ht="12.50" customHeight="true">
      <c r="G487" t="s" s="8"/>
    </row>
    <row r="488" ht="12.50" customHeight="true">
      <c r="G488" t="s" s="8"/>
    </row>
    <row r="489" ht="12.50" customHeight="true">
      <c r="G489" t="s" s="8"/>
    </row>
    <row r="490" ht="12.50" customHeight="true">
      <c r="G490" t="s" s="8"/>
    </row>
    <row r="491" ht="12.50" customHeight="true">
      <c r="G491" t="s" s="8"/>
    </row>
    <row r="492" ht="12.50" customHeight="true">
      <c r="G492" t="s" s="8"/>
    </row>
    <row r="493" ht="12.50" customHeight="true">
      <c r="G493" t="s" s="8"/>
    </row>
    <row r="494" ht="12.50" customHeight="true">
      <c r="G494" t="s" s="8"/>
    </row>
    <row r="495" ht="12.50" customHeight="true">
      <c r="G495" t="s" s="8"/>
    </row>
    <row r="496" ht="12.50" customHeight="true">
      <c r="G496" t="s" s="8"/>
    </row>
    <row r="497" ht="12.50" customHeight="true">
      <c r="G497" t="s" s="8"/>
    </row>
    <row r="498" ht="12.50" customHeight="true">
      <c r="G498" t="s" s="8"/>
    </row>
    <row r="499" ht="12.50" customHeight="true">
      <c r="G499" t="s" s="8"/>
    </row>
    <row r="500" ht="12.50" customHeight="true">
      <c r="G500" t="s" s="8"/>
    </row>
    <row r="501" ht="12.50" customHeight="true">
      <c r="G501" t="s" s="8"/>
    </row>
    <row r="502" ht="12.50" customHeight="true">
      <c r="G502" t="s" s="8"/>
    </row>
    <row r="503" ht="12.50" customHeight="true">
      <c r="G503" t="s" s="8"/>
    </row>
    <row r="504" ht="12.50" customHeight="true">
      <c r="G504" t="s" s="8"/>
    </row>
    <row r="505" ht="12.50" customHeight="true">
      <c r="G505" t="s" s="8"/>
    </row>
    <row r="506" ht="12.50" customHeight="true">
      <c r="G506" t="s" s="8"/>
    </row>
    <row r="507" ht="12.50" customHeight="true">
      <c r="G507" t="s" s="8"/>
    </row>
    <row r="508" ht="12.50" customHeight="true">
      <c r="G508" t="s" s="8"/>
    </row>
    <row r="509" ht="12.50" customHeight="true">
      <c r="G509" t="s" s="8"/>
    </row>
    <row r="510" ht="12.50" customHeight="true">
      <c r="G510" t="s" s="8"/>
    </row>
    <row r="511" ht="12.50" customHeight="true">
      <c r="G511" t="s" s="8"/>
    </row>
    <row r="512" ht="12.50" customHeight="true">
      <c r="G512" t="s" s="8"/>
    </row>
    <row r="513" ht="12.50" customHeight="true">
      <c r="G513" t="s" s="8"/>
    </row>
    <row r="514" ht="12.50" customHeight="true">
      <c r="G514" t="s" s="8"/>
    </row>
    <row r="515" ht="12.50" customHeight="true">
      <c r="G515" t="s" s="8"/>
    </row>
    <row r="516" ht="12.50" customHeight="true">
      <c r="G516" t="s" s="8"/>
    </row>
    <row r="517" ht="12.50" customHeight="true">
      <c r="G517" t="s" s="8"/>
    </row>
    <row r="518" ht="12.50" customHeight="true">
      <c r="G518" t="s" s="8"/>
    </row>
    <row r="519" ht="12.50" customHeight="true">
      <c r="G519" t="s" s="8"/>
    </row>
    <row r="520" ht="12.50" customHeight="true">
      <c r="G520" t="s" s="8"/>
    </row>
    <row r="521" ht="12.50" customHeight="true">
      <c r="G521" t="s" s="8"/>
    </row>
    <row r="522" ht="12.50" customHeight="true">
      <c r="G522" t="s" s="8"/>
    </row>
    <row r="523" ht="12.50" customHeight="true">
      <c r="G523" t="s" s="8"/>
    </row>
    <row r="524" ht="12.50" customHeight="true">
      <c r="G524" t="s" s="8"/>
    </row>
    <row r="525" ht="12.50" customHeight="true">
      <c r="G525" t="s" s="8"/>
    </row>
    <row r="526" ht="12.50" customHeight="true">
      <c r="G526" t="s" s="8"/>
    </row>
    <row r="527" ht="12.50" customHeight="true">
      <c r="G527" t="s" s="8"/>
    </row>
    <row r="528" ht="12.50" customHeight="true">
      <c r="G528" t="s" s="8"/>
    </row>
    <row r="529" ht="12.50" customHeight="true">
      <c r="G529" t="s" s="8"/>
    </row>
    <row r="530" ht="12.50" customHeight="true">
      <c r="G530" t="s" s="8"/>
    </row>
    <row r="531" ht="12.50" customHeight="true">
      <c r="G531" t="s" s="8"/>
    </row>
    <row r="532" ht="12.50" customHeight="true">
      <c r="G532" t="s" s="8"/>
    </row>
    <row r="533" ht="12.50" customHeight="true">
      <c r="G533" t="s" s="8"/>
    </row>
    <row r="534" ht="12.50" customHeight="true">
      <c r="G534" t="s" s="8"/>
    </row>
    <row r="535" ht="12.50" customHeight="true">
      <c r="G535" t="s" s="8"/>
    </row>
    <row r="536" ht="12.50" customHeight="true">
      <c r="G536" t="s" s="8"/>
    </row>
    <row r="537" ht="12.50" customHeight="true">
      <c r="G537" t="s" s="8"/>
    </row>
    <row r="538" ht="12.50" customHeight="true">
      <c r="G538" t="s" s="8"/>
    </row>
    <row r="539" ht="12.50" customHeight="true">
      <c r="G539" t="s" s="8"/>
    </row>
    <row r="540" ht="12.50" customHeight="true">
      <c r="G540" t="s" s="8"/>
    </row>
    <row r="541" ht="12.50" customHeight="true">
      <c r="G541" t="s" s="8"/>
    </row>
    <row r="542" ht="12.50" customHeight="true">
      <c r="G542" t="s" s="8"/>
    </row>
    <row r="543" ht="12.50" customHeight="true">
      <c r="G543" t="s" s="8"/>
    </row>
    <row r="544" ht="12.50" customHeight="true">
      <c r="G544" t="s" s="8"/>
    </row>
    <row r="545" ht="12.50" customHeight="true">
      <c r="G545" t="s" s="8"/>
    </row>
    <row r="546" ht="12.50" customHeight="true">
      <c r="G546" t="s" s="8"/>
    </row>
    <row r="547" ht="12.50" customHeight="true">
      <c r="G547" t="s" s="8"/>
    </row>
    <row r="548" ht="12.50" customHeight="true">
      <c r="G548" t="s" s="8"/>
    </row>
    <row r="549" ht="12.50" customHeight="true">
      <c r="G549" t="s" s="8"/>
    </row>
    <row r="550" ht="12.50" customHeight="true">
      <c r="G550" t="s" s="8"/>
    </row>
    <row r="551" ht="12.50" customHeight="true">
      <c r="G551" t="s" s="8"/>
    </row>
    <row r="552" ht="12.50" customHeight="true">
      <c r="G552" t="s" s="8"/>
    </row>
    <row r="553" ht="12.50" customHeight="true">
      <c r="G553" t="s" s="8"/>
    </row>
    <row r="554" ht="12.50" customHeight="true">
      <c r="G554" t="s" s="8"/>
    </row>
    <row r="555" ht="12.50" customHeight="true">
      <c r="G555" t="s" s="8"/>
    </row>
    <row r="556" ht="12.50" customHeight="true">
      <c r="G556" t="s" s="8"/>
    </row>
    <row r="557" ht="12.50" customHeight="true">
      <c r="G557" t="s" s="8"/>
    </row>
    <row r="558" ht="12.50" customHeight="true">
      <c r="G558" t="s" s="8"/>
    </row>
    <row r="559" ht="12.50" customHeight="true">
      <c r="G559" t="s" s="8"/>
    </row>
    <row r="560" ht="12.50" customHeight="true">
      <c r="G560" t="s" s="8"/>
    </row>
    <row r="561" ht="12.50" customHeight="true">
      <c r="G561" t="s" s="8"/>
    </row>
    <row r="562" ht="12.50" customHeight="true">
      <c r="G562" t="s" s="8"/>
    </row>
    <row r="563" ht="12.50" customHeight="true">
      <c r="G563" t="s" s="8"/>
    </row>
    <row r="564" ht="12.50" customHeight="true">
      <c r="G564" t="s" s="8"/>
    </row>
    <row r="565" ht="12.50" customHeight="true">
      <c r="G565" t="s" s="8"/>
    </row>
    <row r="566" ht="12.50" customHeight="true">
      <c r="G566" t="s" s="8"/>
    </row>
    <row r="567" ht="12.50" customHeight="true">
      <c r="G567" t="s" s="8"/>
    </row>
    <row r="568" ht="12.50" customHeight="true">
      <c r="G568" t="s" s="8"/>
    </row>
    <row r="569" ht="12.50" customHeight="true">
      <c r="G569" t="s" s="8"/>
    </row>
    <row r="570" ht="12.50" customHeight="true">
      <c r="G570" t="s" s="8"/>
    </row>
    <row r="571" ht="12.50" customHeight="true">
      <c r="G571" t="s" s="8"/>
    </row>
    <row r="572" ht="12.50" customHeight="true">
      <c r="G572" t="s" s="8"/>
    </row>
    <row r="573" ht="12.50" customHeight="true">
      <c r="G573" t="s" s="8"/>
    </row>
    <row r="574" ht="12.50" customHeight="true">
      <c r="G574" t="s" s="8"/>
    </row>
    <row r="575" ht="12.50" customHeight="true">
      <c r="G575" t="s" s="8"/>
    </row>
    <row r="576" ht="12.50" customHeight="true">
      <c r="G576" t="s" s="8"/>
    </row>
    <row r="577" ht="12.50" customHeight="true">
      <c r="G577" t="s" s="8"/>
    </row>
    <row r="578" ht="12.50" customHeight="true">
      <c r="G578" t="s" s="8"/>
    </row>
    <row r="579" ht="12.50" customHeight="true">
      <c r="G579" t="s" s="8"/>
    </row>
    <row r="580" ht="12.50" customHeight="true">
      <c r="G580" t="s" s="8"/>
    </row>
    <row r="581" ht="12.50" customHeight="true">
      <c r="G581" t="s" s="8"/>
    </row>
    <row r="582" ht="12.50" customHeight="true">
      <c r="G582" t="s" s="8"/>
    </row>
    <row r="583" ht="12.50" customHeight="true">
      <c r="G583" t="s" s="8"/>
    </row>
    <row r="584" ht="12.50" customHeight="true">
      <c r="G584" t="s" s="8"/>
    </row>
    <row r="585" ht="12.50" customHeight="true">
      <c r="G585" t="s" s="8"/>
    </row>
    <row r="586" ht="12.50" customHeight="true">
      <c r="G586" t="s" s="8"/>
    </row>
    <row r="587" ht="12.50" customHeight="true">
      <c r="G587" t="s" s="8"/>
    </row>
    <row r="588" ht="12.50" customHeight="true">
      <c r="G588" t="s" s="8"/>
    </row>
    <row r="589" ht="12.50" customHeight="true">
      <c r="G589" t="s" s="8"/>
    </row>
    <row r="590" ht="12.50" customHeight="true">
      <c r="G590" t="s" s="8"/>
    </row>
    <row r="591" ht="12.50" customHeight="true">
      <c r="G591" t="s" s="8"/>
    </row>
    <row r="592" ht="12.50" customHeight="true">
      <c r="G592" t="s" s="8"/>
    </row>
    <row r="593" ht="12.50" customHeight="true">
      <c r="G593" t="s" s="8"/>
    </row>
    <row r="594" ht="12.50" customHeight="true">
      <c r="G594" t="s" s="8"/>
    </row>
    <row r="595" ht="12.50" customHeight="true">
      <c r="G595" t="s" s="8"/>
    </row>
    <row r="596" ht="12.50" customHeight="true">
      <c r="G596" t="s" s="8"/>
    </row>
    <row r="597" ht="12.50" customHeight="true">
      <c r="G597" t="s" s="8"/>
    </row>
    <row r="598" ht="12.50" customHeight="true">
      <c r="G598" t="s" s="8"/>
    </row>
    <row r="599" ht="12.50" customHeight="true">
      <c r="G599" t="s" s="8"/>
    </row>
    <row r="600" ht="12.50" customHeight="true">
      <c r="G600" t="s" s="8"/>
    </row>
    <row r="601" ht="12.50" customHeight="true">
      <c r="G601" t="s" s="8"/>
    </row>
    <row r="602" ht="12.50" customHeight="true">
      <c r="G602" t="s" s="8"/>
    </row>
    <row r="603" ht="12.50" customHeight="true">
      <c r="G603" t="s" s="8"/>
    </row>
    <row r="604" ht="12.50" customHeight="true">
      <c r="G604" t="s" s="8"/>
    </row>
    <row r="605" ht="12.50" customHeight="true">
      <c r="G605" t="s" s="8"/>
    </row>
    <row r="606" ht="12.50" customHeight="true">
      <c r="G606" t="s" s="8"/>
    </row>
    <row r="607" ht="12.50" customHeight="true">
      <c r="G607" t="s" s="8"/>
    </row>
    <row r="608" ht="12.50" customHeight="true">
      <c r="G608" t="s" s="8"/>
    </row>
    <row r="609" ht="12.50" customHeight="true">
      <c r="G609" t="s" s="8"/>
    </row>
    <row r="610" ht="12.50" customHeight="true">
      <c r="G610" t="s" s="8"/>
    </row>
    <row r="611" ht="12.50" customHeight="true">
      <c r="G611" t="s" s="8"/>
    </row>
    <row r="612" ht="12.50" customHeight="true">
      <c r="G612" t="s" s="8"/>
    </row>
    <row r="613" ht="12.50" customHeight="true">
      <c r="G613" t="s" s="8"/>
    </row>
    <row r="614" ht="12.50" customHeight="true">
      <c r="G614" t="s" s="8"/>
    </row>
    <row r="615" ht="12.50" customHeight="true">
      <c r="G615" t="s" s="8"/>
    </row>
    <row r="616" ht="12.50" customHeight="true">
      <c r="G616" t="s" s="8"/>
    </row>
    <row r="617" ht="12.50" customHeight="true">
      <c r="G617" t="s" s="8"/>
    </row>
    <row r="618" ht="12.50" customHeight="true">
      <c r="G618" t="s" s="8"/>
    </row>
    <row r="619" ht="12.50" customHeight="true">
      <c r="G619" t="s" s="8"/>
    </row>
    <row r="620" ht="12.50" customHeight="true">
      <c r="G620" t="s" s="8"/>
    </row>
    <row r="621" ht="12.50" customHeight="true">
      <c r="G621" t="s" s="8"/>
    </row>
    <row r="622" ht="12.50" customHeight="true">
      <c r="G622" t="s" s="8"/>
    </row>
    <row r="623" ht="12.50" customHeight="true">
      <c r="G623" t="s" s="8"/>
    </row>
    <row r="624" ht="12.50" customHeight="true">
      <c r="G624" t="s" s="8"/>
    </row>
    <row r="625" ht="12.50" customHeight="true">
      <c r="G625" t="s" s="8"/>
    </row>
    <row r="626" ht="12.50" customHeight="true">
      <c r="G626" t="s" s="8"/>
    </row>
    <row r="627" ht="12.50" customHeight="true">
      <c r="G627" t="s" s="8"/>
    </row>
    <row r="628" ht="12.50" customHeight="true">
      <c r="G628" t="s" s="8"/>
    </row>
    <row r="629" ht="12.50" customHeight="true">
      <c r="G629" t="s" s="8"/>
    </row>
    <row r="630" ht="12.50" customHeight="true">
      <c r="G630" t="s" s="8"/>
    </row>
    <row r="631" ht="12.50" customHeight="true">
      <c r="G631" t="s" s="8"/>
    </row>
    <row r="632" ht="12.50" customHeight="true">
      <c r="G632" t="s" s="8"/>
    </row>
    <row r="633" ht="12.50" customHeight="true">
      <c r="G633" t="s" s="8"/>
    </row>
    <row r="634" ht="12.50" customHeight="true">
      <c r="G634" t="s" s="8"/>
    </row>
    <row r="635" ht="12.50" customHeight="true">
      <c r="G635" t="s" s="8"/>
    </row>
    <row r="636" ht="12.50" customHeight="true">
      <c r="G636" t="s" s="8"/>
    </row>
    <row r="637" ht="12.50" customHeight="true">
      <c r="G637" t="s" s="8"/>
    </row>
    <row r="638" ht="12.50" customHeight="true">
      <c r="G638" t="s" s="8"/>
    </row>
    <row r="639" ht="12.50" customHeight="true">
      <c r="G639" t="s" s="8"/>
    </row>
    <row r="640" ht="12.50" customHeight="true">
      <c r="G640" t="s" s="8"/>
    </row>
    <row r="641" ht="12.50" customHeight="true">
      <c r="G641" t="s" s="8"/>
    </row>
    <row r="642" ht="12.50" customHeight="true">
      <c r="G642" t="s" s="8"/>
    </row>
    <row r="643" ht="12.50" customHeight="true">
      <c r="G643" t="s" s="8"/>
    </row>
    <row r="644" ht="12.50" customHeight="true">
      <c r="G644" t="s" s="8"/>
    </row>
    <row r="645" ht="12.50" customHeight="true">
      <c r="G645" t="s" s="8"/>
    </row>
    <row r="646" ht="12.50" customHeight="true">
      <c r="G646" t="s" s="8"/>
    </row>
    <row r="647" ht="12.50" customHeight="true">
      <c r="G647" t="s" s="8"/>
    </row>
    <row r="648" ht="12.50" customHeight="true">
      <c r="G648" t="s" s="8"/>
    </row>
    <row r="649" ht="12.50" customHeight="true">
      <c r="G649" t="s" s="8"/>
    </row>
    <row r="650" ht="12.50" customHeight="true">
      <c r="G650" t="s" s="8"/>
    </row>
    <row r="651" ht="12.50" customHeight="true">
      <c r="G651" t="s" s="8"/>
    </row>
    <row r="652" ht="12.50" customHeight="true">
      <c r="G652" t="s" s="8"/>
    </row>
    <row r="653" ht="12.50" customHeight="true">
      <c r="G653" t="s" s="8"/>
    </row>
    <row r="654" ht="12.50" customHeight="true">
      <c r="G654" t="s" s="8"/>
    </row>
    <row r="655" ht="12.50" customHeight="true">
      <c r="G655" t="s" s="8"/>
    </row>
    <row r="656" ht="12.50" customHeight="true">
      <c r="G656" t="s" s="8"/>
    </row>
    <row r="657" ht="12.50" customHeight="true">
      <c r="G657" t="s" s="8"/>
    </row>
    <row r="658" ht="12.50" customHeight="true">
      <c r="G658" t="s" s="8"/>
    </row>
    <row r="659" ht="12.50" customHeight="true">
      <c r="G659" t="s" s="8"/>
    </row>
    <row r="660" ht="12.50" customHeight="true">
      <c r="G660" t="s" s="8"/>
    </row>
    <row r="661" ht="12.50" customHeight="true">
      <c r="G661" t="s" s="8"/>
    </row>
    <row r="662" ht="12.50" customHeight="true">
      <c r="G662" t="s" s="8"/>
    </row>
    <row r="663" ht="12.50" customHeight="true">
      <c r="G663" t="s" s="8"/>
    </row>
    <row r="664" ht="12.50" customHeight="true">
      <c r="G664" t="s" s="8"/>
    </row>
    <row r="665" ht="12.50" customHeight="true">
      <c r="G665" t="s" s="8"/>
    </row>
    <row r="666" ht="12.50" customHeight="true">
      <c r="G666" t="s" s="8"/>
    </row>
    <row r="667" ht="12.50" customHeight="true">
      <c r="G667" t="s" s="8"/>
    </row>
    <row r="668" ht="12.50" customHeight="true">
      <c r="G668" t="s" s="8"/>
    </row>
    <row r="669" ht="12.50" customHeight="true">
      <c r="G669" t="s" s="8"/>
    </row>
    <row r="670" ht="12.50" customHeight="true">
      <c r="G670" t="s" s="8"/>
    </row>
    <row r="671" ht="12.50" customHeight="true">
      <c r="G671" t="s" s="8"/>
    </row>
    <row r="672" ht="12.50" customHeight="true">
      <c r="G672" t="s" s="8"/>
    </row>
    <row r="673" ht="12.50" customHeight="true">
      <c r="G673" t="s" s="8"/>
    </row>
    <row r="674" ht="12.50" customHeight="true">
      <c r="G674" t="s" s="8"/>
    </row>
    <row r="675" ht="12.50" customHeight="true">
      <c r="G675" t="s" s="8"/>
    </row>
    <row r="676" ht="12.50" customHeight="true">
      <c r="G676" t="s" s="8"/>
    </row>
    <row r="677" ht="12.50" customHeight="true">
      <c r="G677" t="s" s="8"/>
    </row>
    <row r="678" ht="12.50" customHeight="true">
      <c r="G678" t="s" s="8"/>
    </row>
    <row r="679" ht="12.50" customHeight="true">
      <c r="G679" t="s" s="8"/>
    </row>
    <row r="680" ht="12.50" customHeight="true">
      <c r="G680" t="s" s="8"/>
    </row>
    <row r="681" ht="12.50" customHeight="true">
      <c r="G681" t="s" s="8"/>
    </row>
    <row r="682" ht="12.50" customHeight="true">
      <c r="G682" t="s" s="8"/>
    </row>
    <row r="683" ht="12.50" customHeight="true">
      <c r="G683" t="s" s="8"/>
    </row>
    <row r="684" ht="12.50" customHeight="true">
      <c r="G684" t="s" s="8"/>
    </row>
    <row r="685" ht="12.50" customHeight="true">
      <c r="G685" t="s" s="8"/>
    </row>
    <row r="686" ht="12.50" customHeight="true">
      <c r="G686" t="s" s="8"/>
    </row>
    <row r="687" ht="12.50" customHeight="true">
      <c r="G687" t="s" s="8"/>
    </row>
    <row r="688" ht="12.50" customHeight="true">
      <c r="G688" t="s" s="8"/>
    </row>
    <row r="689" ht="12.50" customHeight="true">
      <c r="G689" t="s" s="8"/>
    </row>
    <row r="690" ht="12.50" customHeight="true">
      <c r="G690" t="s" s="8"/>
    </row>
    <row r="691" ht="12.50" customHeight="true">
      <c r="G691" t="s" s="8"/>
    </row>
    <row r="692" ht="12.50" customHeight="true">
      <c r="G692" t="s" s="8"/>
    </row>
    <row r="693" ht="12.50" customHeight="true">
      <c r="G693" t="s" s="8"/>
    </row>
    <row r="694" ht="12.50" customHeight="true">
      <c r="G694" t="s" s="8"/>
    </row>
    <row r="695" ht="12.50" customHeight="true">
      <c r="G695" t="s" s="8"/>
    </row>
    <row r="696" ht="12.50" customHeight="true">
      <c r="G696" t="s" s="8"/>
    </row>
    <row r="697" ht="12.50" customHeight="true">
      <c r="G697" t="s" s="8"/>
    </row>
    <row r="698" ht="12.50" customHeight="true">
      <c r="G698" t="s" s="8"/>
    </row>
    <row r="699" ht="12.50" customHeight="true">
      <c r="G699" t="s" s="8"/>
    </row>
    <row r="700" ht="12.50" customHeight="true">
      <c r="G700" t="s" s="8"/>
    </row>
    <row r="701" ht="12.50" customHeight="true">
      <c r="G701" t="s" s="8"/>
    </row>
    <row r="702" ht="12.50" customHeight="true">
      <c r="G702" t="s" s="8"/>
    </row>
    <row r="703" ht="12.50" customHeight="true">
      <c r="G703" t="s" s="8"/>
    </row>
    <row r="704" ht="12.50" customHeight="true">
      <c r="G704" t="s" s="8"/>
    </row>
    <row r="705" ht="12.50" customHeight="true">
      <c r="G705" t="s" s="8"/>
    </row>
    <row r="706" ht="12.50" customHeight="true">
      <c r="G706" t="s" s="8"/>
    </row>
    <row r="707" ht="12.50" customHeight="true">
      <c r="G707" t="s" s="8"/>
    </row>
    <row r="708" ht="12.50" customHeight="true">
      <c r="G708" t="s" s="8"/>
    </row>
    <row r="709" ht="12.50" customHeight="true">
      <c r="G709" t="s" s="8"/>
    </row>
    <row r="710" ht="12.50" customHeight="true">
      <c r="G710" t="s" s="8"/>
    </row>
    <row r="711" ht="12.50" customHeight="true">
      <c r="G711" t="s" s="8"/>
    </row>
    <row r="712" ht="12.50" customHeight="true">
      <c r="G712" t="s" s="8"/>
    </row>
    <row r="713" ht="12.50" customHeight="true">
      <c r="G713" t="s" s="8"/>
    </row>
    <row r="714" ht="12.50" customHeight="true">
      <c r="G714" t="s" s="8"/>
    </row>
    <row r="715" ht="12.50" customHeight="true">
      <c r="G715" t="s" s="8"/>
    </row>
    <row r="716" ht="12.50" customHeight="true">
      <c r="G716" t="s" s="8"/>
    </row>
    <row r="717" ht="12.50" customHeight="true">
      <c r="G717" t="s" s="8"/>
    </row>
    <row r="718" ht="12.50" customHeight="true">
      <c r="G718" t="s" s="8"/>
    </row>
    <row r="719" ht="12.50" customHeight="true">
      <c r="G719" t="s" s="8"/>
    </row>
    <row r="720" ht="12.50" customHeight="true">
      <c r="G720" t="s" s="8"/>
    </row>
    <row r="721" ht="12.50" customHeight="true">
      <c r="G721" t="s" s="8"/>
    </row>
    <row r="722" ht="12.50" customHeight="true">
      <c r="G722" t="s" s="8"/>
    </row>
    <row r="723" ht="12.50" customHeight="true">
      <c r="G723" t="s" s="8"/>
    </row>
    <row r="724" ht="12.50" customHeight="true">
      <c r="G724" t="s" s="8"/>
    </row>
    <row r="725" ht="12.50" customHeight="true">
      <c r="G725" t="s" s="8"/>
    </row>
    <row r="726" ht="12.50" customHeight="true">
      <c r="G726" t="s" s="8"/>
    </row>
    <row r="727" ht="12.50" customHeight="true">
      <c r="G727" t="s" s="8"/>
    </row>
    <row r="728" ht="12.50" customHeight="true">
      <c r="G728" t="s" s="8"/>
    </row>
    <row r="729" ht="12.50" customHeight="true">
      <c r="G729" t="s" s="8"/>
    </row>
    <row r="730" ht="12.50" customHeight="true">
      <c r="G730" t="s" s="8"/>
    </row>
    <row r="731" ht="12.50" customHeight="true">
      <c r="G731" t="s" s="8"/>
    </row>
    <row r="732" ht="12.50" customHeight="true">
      <c r="G732" t="s" s="8"/>
    </row>
    <row r="733" ht="12.50" customHeight="true">
      <c r="G733" t="s" s="8"/>
    </row>
    <row r="734" ht="12.50" customHeight="true">
      <c r="G734" t="s" s="8"/>
    </row>
    <row r="735" ht="12.50" customHeight="true">
      <c r="G735" t="s" s="8"/>
    </row>
    <row r="736" ht="12.50" customHeight="true">
      <c r="G736" t="s" s="8"/>
    </row>
    <row r="737" ht="12.50" customHeight="true">
      <c r="G737" t="s" s="8"/>
    </row>
    <row r="738" ht="12.50" customHeight="true">
      <c r="G738" t="s" s="8"/>
    </row>
    <row r="739" ht="12.50" customHeight="true">
      <c r="G739" t="s" s="8"/>
    </row>
    <row r="740" ht="12.50" customHeight="true">
      <c r="G740" t="s" s="8"/>
    </row>
    <row r="741" ht="12.50" customHeight="true">
      <c r="G741" t="s" s="8"/>
    </row>
    <row r="742" ht="12.50" customHeight="true">
      <c r="G742" t="s" s="8"/>
    </row>
    <row r="743" ht="12.50" customHeight="true">
      <c r="G743" t="s" s="8"/>
    </row>
    <row r="744" ht="12.50" customHeight="true">
      <c r="G744" t="s" s="8"/>
    </row>
    <row r="745" ht="12.50" customHeight="true">
      <c r="G745" t="s" s="8"/>
    </row>
    <row r="746" ht="12.50" customHeight="true">
      <c r="G746" t="s" s="8"/>
    </row>
    <row r="747" ht="12.50" customHeight="true">
      <c r="G747" t="s" s="8"/>
    </row>
    <row r="748" ht="12.50" customHeight="true">
      <c r="G748" t="s" s="8"/>
    </row>
    <row r="749" ht="12.50" customHeight="true">
      <c r="G749" t="s" s="8"/>
    </row>
    <row r="750" ht="12.50" customHeight="true">
      <c r="G750" t="s" s="8"/>
    </row>
    <row r="751" ht="12.50" customHeight="true">
      <c r="G751" t="s" s="8"/>
    </row>
    <row r="752" ht="12.50" customHeight="true">
      <c r="G752" t="s" s="8"/>
    </row>
    <row r="753" ht="12.50" customHeight="true">
      <c r="G753" t="s" s="8"/>
    </row>
    <row r="754" ht="12.50" customHeight="true">
      <c r="G754" t="s" s="8"/>
    </row>
    <row r="755" ht="12.50" customHeight="true">
      <c r="G755" t="s" s="8"/>
    </row>
    <row r="756" ht="12.50" customHeight="true">
      <c r="G756" t="s" s="8"/>
    </row>
    <row r="757" ht="12.50" customHeight="true">
      <c r="G757" t="s" s="8"/>
    </row>
    <row r="758" ht="12.50" customHeight="true">
      <c r="G758" t="s" s="8"/>
    </row>
    <row r="759" ht="12.50" customHeight="true">
      <c r="G759" t="s" s="8"/>
    </row>
    <row r="760" ht="12.50" customHeight="true">
      <c r="G760" t="s" s="8"/>
    </row>
    <row r="761" ht="12.50" customHeight="true">
      <c r="G761" t="s" s="8"/>
    </row>
    <row r="762" ht="12.50" customHeight="true">
      <c r="G762" t="s" s="8"/>
    </row>
    <row r="763" ht="12.50" customHeight="true">
      <c r="G763" t="s" s="8"/>
    </row>
    <row r="764" ht="12.50" customHeight="true">
      <c r="G764" t="s" s="8"/>
    </row>
    <row r="765" ht="12.50" customHeight="true">
      <c r="G765" t="s" s="8"/>
    </row>
    <row r="766" ht="12.50" customHeight="true">
      <c r="G766" t="s" s="8"/>
    </row>
    <row r="767" ht="12.50" customHeight="true">
      <c r="G767" t="s" s="8"/>
    </row>
    <row r="768" ht="12.50" customHeight="true">
      <c r="G768" t="s" s="8"/>
    </row>
    <row r="769" ht="12.50" customHeight="true">
      <c r="G769" t="s" s="8"/>
    </row>
    <row r="770" ht="12.50" customHeight="true">
      <c r="G770" t="s" s="8"/>
    </row>
    <row r="771" ht="12.50" customHeight="true">
      <c r="G771" t="s" s="8"/>
    </row>
    <row r="772" ht="12.50" customHeight="true">
      <c r="G772" t="s" s="8"/>
    </row>
    <row r="773" ht="12.50" customHeight="true">
      <c r="G773" t="s" s="8"/>
    </row>
    <row r="774" ht="12.50" customHeight="true">
      <c r="G774" t="s" s="8"/>
    </row>
    <row r="775" ht="12.50" customHeight="true">
      <c r="G775" t="s" s="8"/>
    </row>
    <row r="776" ht="12.50" customHeight="true">
      <c r="G776" t="s" s="8"/>
    </row>
    <row r="777" ht="12.50" customHeight="true">
      <c r="G777" t="s" s="8"/>
    </row>
    <row r="778" ht="12.50" customHeight="true">
      <c r="G778" t="s" s="8"/>
    </row>
    <row r="779" ht="12.50" customHeight="true">
      <c r="G779" t="s" s="8"/>
    </row>
    <row r="780" ht="12.50" customHeight="true">
      <c r="G780" t="s" s="8"/>
    </row>
    <row r="781" ht="12.50" customHeight="true">
      <c r="G781" t="s" s="8"/>
    </row>
    <row r="782" ht="12.50" customHeight="true">
      <c r="G782" t="s" s="8"/>
    </row>
    <row r="783" ht="12.50" customHeight="true">
      <c r="G783" t="s" s="8"/>
    </row>
    <row r="784" ht="12.50" customHeight="true">
      <c r="G784" t="s" s="8"/>
    </row>
    <row r="785" ht="12.50" customHeight="true">
      <c r="G785" t="s" s="8"/>
    </row>
    <row r="786" ht="12.50" customHeight="true">
      <c r="G786" t="s" s="8"/>
    </row>
    <row r="787" ht="12.50" customHeight="true">
      <c r="G787" t="s" s="8"/>
    </row>
    <row r="788" ht="12.50" customHeight="true">
      <c r="G788" t="s" s="8"/>
    </row>
    <row r="789" ht="12.50" customHeight="true">
      <c r="G789" t="s" s="8"/>
    </row>
    <row r="790" ht="12.50" customHeight="true">
      <c r="G790" t="s" s="8"/>
    </row>
    <row r="791" ht="12.50" customHeight="true">
      <c r="G791" t="s" s="8"/>
    </row>
    <row r="792" ht="12.50" customHeight="true">
      <c r="G792" t="s" s="8"/>
    </row>
    <row r="793" ht="12.50" customHeight="true">
      <c r="G793" t="s" s="8"/>
    </row>
    <row r="794" ht="12.50" customHeight="true">
      <c r="G794" t="s" s="8"/>
    </row>
    <row r="795" ht="12.50" customHeight="true">
      <c r="G795" t="s" s="8"/>
    </row>
    <row r="796" ht="12.50" customHeight="true">
      <c r="G796" t="s" s="8"/>
    </row>
    <row r="797" ht="12.50" customHeight="true">
      <c r="G797" t="s" s="8"/>
    </row>
    <row r="798" ht="12.50" customHeight="true">
      <c r="G798" t="s" s="8"/>
    </row>
    <row r="799" ht="12.50" customHeight="true">
      <c r="G799" t="s" s="8"/>
    </row>
    <row r="800" ht="12.50" customHeight="true">
      <c r="G800" t="s" s="8"/>
    </row>
    <row r="801" ht="12.50" customHeight="true">
      <c r="G801" t="s" s="8"/>
    </row>
    <row r="802" ht="12.50" customHeight="true">
      <c r="G802" t="s" s="8"/>
    </row>
    <row r="803" ht="12.50" customHeight="true">
      <c r="G803" t="s" s="8"/>
    </row>
    <row r="804" ht="12.50" customHeight="true">
      <c r="G804" t="s" s="8"/>
    </row>
    <row r="805" ht="12.50" customHeight="true">
      <c r="G805" t="s" s="8"/>
    </row>
    <row r="806" ht="12.50" customHeight="true">
      <c r="G806" t="s" s="8"/>
    </row>
    <row r="807" ht="12.50" customHeight="true">
      <c r="G807" t="s" s="8"/>
    </row>
    <row r="808" ht="12.50" customHeight="true">
      <c r="G808" t="s" s="8"/>
    </row>
    <row r="809" ht="12.50" customHeight="true">
      <c r="G809" t="s" s="8"/>
    </row>
    <row r="810" ht="12.50" customHeight="true">
      <c r="G810" t="s" s="8"/>
    </row>
    <row r="811" ht="12.50" customHeight="true">
      <c r="G811" t="s" s="8"/>
    </row>
    <row r="812" ht="12.50" customHeight="true">
      <c r="G812" t="s" s="8"/>
    </row>
    <row r="813" ht="12.50" customHeight="true">
      <c r="G813" t="s" s="8"/>
    </row>
    <row r="814" ht="12.50" customHeight="true">
      <c r="G814" t="s" s="8"/>
    </row>
    <row r="815" ht="12.50" customHeight="true">
      <c r="G815" t="s" s="8"/>
    </row>
    <row r="816" ht="12.50" customHeight="true">
      <c r="G816" t="s" s="8"/>
    </row>
    <row r="817" ht="12.50" customHeight="true">
      <c r="G817" t="s" s="8"/>
    </row>
    <row r="818" ht="12.50" customHeight="true">
      <c r="G818" t="s" s="8"/>
    </row>
    <row r="819" ht="12.50" customHeight="true">
      <c r="G819" t="s" s="8"/>
    </row>
    <row r="820" ht="12.50" customHeight="true">
      <c r="G820" t="s" s="8"/>
    </row>
    <row r="821" ht="12.50" customHeight="true">
      <c r="G821" t="s" s="8"/>
    </row>
    <row r="822" ht="12.50" customHeight="true">
      <c r="G822" t="s" s="8"/>
    </row>
    <row r="823" ht="12.50" customHeight="true">
      <c r="G823" t="s" s="8"/>
    </row>
    <row r="824" ht="12.50" customHeight="true">
      <c r="G824" t="s" s="8"/>
    </row>
    <row r="825" ht="12.50" customHeight="true">
      <c r="G825" t="s" s="8"/>
    </row>
    <row r="826" ht="12.50" customHeight="true">
      <c r="G826" t="s" s="8"/>
    </row>
    <row r="827" ht="12.50" customHeight="true">
      <c r="G827" t="s" s="8"/>
    </row>
    <row r="828" ht="12.50" customHeight="true">
      <c r="G828" t="s" s="8"/>
    </row>
    <row r="829" ht="12.50" customHeight="true">
      <c r="G829" t="s" s="8"/>
    </row>
    <row r="830" ht="12.50" customHeight="true">
      <c r="G830" t="s" s="8"/>
    </row>
    <row r="831" ht="12.50" customHeight="true">
      <c r="G831" t="s" s="8"/>
    </row>
    <row r="832" ht="12.50" customHeight="true">
      <c r="G832" t="s" s="8"/>
    </row>
    <row r="833" ht="12.50" customHeight="true">
      <c r="G833" t="s" s="8"/>
    </row>
    <row r="834" ht="12.50" customHeight="true">
      <c r="G834" t="s" s="8"/>
    </row>
    <row r="835" ht="12.50" customHeight="true">
      <c r="G835" t="s" s="8"/>
    </row>
    <row r="836" ht="12.50" customHeight="true">
      <c r="G836" t="s" s="8"/>
    </row>
    <row r="837" ht="12.50" customHeight="true">
      <c r="G837" t="s" s="8"/>
    </row>
    <row r="838" ht="12.50" customHeight="true">
      <c r="G838" t="s" s="8"/>
    </row>
    <row r="839" ht="12.50" customHeight="true">
      <c r="G839" t="s" s="8"/>
    </row>
    <row r="840" ht="12.50" customHeight="true">
      <c r="G840" t="s" s="8"/>
    </row>
    <row r="841" ht="12.50" customHeight="true">
      <c r="G841" t="s" s="8"/>
    </row>
    <row r="842" ht="12.50" customHeight="true">
      <c r="G842" t="s" s="8"/>
    </row>
    <row r="843" ht="12.50" customHeight="true">
      <c r="G843" t="s" s="8"/>
    </row>
    <row r="844" ht="12.50" customHeight="true">
      <c r="G844" t="s" s="8"/>
    </row>
    <row r="845" ht="12.50" customHeight="true">
      <c r="G845" t="s" s="8"/>
    </row>
    <row r="846" ht="12.50" customHeight="true">
      <c r="G846" t="s" s="8"/>
    </row>
    <row r="847" ht="12.50" customHeight="true">
      <c r="G847" t="s" s="8"/>
    </row>
    <row r="848" ht="12.50" customHeight="true">
      <c r="G848" t="s" s="8"/>
    </row>
    <row r="849" ht="12.50" customHeight="true">
      <c r="G849" t="s" s="8"/>
    </row>
    <row r="850" ht="12.50" customHeight="true">
      <c r="G850" t="s" s="8"/>
    </row>
    <row r="851" ht="12.50" customHeight="true">
      <c r="G851" t="s" s="8"/>
    </row>
    <row r="852" ht="12.50" customHeight="true">
      <c r="G852" t="s" s="8"/>
    </row>
    <row r="853" ht="12.50" customHeight="true">
      <c r="G853" t="s" s="8"/>
    </row>
    <row r="854" ht="12.50" customHeight="true">
      <c r="G854" t="s" s="8"/>
    </row>
    <row r="855" ht="12.50" customHeight="true">
      <c r="G855" t="s" s="8"/>
    </row>
    <row r="856" ht="12.50" customHeight="true">
      <c r="G856" t="s" s="8"/>
    </row>
    <row r="857" ht="12.50" customHeight="true">
      <c r="G857" t="s" s="8"/>
    </row>
    <row r="858" ht="12.50" customHeight="true">
      <c r="G858" t="s" s="8"/>
    </row>
    <row r="859" ht="12.50" customHeight="true">
      <c r="G859" t="s" s="8"/>
    </row>
    <row r="860" ht="12.50" customHeight="true">
      <c r="G860" t="s" s="8"/>
    </row>
    <row r="861" ht="12.50" customHeight="true">
      <c r="G861" t="s" s="8"/>
    </row>
    <row r="862" ht="12.50" customHeight="true">
      <c r="G862" t="s" s="8"/>
    </row>
    <row r="863" ht="12.50" customHeight="true">
      <c r="G863" t="s" s="8"/>
    </row>
    <row r="864" ht="12.50" customHeight="true">
      <c r="G864" t="s" s="8"/>
    </row>
    <row r="865" ht="12.50" customHeight="true">
      <c r="G865" t="s" s="8"/>
    </row>
    <row r="866" ht="12.50" customHeight="true">
      <c r="G866" t="s" s="8"/>
    </row>
    <row r="867" ht="12.50" customHeight="true">
      <c r="G867" t="s" s="8"/>
    </row>
    <row r="868" ht="12.50" customHeight="true">
      <c r="G868" t="s" s="8"/>
    </row>
    <row r="869" ht="12.50" customHeight="true">
      <c r="G869" t="s" s="8"/>
    </row>
    <row r="870" ht="12.50" customHeight="true">
      <c r="G870" t="s" s="8"/>
    </row>
    <row r="871" ht="12.50" customHeight="true">
      <c r="G871" t="s" s="8"/>
    </row>
    <row r="872" ht="12.50" customHeight="true">
      <c r="G872" t="s" s="8"/>
    </row>
    <row r="873" ht="12.50" customHeight="true">
      <c r="G873" t="s" s="8"/>
    </row>
    <row r="874" ht="12.50" customHeight="true">
      <c r="G874" t="s" s="8"/>
    </row>
    <row r="875" ht="12.50" customHeight="true">
      <c r="G875" t="s" s="8"/>
    </row>
    <row r="876" ht="12.50" customHeight="true">
      <c r="G876" t="s" s="8"/>
    </row>
    <row r="877" ht="12.50" customHeight="true">
      <c r="G877" t="s" s="8"/>
    </row>
    <row r="878" ht="12.50" customHeight="true">
      <c r="G878" t="s" s="8"/>
    </row>
    <row r="879" ht="12.50" customHeight="true">
      <c r="G879" t="s" s="8"/>
    </row>
    <row r="880" ht="12.50" customHeight="true">
      <c r="G880" t="s" s="8"/>
    </row>
    <row r="881" ht="12.50" customHeight="true">
      <c r="G881" t="s" s="8"/>
    </row>
    <row r="882" ht="12.50" customHeight="true">
      <c r="G882" t="s" s="8"/>
    </row>
    <row r="883" ht="12.50" customHeight="true">
      <c r="G883" t="s" s="8"/>
    </row>
    <row r="884" ht="12.50" customHeight="true">
      <c r="G884" t="s" s="8"/>
    </row>
    <row r="885" ht="12.50" customHeight="true">
      <c r="G885" t="s" s="8"/>
    </row>
    <row r="886" ht="12.50" customHeight="true">
      <c r="G886" t="s" s="8"/>
    </row>
    <row r="887" ht="12.50" customHeight="true">
      <c r="G887" t="s" s="8"/>
    </row>
    <row r="888" ht="12.50" customHeight="true">
      <c r="G888" t="s" s="8"/>
    </row>
    <row r="889" ht="12.50" customHeight="true">
      <c r="G889" t="s" s="8"/>
    </row>
    <row r="890" ht="12.50" customHeight="true">
      <c r="G890" t="s" s="8"/>
    </row>
    <row r="891" ht="12.50" customHeight="true">
      <c r="G891" t="s" s="8"/>
    </row>
    <row r="892" ht="12.50" customHeight="true">
      <c r="G892" t="s" s="8"/>
    </row>
    <row r="893" ht="12.50" customHeight="true">
      <c r="G893" t="s" s="8"/>
    </row>
    <row r="894" ht="12.50" customHeight="true">
      <c r="G894" t="s" s="8"/>
    </row>
    <row r="895" ht="12.50" customHeight="true">
      <c r="G895" t="s" s="8"/>
    </row>
    <row r="896" ht="12.50" customHeight="true">
      <c r="G896" t="s" s="8"/>
    </row>
    <row r="897" ht="12.50" customHeight="true">
      <c r="G897" t="s" s="8"/>
    </row>
    <row r="898" ht="12.50" customHeight="true">
      <c r="G898" t="s" s="8"/>
    </row>
    <row r="899" ht="12.50" customHeight="true">
      <c r="G899" t="s" s="8"/>
    </row>
    <row r="900" ht="12.50" customHeight="true">
      <c r="G900" t="s" s="8"/>
    </row>
    <row r="901" ht="12.50" customHeight="true">
      <c r="G901" t="s" s="8"/>
    </row>
    <row r="902" ht="12.50" customHeight="true">
      <c r="G902" t="s" s="8"/>
    </row>
    <row r="903" ht="12.50" customHeight="true">
      <c r="G903" t="s" s="8"/>
    </row>
    <row r="904" ht="12.50" customHeight="true">
      <c r="G904" t="s" s="8"/>
    </row>
    <row r="905" ht="12.50" customHeight="true">
      <c r="G905" t="s" s="8"/>
    </row>
    <row r="906" ht="12.50" customHeight="true">
      <c r="G906" t="s" s="8"/>
    </row>
    <row r="907" ht="12.50" customHeight="true">
      <c r="G907" t="s" s="8"/>
    </row>
    <row r="908" ht="12.50" customHeight="true">
      <c r="G908" t="s" s="8"/>
    </row>
    <row r="909" ht="12.50" customHeight="true">
      <c r="G909" t="s" s="8"/>
    </row>
    <row r="910" ht="12.50" customHeight="true">
      <c r="G910" t="s" s="8"/>
    </row>
    <row r="911" ht="12.50" customHeight="true">
      <c r="G911" t="s" s="8"/>
    </row>
    <row r="912" ht="12.50" customHeight="true">
      <c r="G912" t="s" s="8"/>
    </row>
    <row r="913" ht="12.50" customHeight="true">
      <c r="G913" t="s" s="8"/>
    </row>
    <row r="914" ht="12.50" customHeight="true">
      <c r="G914" t="s" s="8"/>
    </row>
    <row r="915" ht="12.50" customHeight="true">
      <c r="G915" t="s" s="8"/>
    </row>
    <row r="916" ht="12.50" customHeight="true">
      <c r="G916" t="s" s="8"/>
    </row>
    <row r="917" ht="12.50" customHeight="true">
      <c r="G917" t="s" s="8"/>
    </row>
    <row r="918" ht="12.50" customHeight="true">
      <c r="G918" t="s" s="8"/>
    </row>
    <row r="919" ht="12.50" customHeight="true">
      <c r="G919" t="s" s="8"/>
    </row>
    <row r="920" ht="12.50" customHeight="true">
      <c r="G920" t="s" s="8"/>
    </row>
    <row r="921" ht="12.50" customHeight="true">
      <c r="G921" t="s" s="8"/>
    </row>
    <row r="922" ht="12.50" customHeight="true">
      <c r="G922" t="s" s="8"/>
    </row>
    <row r="923" ht="12.50" customHeight="true">
      <c r="G923" t="s" s="8"/>
    </row>
    <row r="924" ht="12.50" customHeight="true">
      <c r="G924" t="s" s="8"/>
    </row>
    <row r="925" ht="12.50" customHeight="true">
      <c r="G925" t="s" s="8"/>
    </row>
    <row r="926" ht="12.50" customHeight="true">
      <c r="G926" t="s" s="8"/>
    </row>
    <row r="927" ht="12.50" customHeight="true">
      <c r="G927" t="s" s="8"/>
    </row>
    <row r="928" ht="12.50" customHeight="true">
      <c r="G928" t="s" s="8"/>
    </row>
    <row r="929" ht="12.50" customHeight="true">
      <c r="G929" t="s" s="8"/>
    </row>
    <row r="930" ht="12.50" customHeight="true">
      <c r="G930" t="s" s="8"/>
    </row>
    <row r="931" ht="12.50" customHeight="true">
      <c r="G931" t="s" s="8"/>
    </row>
    <row r="932" ht="12.50" customHeight="true">
      <c r="G932" t="s" s="8"/>
    </row>
    <row r="933" ht="12.50" customHeight="true">
      <c r="G933" t="s" s="8"/>
    </row>
    <row r="934" ht="12.50" customHeight="true">
      <c r="G934" t="s" s="8"/>
    </row>
    <row r="935" ht="12.50" customHeight="true">
      <c r="G935" t="s" s="8"/>
    </row>
    <row r="936" ht="12.50" customHeight="true">
      <c r="G936" t="s" s="8"/>
    </row>
    <row r="937" ht="12.50" customHeight="true">
      <c r="G937" t="s" s="8"/>
    </row>
    <row r="938" ht="12.50" customHeight="true">
      <c r="G938" t="s" s="8"/>
    </row>
    <row r="939" ht="12.50" customHeight="true">
      <c r="G939" t="s" s="8"/>
    </row>
    <row r="940" ht="12.50" customHeight="true">
      <c r="G940" t="s" s="8"/>
    </row>
    <row r="941" ht="12.50" customHeight="true">
      <c r="G941" t="s" s="8"/>
    </row>
    <row r="942" ht="12.50" customHeight="true">
      <c r="G942" t="s" s="8"/>
    </row>
    <row r="943" ht="12.50" customHeight="true">
      <c r="G943" t="s" s="8"/>
    </row>
    <row r="944" ht="12.50" customHeight="true">
      <c r="G944" t="s" s="8"/>
    </row>
    <row r="945" ht="12.50" customHeight="true">
      <c r="G945" t="s" s="8"/>
    </row>
    <row r="946" ht="12.50" customHeight="true">
      <c r="G946" t="s" s="8"/>
    </row>
    <row r="947" ht="12.50" customHeight="true">
      <c r="G947" t="s" s="8"/>
    </row>
    <row r="948" ht="12.50" customHeight="true">
      <c r="G948" t="s" s="8"/>
    </row>
    <row r="949" ht="12.50" customHeight="true">
      <c r="G949" t="s" s="8"/>
    </row>
    <row r="950" ht="12.50" customHeight="true">
      <c r="G950" t="s" s="8"/>
    </row>
    <row r="951" ht="12.50" customHeight="true">
      <c r="G951" t="s" s="8"/>
    </row>
    <row r="952" ht="12.50" customHeight="true">
      <c r="G952" t="s" s="8"/>
    </row>
    <row r="953" ht="12.50" customHeight="true">
      <c r="G953" t="s" s="8"/>
    </row>
    <row r="954" ht="12.50" customHeight="true">
      <c r="G954" t="s" s="8"/>
    </row>
    <row r="955" ht="12.50" customHeight="true">
      <c r="G955" t="s" s="8"/>
    </row>
    <row r="956" ht="12.50" customHeight="true">
      <c r="G956" t="s" s="8"/>
    </row>
    <row r="957" ht="12.50" customHeight="true">
      <c r="G957" t="s" s="8"/>
    </row>
    <row r="958" ht="12.50" customHeight="true">
      <c r="G958" t="s" s="8"/>
    </row>
    <row r="959" ht="12.50" customHeight="true">
      <c r="G959" t="s" s="8"/>
    </row>
    <row r="960" ht="12.50" customHeight="true">
      <c r="G960" t="s" s="8"/>
    </row>
    <row r="961" ht="12.50" customHeight="true">
      <c r="G961" t="s" s="8"/>
    </row>
    <row r="962" ht="12.50" customHeight="true">
      <c r="G962" t="s" s="8"/>
    </row>
    <row r="963" ht="12.50" customHeight="true">
      <c r="G963" t="s" s="8"/>
    </row>
    <row r="964" ht="12.50" customHeight="true">
      <c r="G964" t="s" s="8"/>
    </row>
    <row r="965" ht="12.50" customHeight="true">
      <c r="G965" t="s" s="8"/>
    </row>
    <row r="966" ht="12.50" customHeight="true">
      <c r="G966" t="s" s="8"/>
    </row>
    <row r="967" ht="12.50" customHeight="true">
      <c r="G967" t="s" s="8"/>
    </row>
    <row r="968" ht="12.50" customHeight="true">
      <c r="G968" t="s" s="8"/>
    </row>
    <row r="969" ht="12.50" customHeight="true">
      <c r="G969" t="s" s="8"/>
    </row>
    <row r="970" ht="12.50" customHeight="true">
      <c r="G970" t="s" s="8"/>
    </row>
    <row r="971" ht="12.50" customHeight="true">
      <c r="G971" t="s" s="8"/>
    </row>
    <row r="972" ht="12.50" customHeight="true">
      <c r="G972" t="s" s="8"/>
    </row>
    <row r="973" ht="12.50" customHeight="true">
      <c r="G973" t="s" s="8"/>
    </row>
    <row r="974" ht="12.50" customHeight="true">
      <c r="G974" t="s" s="8"/>
    </row>
    <row r="975" ht="12.50" customHeight="true">
      <c r="G975" t="s" s="8"/>
    </row>
    <row r="976" ht="12.50" customHeight="true">
      <c r="G976" t="s" s="8"/>
    </row>
    <row r="977" ht="12.50" customHeight="true">
      <c r="G977" t="s" s="8"/>
    </row>
    <row r="978" ht="12.50" customHeight="true">
      <c r="G978" t="s" s="8"/>
    </row>
    <row r="979" ht="12.50" customHeight="true">
      <c r="G979" t="s" s="8"/>
    </row>
    <row r="980" ht="12.50" customHeight="true">
      <c r="G980" t="s" s="8"/>
    </row>
    <row r="981" ht="12.50" customHeight="true">
      <c r="G981" t="s" s="8"/>
    </row>
    <row r="982" ht="12.50" customHeight="true">
      <c r="G982" t="s" s="8"/>
    </row>
    <row r="983" ht="12.50" customHeight="true">
      <c r="G983" t="s" s="8"/>
    </row>
    <row r="984" ht="12.50" customHeight="true">
      <c r="G984" t="s" s="8"/>
    </row>
    <row r="985" ht="12.50" customHeight="true">
      <c r="G985" t="s" s="8"/>
    </row>
    <row r="986" ht="12.50" customHeight="true">
      <c r="G986" t="s" s="8"/>
    </row>
    <row r="987" ht="12.50" customHeight="true">
      <c r="G987" t="s" s="8"/>
    </row>
    <row r="988" ht="12.50" customHeight="true">
      <c r="G988" t="s" s="8"/>
    </row>
    <row r="989" ht="12.50" customHeight="true">
      <c r="G989" t="s" s="8"/>
    </row>
    <row r="990" ht="12.50" customHeight="true">
      <c r="G990" t="s" s="8"/>
    </row>
    <row r="991" ht="12.50" customHeight="true">
      <c r="G991" t="s" s="8"/>
    </row>
    <row r="992" ht="12.50" customHeight="true">
      <c r="G992" t="s" s="8"/>
    </row>
    <row r="993" ht="12.50" customHeight="true">
      <c r="G993" t="s" s="8"/>
    </row>
    <row r="994" ht="12.50" customHeight="true">
      <c r="G994" t="s" s="8"/>
    </row>
    <row r="995" ht="12.50" customHeight="true">
      <c r="G995" t="s" s="8"/>
    </row>
    <row r="996" ht="12.50" customHeight="true">
      <c r="G996" t="s" s="8"/>
    </row>
    <row r="997" ht="12.50" customHeight="true">
      <c r="G997" t="s" s="8"/>
    </row>
    <row r="998" ht="12.50" customHeight="true">
      <c r="G998" t="s" s="8"/>
    </row>
    <row r="999" ht="12.50" customHeight="true">
      <c r="G999" t="s" s="8"/>
    </row>
    <row r="1000" ht="12.50" customHeight="true">
      <c r="G1000" t="s" s="8"/>
    </row>
    <row r="1001" ht="12.50" customHeight="true">
      <c r="G1001" t="s" s="8"/>
    </row>
  </sheetData>
  <mergeCells count="1">
    <mergeCell ref="B1:F1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ySplit="1" topLeftCell="A2" activePane="bottomRight" state="frozen"/>
      <selection activeCell="A1" sqref="A1"/>
    </sheetView>
  </sheetViews>
  <sheetFormatPr defaultRowHeight="15.75" customHeight="1" defaultColWidth="13.04"/>
  <cols>
    <col min="1" max="1" width="18.14" customWidth="1" hidden="0"/>
    <col min="4" max="4" width="14.84" customWidth="1" hidden="0"/>
  </cols>
  <sheetData>
    <row r="1" ht="15.75" customHeight="true">
      <c r="A1" t="s" s="34">
        <v>35</v>
      </c>
      <c r="B1" t="s" s="35">
        <v>36</v>
      </c>
      <c r="C1" t="s" s="35">
        <v>10</v>
      </c>
      <c r="D1" t="s" s="35">
        <v>9</v>
      </c>
      <c r="E1" t="s" s="35">
        <v>14</v>
      </c>
    </row>
    <row r="2" ht="15.75" customHeight="true">
      <c r="A2" t="s" s="36">
        <v>11</v>
      </c>
      <c r="B2" t="s" s="36">
        <v>21</v>
      </c>
      <c r="C2" t="s" s="36">
        <v>26</v>
      </c>
      <c r="D2" t="s" s="36">
        <v>32</v>
      </c>
      <c r="E2" s="36">
        <v>7</v>
      </c>
      <c r="I2" s="8" t="s">
        <f ref="I2:I9" t="shared" si="2027">J2&amp;K2</f>
        <v>37</v>
      </c>
      <c r="J2" t="s" s="8">
        <v>20</v>
      </c>
      <c r="K2" t="s" s="8">
        <v>21</v>
      </c>
      <c r="L2" t="s" s="8">
        <v>20</v>
      </c>
    </row>
    <row r="3" ht="15.75" customHeight="true">
      <c r="A3" t="s" s="36">
        <v>11</v>
      </c>
      <c r="B3" t="s" s="36">
        <v>21</v>
      </c>
      <c r="C3" t="s" s="36">
        <v>38</v>
      </c>
      <c r="D3" t="s" s="36">
        <v>32</v>
      </c>
      <c r="E3" s="36">
        <v>7</v>
      </c>
      <c r="I3" s="8" t="s">
        <f t="shared" si="2027"/>
        <v>39</v>
      </c>
      <c r="J3" t="s" s="8">
        <v>20</v>
      </c>
      <c r="K3" t="s" s="8">
        <v>24</v>
      </c>
      <c r="L3" t="s" s="8">
        <v>32</v>
      </c>
    </row>
    <row r="4" ht="15.75" customHeight="true">
      <c r="A4" t="s" s="36">
        <v>11</v>
      </c>
      <c r="B4" t="s" s="36">
        <v>21</v>
      </c>
      <c r="C4" t="s" s="36">
        <v>40</v>
      </c>
      <c r="D4" t="s" s="36">
        <v>32</v>
      </c>
      <c r="E4" s="36">
        <v>7</v>
      </c>
      <c r="I4" s="8" t="s">
        <f t="shared" si="2027"/>
        <v>41</v>
      </c>
      <c r="J4" t="s" s="8">
        <v>20</v>
      </c>
      <c r="K4" t="s" s="8">
        <v>33</v>
      </c>
      <c r="L4" t="s" s="8">
        <v>32</v>
      </c>
    </row>
    <row r="5" ht="15.75" customHeight="true">
      <c r="A5" t="s" s="36">
        <v>11</v>
      </c>
      <c r="B5" t="s" s="36">
        <v>21</v>
      </c>
      <c r="C5" t="s" s="36">
        <v>22</v>
      </c>
      <c r="D5" t="s" s="36">
        <v>32</v>
      </c>
      <c r="E5" s="36">
        <v>9</v>
      </c>
      <c r="I5" s="8" t="s">
        <f t="shared" si="2027"/>
        <v>42</v>
      </c>
      <c r="J5" t="s" s="8">
        <v>20</v>
      </c>
      <c r="K5" t="s" s="8">
        <v>34</v>
      </c>
      <c r="L5" t="s" s="8">
        <v>34</v>
      </c>
    </row>
    <row r="6" ht="15.75" customHeight="true">
      <c r="A6" t="s" s="36">
        <v>11</v>
      </c>
      <c r="B6" t="s" s="36">
        <v>21</v>
      </c>
      <c r="C6" t="s" s="36">
        <v>43</v>
      </c>
      <c r="D6" t="s" s="36">
        <v>32</v>
      </c>
      <c r="E6" s="36">
        <v>9</v>
      </c>
      <c r="I6" s="8" t="s">
        <f t="shared" si="2027"/>
        <v>44</v>
      </c>
      <c r="J6" t="s" s="8">
        <v>27</v>
      </c>
      <c r="K6" t="s" s="8">
        <v>21</v>
      </c>
      <c r="L6" t="s" s="8">
        <v>27</v>
      </c>
    </row>
    <row r="7" ht="15.75" customHeight="true">
      <c r="A7" t="s" s="36">
        <v>11</v>
      </c>
      <c r="B7" t="s" s="36">
        <v>21</v>
      </c>
      <c r="C7" t="s" s="36">
        <v>45</v>
      </c>
      <c r="D7" t="s" s="36">
        <v>32</v>
      </c>
      <c r="E7" s="36">
        <v>10</v>
      </c>
      <c r="I7" s="8" t="s">
        <f t="shared" si="2027"/>
        <v>46</v>
      </c>
      <c r="J7" t="s" s="8">
        <v>27</v>
      </c>
      <c r="K7" t="s" s="8">
        <v>24</v>
      </c>
      <c r="L7" t="s" s="8">
        <v>24</v>
      </c>
    </row>
    <row r="8" ht="15.75" customHeight="true">
      <c r="A8" t="s" s="36">
        <v>11</v>
      </c>
      <c r="B8" t="s" s="36">
        <v>21</v>
      </c>
      <c r="C8" t="s" s="36">
        <v>26</v>
      </c>
      <c r="D8" t="s" s="36">
        <v>47</v>
      </c>
      <c r="E8" s="36">
        <v>9.5</v>
      </c>
      <c r="I8" s="8" t="s">
        <f t="shared" si="2027"/>
        <v>48</v>
      </c>
      <c r="J8" t="s" s="8">
        <v>27</v>
      </c>
      <c r="K8" t="s" s="8">
        <v>33</v>
      </c>
      <c r="L8" t="s" s="8">
        <v>33</v>
      </c>
    </row>
    <row r="9" ht="15.75" customHeight="true">
      <c r="A9" t="s" s="36">
        <v>11</v>
      </c>
      <c r="B9" t="s" s="36">
        <v>21</v>
      </c>
      <c r="C9" t="s" s="36">
        <v>38</v>
      </c>
      <c r="D9" t="s" s="36">
        <v>47</v>
      </c>
      <c r="E9" s="36">
        <v>9.5</v>
      </c>
      <c r="I9" s="8" t="s">
        <f t="shared" si="2027"/>
        <v>49</v>
      </c>
      <c r="J9" t="s" s="8">
        <v>27</v>
      </c>
      <c r="K9" t="s" s="8">
        <v>34</v>
      </c>
      <c r="L9" t="s" s="8">
        <v>34</v>
      </c>
    </row>
    <row r="10" ht="15.75" customHeight="true">
      <c r="A10" t="s" s="36">
        <v>11</v>
      </c>
      <c r="B10" t="s" s="36">
        <v>21</v>
      </c>
      <c r="C10" t="s" s="36">
        <v>40</v>
      </c>
      <c r="D10" t="s" s="36">
        <v>47</v>
      </c>
      <c r="E10" s="36">
        <v>10.5</v>
      </c>
    </row>
    <row r="11" ht="15.75" customHeight="true">
      <c r="A11" t="s" s="36">
        <v>11</v>
      </c>
      <c r="B11" t="s" s="36">
        <v>21</v>
      </c>
      <c r="C11" t="s" s="36">
        <v>22</v>
      </c>
      <c r="D11" t="s" s="36">
        <v>47</v>
      </c>
      <c r="E11" s="36">
        <v>12.25</v>
      </c>
    </row>
    <row r="12" ht="15.75" customHeight="true">
      <c r="A12" t="s" s="36">
        <v>11</v>
      </c>
      <c r="B12" t="s" s="36">
        <v>21</v>
      </c>
      <c r="C12" t="s" s="36">
        <v>43</v>
      </c>
      <c r="D12" t="s" s="36">
        <v>47</v>
      </c>
      <c r="E12" s="36">
        <v>12.25</v>
      </c>
    </row>
    <row r="13" ht="15.75" customHeight="true">
      <c r="A13" t="s" s="36">
        <v>11</v>
      </c>
      <c r="B13" t="s" s="36">
        <v>21</v>
      </c>
      <c r="C13" t="s" s="36">
        <v>45</v>
      </c>
      <c r="D13" t="s" s="36">
        <v>47</v>
      </c>
      <c r="E13" s="36">
        <v>12.7</v>
      </c>
    </row>
    <row r="14" ht="15.75" customHeight="true">
      <c r="A14" t="s" s="36">
        <v>11</v>
      </c>
      <c r="B14" t="s" s="36">
        <v>24</v>
      </c>
      <c r="C14" s="36"/>
      <c r="D14" t="s" s="36">
        <v>32</v>
      </c>
      <c r="E14" s="36">
        <v>7</v>
      </c>
    </row>
    <row r="15" ht="15.75" customHeight="true">
      <c r="A15" t="s" s="36">
        <v>11</v>
      </c>
      <c r="B15" t="s" s="36">
        <v>33</v>
      </c>
      <c r="C15" s="36"/>
      <c r="D15" t="s" s="36">
        <v>32</v>
      </c>
      <c r="E15" s="36">
        <v>7</v>
      </c>
    </row>
    <row r="16" ht="15.75" customHeight="true">
      <c r="A16" t="s" s="36">
        <v>11</v>
      </c>
      <c r="B16" t="s" s="36">
        <v>34</v>
      </c>
      <c r="C16" s="36"/>
      <c r="D16" t="s" s="36">
        <v>32</v>
      </c>
      <c r="E16" s="36">
        <v>7</v>
      </c>
    </row>
    <row r="17" ht="15.75" customHeight="true">
      <c r="A17" t="s" s="36">
        <v>11</v>
      </c>
      <c r="B17" t="s" s="36">
        <v>24</v>
      </c>
      <c r="C17" s="36"/>
      <c r="D17" t="s" s="36">
        <v>50</v>
      </c>
      <c r="E17" s="36">
        <v>5.5</v>
      </c>
    </row>
    <row r="18" ht="15.75" customHeight="true">
      <c r="A18" t="s" s="36">
        <v>11</v>
      </c>
      <c r="B18" t="s" s="36">
        <v>33</v>
      </c>
      <c r="C18" s="37"/>
      <c r="D18" t="s" s="36">
        <v>50</v>
      </c>
      <c r="E18" s="36">
        <v>5.5</v>
      </c>
    </row>
    <row r="19" ht="15.75" customHeight="true">
      <c r="A19" t="s" s="36">
        <v>11</v>
      </c>
      <c r="B19" t="s" s="36">
        <v>34</v>
      </c>
      <c r="C19" s="37"/>
      <c r="D19" t="s" s="36">
        <v>50</v>
      </c>
      <c r="E19" s="36">
        <v>5.5</v>
      </c>
    </row>
    <row r="20" ht="15.75" customHeight="true">
      <c r="A20" t="s" s="36">
        <v>51</v>
      </c>
      <c r="B20" t="s" s="36">
        <v>24</v>
      </c>
      <c r="C20" s="37"/>
      <c r="D20" t="s" s="36">
        <v>50</v>
      </c>
      <c r="E20" s="36">
        <v>1.5</v>
      </c>
    </row>
    <row r="21" ht="15.75" customHeight="true">
      <c r="A21" t="s" s="36">
        <v>51</v>
      </c>
      <c r="B21" t="s" s="36">
        <v>33</v>
      </c>
      <c r="C21" s="37"/>
      <c r="D21" t="s" s="36">
        <v>50</v>
      </c>
      <c r="E21" s="36">
        <v>1.5</v>
      </c>
    </row>
    <row r="22" ht="15.75" customHeight="true">
      <c r="A22" t="s" s="36">
        <v>51</v>
      </c>
      <c r="B22" t="s" s="36">
        <v>34</v>
      </c>
      <c r="C22" s="37"/>
      <c r="D22" t="s" s="36">
        <v>50</v>
      </c>
      <c r="E22" s="36">
        <v>1.5</v>
      </c>
    </row>
    <row r="23" ht="15.75" customHeight="true">
      <c r="A23" t="s" s="38">
        <v>11</v>
      </c>
      <c r="B23" t="s" s="36">
        <v>21</v>
      </c>
      <c r="C23" t="s" s="36">
        <v>26</v>
      </c>
      <c r="D23" t="s" s="36">
        <v>27</v>
      </c>
      <c r="E23" s="36">
        <v>4</v>
      </c>
    </row>
    <row r="24" ht="15.75" customHeight="true">
      <c r="A24" t="s" s="36">
        <v>11</v>
      </c>
      <c r="B24" t="s" s="36">
        <v>21</v>
      </c>
      <c r="C24" t="s" s="36">
        <v>38</v>
      </c>
      <c r="D24" t="s" s="36">
        <v>27</v>
      </c>
      <c r="E24" s="36">
        <v>4</v>
      </c>
    </row>
    <row r="25" ht="15.75" customHeight="true">
      <c r="A25" t="s" s="36">
        <v>11</v>
      </c>
      <c r="B25" t="s" s="36">
        <v>21</v>
      </c>
      <c r="C25" t="s" s="36">
        <v>40</v>
      </c>
      <c r="D25" t="s" s="36">
        <v>27</v>
      </c>
      <c r="E25" s="36">
        <v>4</v>
      </c>
    </row>
    <row r="26" ht="15.75" customHeight="true">
      <c r="A26" t="s" s="36">
        <v>11</v>
      </c>
      <c r="B26" t="s" s="36">
        <v>21</v>
      </c>
      <c r="C26" t="s" s="36">
        <v>22</v>
      </c>
      <c r="D26" t="s" s="36">
        <v>27</v>
      </c>
      <c r="E26" s="36">
        <v>4</v>
      </c>
    </row>
    <row r="27" ht="15.75" customHeight="true">
      <c r="A27" t="s" s="36">
        <v>11</v>
      </c>
      <c r="B27" t="s" s="36">
        <v>21</v>
      </c>
      <c r="C27" t="s" s="36">
        <v>45</v>
      </c>
      <c r="D27" t="s" s="36">
        <v>27</v>
      </c>
      <c r="E27" s="36">
        <v>4</v>
      </c>
    </row>
    <row r="28" ht="15.75" customHeight="true">
      <c r="A28" t="s" s="36">
        <v>11</v>
      </c>
      <c r="B28" t="s" s="36">
        <v>21</v>
      </c>
      <c r="C28" t="s" s="36">
        <v>52</v>
      </c>
      <c r="D28" t="s" s="36">
        <v>27</v>
      </c>
      <c r="E28" s="36">
        <v>4</v>
      </c>
    </row>
    <row r="29" ht="15.75" customHeight="true">
      <c r="A29" t="s" s="36">
        <v>11</v>
      </c>
      <c r="B29" t="s" s="36">
        <v>21</v>
      </c>
      <c r="C29" t="s" s="36">
        <v>53</v>
      </c>
      <c r="D29" t="s" s="36">
        <v>27</v>
      </c>
      <c r="E29" s="36">
        <v>4</v>
      </c>
    </row>
    <row r="30" ht="15.75" customHeight="true">
      <c r="A30" t="s" s="36">
        <v>11</v>
      </c>
      <c r="B30" t="s" s="36">
        <v>21</v>
      </c>
      <c r="C30" t="s" s="36">
        <v>54</v>
      </c>
      <c r="D30" t="s" s="36">
        <v>27</v>
      </c>
      <c r="E30" s="36">
        <v>4</v>
      </c>
    </row>
    <row r="31" ht="15.75" customHeight="true">
      <c r="A31" t="s" s="36">
        <v>11</v>
      </c>
      <c r="B31" t="s" s="36">
        <v>21</v>
      </c>
      <c r="C31" t="s" s="36">
        <v>55</v>
      </c>
      <c r="D31" t="s" s="36">
        <v>27</v>
      </c>
      <c r="E31" s="36">
        <v>4</v>
      </c>
    </row>
    <row r="32" ht="15.75" customHeight="true">
      <c r="A32" t="s" s="36">
        <v>11</v>
      </c>
      <c r="B32" t="s" s="36">
        <v>21</v>
      </c>
      <c r="C32" t="s" s="36">
        <v>43</v>
      </c>
      <c r="D32" t="s" s="36">
        <v>27</v>
      </c>
      <c r="E32" s="36">
        <v>4</v>
      </c>
    </row>
    <row r="33" ht="15.75" customHeight="true">
      <c r="A33" t="s" s="36">
        <v>11</v>
      </c>
      <c r="B33" t="s" s="36">
        <v>21</v>
      </c>
      <c r="C33" t="s" s="36">
        <v>26</v>
      </c>
      <c r="D33" t="s" s="36">
        <v>20</v>
      </c>
      <c r="E33" s="36">
        <v>4</v>
      </c>
    </row>
    <row r="34" ht="15.75" customHeight="true">
      <c r="A34" t="s" s="36">
        <v>11</v>
      </c>
      <c r="B34" t="s" s="36">
        <v>21</v>
      </c>
      <c r="C34" t="s" s="36">
        <v>38</v>
      </c>
      <c r="D34" t="s" s="36">
        <v>20</v>
      </c>
      <c r="E34" s="36">
        <v>4</v>
      </c>
    </row>
    <row r="35" ht="15.75" customHeight="true">
      <c r="A35" t="s" s="36">
        <v>11</v>
      </c>
      <c r="B35" t="s" s="36">
        <v>21</v>
      </c>
      <c r="C35" t="s" s="36">
        <v>40</v>
      </c>
      <c r="D35" t="s" s="36">
        <v>20</v>
      </c>
      <c r="E35" s="36">
        <v>4</v>
      </c>
    </row>
    <row r="36" ht="15.75" customHeight="true">
      <c r="A36" t="s" s="36">
        <v>11</v>
      </c>
      <c r="B36" t="s" s="36">
        <v>21</v>
      </c>
      <c r="C36" t="s" s="36">
        <v>22</v>
      </c>
      <c r="D36" t="s" s="36">
        <v>20</v>
      </c>
      <c r="E36" s="36">
        <v>4</v>
      </c>
    </row>
    <row r="37" ht="15.75" customHeight="true">
      <c r="A37" t="s" s="36">
        <v>11</v>
      </c>
      <c r="B37" t="s" s="36">
        <v>21</v>
      </c>
      <c r="C37" t="s" s="36">
        <v>45</v>
      </c>
      <c r="D37" t="s" s="36">
        <v>20</v>
      </c>
      <c r="E37" s="36">
        <v>4</v>
      </c>
    </row>
    <row r="38" ht="15.75" customHeight="true">
      <c r="A38" t="s" s="36">
        <v>11</v>
      </c>
      <c r="B38" t="s" s="36">
        <v>21</v>
      </c>
      <c r="C38" t="s" s="36">
        <v>52</v>
      </c>
      <c r="D38" t="s" s="36">
        <v>20</v>
      </c>
      <c r="E38" s="36">
        <v>4</v>
      </c>
    </row>
    <row r="39" ht="15.75" customHeight="true">
      <c r="A39" t="s" s="36">
        <v>11</v>
      </c>
      <c r="B39" t="s" s="36">
        <v>21</v>
      </c>
      <c r="C39" t="s" s="36">
        <v>53</v>
      </c>
      <c r="D39" t="s" s="36">
        <v>20</v>
      </c>
      <c r="E39" s="36">
        <v>4</v>
      </c>
    </row>
    <row r="40" ht="15.75" customHeight="true">
      <c r="A40" t="s" s="36">
        <v>11</v>
      </c>
      <c r="B40" t="s" s="36">
        <v>21</v>
      </c>
      <c r="C40" t="s" s="36">
        <v>54</v>
      </c>
      <c r="D40" t="s" s="36">
        <v>20</v>
      </c>
      <c r="E40" s="36">
        <v>4</v>
      </c>
    </row>
    <row r="41" ht="15.75" customHeight="true">
      <c r="A41" t="s" s="36">
        <v>11</v>
      </c>
      <c r="B41" t="s" s="36">
        <v>21</v>
      </c>
      <c r="C41" t="s" s="36">
        <v>55</v>
      </c>
      <c r="D41" t="s" s="36">
        <v>20</v>
      </c>
      <c r="E41" s="36">
        <v>4</v>
      </c>
    </row>
    <row r="42" ht="15.75" customHeight="true">
      <c r="A42" t="s" s="36">
        <v>11</v>
      </c>
      <c r="B42" t="s" s="36">
        <v>21</v>
      </c>
      <c r="C42" t="s" s="36">
        <v>43</v>
      </c>
      <c r="D42" t="s" s="36">
        <v>20</v>
      </c>
      <c r="E42" s="36">
        <v>4</v>
      </c>
    </row>
    <row r="43" ht="15.75" customHeight="true">
      <c r="A43" t="s" s="39">
        <v>11</v>
      </c>
      <c r="B43" t="s" s="39">
        <v>56</v>
      </c>
      <c r="C43" t="s" s="39">
        <v>56</v>
      </c>
      <c r="D43" t="s" s="39">
        <v>56</v>
      </c>
      <c r="E43" s="39">
        <v>6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ySplit="3" topLeftCell="A4" activePane="bottomRight" state="frozen"/>
      <selection activeCell="A1" sqref="A1"/>
    </sheetView>
  </sheetViews>
  <sheetFormatPr defaultRowHeight="15.75" customHeight="1" defaultColWidth="13.04"/>
  <sheetData>
    <row r="1" ht="15.75" customHeight="true">
      <c r="A1" t="s" s="26">
        <v>30</v>
      </c>
      <c r="B1" s="5" t="s">
        <f>Sheet1!C1</f>
        <v>0</v>
      </c>
      <c r="G1" s="5"/>
    </row>
    <row r="2" ht="15.75" customHeight="true">
      <c r="A2" s="26"/>
      <c r="B2" t="s" s="5">
        <v>2</v>
      </c>
      <c r="C2" s="5"/>
      <c r="D2" s="5"/>
      <c r="E2" s="5">
        <f>SUM(E4:E1000)</f>
        <v>315</v>
      </c>
      <c r="F2" t="s" s="5">
        <v>31</v>
      </c>
      <c r="G2" s="5">
        <f>SUM(G4:G1000)</f>
        <v>1890</v>
      </c>
    </row>
    <row r="3" ht="15.75" customHeight="true">
      <c r="A3" t="s" s="29">
        <v>9</v>
      </c>
      <c r="B3" t="s" s="29">
        <v>10</v>
      </c>
      <c r="C3" t="s" s="29">
        <v>11</v>
      </c>
      <c r="D3" t="s" s="29">
        <v>12</v>
      </c>
      <c r="E3" t="s" s="29">
        <v>29</v>
      </c>
      <c r="F3" t="s" s="29">
        <v>14</v>
      </c>
      <c r="G3" t="s" s="29">
        <v>15</v>
      </c>
    </row>
    <row r="4" ht="15.75" customHeight="true">
      <c r="A4" s="31" t="s">
        <f>IFERROR(__xludf.DUMMYFUNCTION("sort(unique(Sheet1!F3:I1000))"),"BEDCOVER")</f>
        <v>21</v>
      </c>
      <c r="B4" s="32" t="s">
        <f>IFERROR(__xludf.DUMMYFUNCTION("""COMPUTED_VALUE"""),"60*90")</f>
        <v>26</v>
      </c>
      <c r="C4" s="33" t="b">
        <f>IFERROR(__xludf.DUMMYFUNCTION("""COMPUTED_VALUE"""),FALSE)</f>
        <v>0</v>
      </c>
      <c r="D4" s="33" t="s">
        <f>IFERROR(__xludf.DUMMYFUNCTION("""COMPUTED_VALUE"""),"STITCHING")</f>
        <v>11</v>
      </c>
      <c r="E4" s="33" t="s">
        <f>IFERROR(__xludf.DUMMYFUNCTION("IFERROR(QUERY(Sheet1!A:L,""SELECT SUM(J) WHERE F= '""&amp;$A4&amp;""' AND G= '""&amp;$B4&amp;""' AND H='""&amp;C4&amp;""' AND I='""&amp;D4&amp;""'  LABEL SUM(J)'' ""),"""")"),"")</f>
      </c>
      <c r="F4" s="33" t="s">
        <f>IFERROR(__xludf.DUMMYFUNCTION("iferror(index(filter('PRICE LIST'!$E$2:$E1000,'PRICE LIST'!$A$2:$A1000=$D4,'PRICE LIST'!$B$2:$B1000=A4,'PRICE LIST'!$C$2:$C1000=B4,'PRICE LIST'!$D$2:$D1000=C4),1,1))"),"")</f>
      </c>
      <c r="G4" cm="1" s="33" t="s">
        <f t="array" ref="G4:G1000">IF(ISNUMBER(E4:E1000)*(E4:E1000&gt;0)*(F4:F1000&gt;0),E4:E1000*F4:F1000,"")</f>
      </c>
    </row>
    <row r="5" ht="15.75" customHeight="true">
      <c r="A5" s="32" t="s">
        <f>IFERROR(__xludf.DUMMYFUNCTION("""COMPUTED_VALUE"""),"BEDCOVER")</f>
        <v>21</v>
      </c>
      <c r="B5" s="32" t="s">
        <f>IFERROR(__xludf.DUMMYFUNCTION("""COMPUTED_VALUE"""),"90*100")</f>
        <v>22</v>
      </c>
      <c r="C5" s="33" t="s">
        <f>IFERROR(__xludf.DUMMYFUNCTION("""COMPUTED_VALUE"""),"NEW NAKSHI")</f>
        <v>20</v>
      </c>
      <c r="D5" s="33" t="s">
        <f>IFERROR(__xludf.DUMMYFUNCTION("""COMPUTED_VALUE"""),"STITCHING")</f>
        <v>11</v>
      </c>
      <c r="E5" s="33">
        <f>IFERROR(__xludf.DUMMYFUNCTION("IFERROR(QUERY(Sheet1!A:L,""SELECT SUM(J) WHERE F= '""&amp;$A5&amp;""' AND G= '""&amp;$B5&amp;""' AND H='""&amp;C5&amp;""' AND I='""&amp;D5&amp;""'  LABEL SUM(J)'' ""),"""")"),105)</f>
        <v>105</v>
      </c>
      <c r="F5" s="33">
        <f>IFERROR(__xludf.DUMMYFUNCTION("iferror(index(filter('PRICE LIST'!$E$2:$E1000,'PRICE LIST'!$A$2:$A1000=$D5,'PRICE LIST'!$B$2:$B1000=A5,'PRICE LIST'!$C$2:$C1000=B5,'PRICE LIST'!$D$2:$D1000=C5),1,1))"),4)</f>
        <v>4</v>
      </c>
      <c r="G5" s="32">
        <v>420</v>
      </c>
    </row>
    <row r="6" ht="15.75" customHeight="true">
      <c r="A6" s="32" t="s">
        <f>IFERROR(__xludf.DUMMYFUNCTION("""COMPUTED_VALUE"""),"PILLOW")</f>
        <v>24</v>
      </c>
      <c r="B6" s="32"/>
      <c r="C6" s="33" t="s">
        <f>IFERROR(__xludf.DUMMYFUNCTION("""COMPUTED_VALUE"""),"SINGLE")</f>
        <v>32</v>
      </c>
      <c r="D6" s="33" t="s">
        <f>IFERROR(__xludf.DUMMYFUNCTION("""COMPUTED_VALUE"""),"STITCHING")</f>
        <v>11</v>
      </c>
      <c r="E6" s="33">
        <f>IFERROR(__xludf.DUMMYFUNCTION("IFERROR(QUERY(Sheet1!A:L,""SELECT SUM(J) WHERE F= '""&amp;$A6&amp;""' AND G= '""&amp;$B6&amp;""' AND H='""&amp;C6&amp;""' AND I='""&amp;D6&amp;""'  LABEL SUM(J)'' ""),"""")"),210)</f>
        <v>210</v>
      </c>
      <c r="F6" s="33">
        <f>IFERROR(__xludf.DUMMYFUNCTION("iferror(index(filter('PRICE LIST'!$E$2:$E1000,'PRICE LIST'!$A$2:$A1000=$D6,'PRICE LIST'!$B$2:$B1000=A6,'PRICE LIST'!$C$2:$C1000=B6,'PRICE LIST'!$D$2:$D1000=C6),1,1))"),7)</f>
        <v>7</v>
      </c>
      <c r="G6" s="32">
        <v>1470</v>
      </c>
    </row>
    <row r="7" ht="15.75" customHeight="true">
      <c r="A7" s="32"/>
      <c r="B7" s="32"/>
      <c r="C7" s="33" t="s">
        <f>IFERROR(__xludf.DUMMYFUNCTION("""COMPUTED_VALUE"""),"NAKSHI")</f>
        <v>27</v>
      </c>
      <c r="D7" s="33" t="s">
        <f>IFERROR(__xludf.DUMMYFUNCTION("""COMPUTED_VALUE"""),"STITCHING")</f>
        <v>11</v>
      </c>
      <c r="E7" s="33" t="s">
        <f>IFERROR(__xludf.DUMMYFUNCTION("IFERROR(QUERY(Sheet1!A:L,""SELECT SUM(J) WHERE F= '""&amp;$A7&amp;""' AND G= '""&amp;$B7&amp;""' AND H='""&amp;C7&amp;""' AND I='""&amp;D7&amp;""'  LABEL SUM(J)'' ""),"""")"),"")</f>
      </c>
      <c r="F7" s="33" t="s">
        <f>IFERROR(__xludf.DUMMYFUNCTION("iferror(index(filter('PRICE LIST'!$E$2:$E1000,'PRICE LIST'!$A$2:$A1000=$D7,'PRICE LIST'!$B$2:$B1000=A7,'PRICE LIST'!$C$2:$C1000=B7,'PRICE LIST'!$D$2:$D1000=C7),1,1))"),"")</f>
      </c>
      <c r="G7" t="s" s="32"/>
    </row>
    <row r="8" ht="15.75" customHeight="true">
      <c r="A8" s="32"/>
      <c r="B8" s="32"/>
      <c r="C8" s="33" t="s">
        <f>IFERROR(__xludf.DUMMYFUNCTION("""COMPUTED_VALUE"""),"NEW NAKSHI")</f>
        <v>20</v>
      </c>
      <c r="D8" s="33" t="s">
        <f>IFERROR(__xludf.DUMMYFUNCTION("""COMPUTED_VALUE"""),"STITCHING")</f>
        <v>11</v>
      </c>
      <c r="E8" s="33" t="s">
        <f>IFERROR(__xludf.DUMMYFUNCTION("IFERROR(QUERY(Sheet1!A:L,""SELECT SUM(J) WHERE F= '""&amp;$A8&amp;""' AND G= '""&amp;$B8&amp;""' AND H='""&amp;C8&amp;""' AND I='""&amp;D8&amp;""'  LABEL SUM(J)'' ""),"""")"),"")</f>
      </c>
      <c r="F8" s="33" t="s">
        <f>IFERROR(__xludf.DUMMYFUNCTION("iferror(index(filter('PRICE LIST'!$E$2:$E1000,'PRICE LIST'!$A$2:$A1000=$D8,'PRICE LIST'!$B$2:$B1000=A8,'PRICE LIST'!$C$2:$C1000=B8,'PRICE LIST'!$D$2:$D1000=C8),1,1))"),"")</f>
      </c>
      <c r="G8" t="s" s="32"/>
    </row>
    <row r="9" ht="15.75" customHeight="true">
      <c r="A9" s="32"/>
      <c r="B9" s="32"/>
      <c r="C9" s="33" t="s">
        <f>IFERROR(__xludf.DUMMYFUNCTION("""COMPUTED_VALUE"""),"SINGLE")</f>
        <v>32</v>
      </c>
      <c r="D9" s="33" t="s">
        <f>IFERROR(__xludf.DUMMYFUNCTION("""COMPUTED_VALUE"""),"STITCHING")</f>
        <v>11</v>
      </c>
      <c r="E9" s="33" t="s">
        <f>IFERROR(__xludf.DUMMYFUNCTION("IFERROR(QUERY(Sheet1!A:L,""SELECT SUM(J) WHERE F= '""&amp;$A9&amp;""' AND G= '""&amp;$B9&amp;""' AND H='""&amp;C9&amp;""' AND I='""&amp;D9&amp;""'  LABEL SUM(J)'' ""),"""")"),"")</f>
      </c>
      <c r="F9" s="33" t="s">
        <f>IFERROR(__xludf.DUMMYFUNCTION("iferror(index(filter('PRICE LIST'!$E$2:$E1000,'PRICE LIST'!$A$2:$A1000=$D9,'PRICE LIST'!$B$2:$B1000=A9,'PRICE LIST'!$C$2:$C1000=B9,'PRICE LIST'!$D$2:$D1000=C9),1,1))"),"")</f>
      </c>
      <c r="G9" t="s" s="32"/>
    </row>
    <row r="10" ht="15.75" customHeight="true">
      <c r="A10" s="32"/>
      <c r="B10" s="32"/>
      <c r="C10" s="33"/>
      <c r="D10" s="33"/>
      <c r="E10" s="33" t="s">
        <f>IFERROR(__xludf.DUMMYFUNCTION("IFERROR(QUERY(Sheet1!A:L,""SELECT SUM(J) WHERE F= '""&amp;$A10&amp;""' AND G= '""&amp;$B10&amp;""' AND H='""&amp;C10&amp;""' AND I='""&amp;D10&amp;""'  LABEL SUM(J)'' ""),"""")"),"")</f>
      </c>
      <c r="F10" s="33" t="s">
        <f>IFERROR(__xludf.DUMMYFUNCTION("iferror(index(filter('PRICE LIST'!$E$2:$E1000,'PRICE LIST'!$A$2:$A1000=$D10,'PRICE LIST'!$B$2:$B1000=A10,'PRICE LIST'!$C$2:$C1000=B10,'PRICE LIST'!$D$2:$D1000=C10),1,1))"),"")</f>
      </c>
      <c r="G10" t="s" s="32"/>
    </row>
    <row r="11" ht="15.75" customHeight="true">
      <c r="A11" s="32"/>
      <c r="B11" s="32"/>
      <c r="C11" s="32"/>
      <c r="D11" s="32"/>
      <c r="E11" s="33" t="s">
        <f>IFERROR(__xludf.DUMMYFUNCTION("IFERROR(QUERY(Sheet1!A:L,""SELECT SUM(J) WHERE F= '""&amp;$A11&amp;""' AND G= '""&amp;$B11&amp;""' AND H='""&amp;C11&amp;""' AND I='""&amp;D11&amp;""'  LABEL SUM(J)'' ""),"""")"),"")</f>
      </c>
      <c r="F11" s="33" t="s">
        <f>IFERROR(__xludf.DUMMYFUNCTION("iferror(index(filter('PRICE LIST'!$E$2:$E1000,'PRICE LIST'!$A$2:$A1000=$D11,'PRICE LIST'!$B$2:$B1000=A11,'PRICE LIST'!$C$2:$C1000=B11,'PRICE LIST'!$D$2:$D1000=C11),1,1))"),"")</f>
      </c>
      <c r="G11" t="s" s="32"/>
    </row>
    <row r="12" ht="15.75" customHeight="true">
      <c r="A12" s="32"/>
      <c r="B12" s="32"/>
      <c r="C12" s="32"/>
      <c r="D12" s="32"/>
      <c r="E12" s="33" t="s">
        <f>IFERROR(__xludf.DUMMYFUNCTION("IFERROR(QUERY(Sheet1!A:L,""SELECT SUM(J) WHERE F= '""&amp;$A12&amp;""' AND G= '""&amp;$B12&amp;""' AND H='""&amp;C12&amp;""' AND I='""&amp;D12&amp;""'  LABEL SUM(J)'' ""),"""")"),"")</f>
      </c>
      <c r="F12" s="33" t="s">
        <f>IFERROR(__xludf.DUMMYFUNCTION("iferror(index(filter('PRICE LIST'!$E$2:$E1000,'PRICE LIST'!$A$2:$A1000=$D12,'PRICE LIST'!$B$2:$B1000=A12,'PRICE LIST'!$C$2:$C1000=B12,'PRICE LIST'!$D$2:$D1000=C12),1,1))"),"")</f>
      </c>
      <c r="G12" t="s" s="32"/>
    </row>
    <row r="13" ht="15.75" customHeight="true">
      <c r="A13" s="32"/>
      <c r="B13" s="32"/>
      <c r="C13" s="32"/>
      <c r="D13" s="32"/>
      <c r="E13" s="33" t="s">
        <f>IFERROR(__xludf.DUMMYFUNCTION("IFERROR(QUERY(Sheet1!A:L,""SELECT SUM(J) WHERE F= '""&amp;$A13&amp;""' AND G= '""&amp;$B13&amp;""' AND H='""&amp;C13&amp;""' AND I='""&amp;D13&amp;""'  LABEL SUM(J)'' ""),"""")"),"")</f>
      </c>
      <c r="F13" s="33" t="s">
        <f>IFERROR(__xludf.DUMMYFUNCTION("iferror(index(filter('PRICE LIST'!$E$2:$E1000,'PRICE LIST'!$A$2:$A1000=$D13,'PRICE LIST'!$B$2:$B1000=A13,'PRICE LIST'!$C$2:$C1000=B13,'PRICE LIST'!$D$2:$D1000=C13),1,1))"),"")</f>
      </c>
      <c r="G13" t="s" s="32"/>
    </row>
    <row r="14" ht="15.75" customHeight="true">
      <c r="A14" s="32"/>
      <c r="B14" s="32"/>
      <c r="C14" s="32"/>
      <c r="D14" s="32"/>
      <c r="E14" s="33" t="s">
        <f>IFERROR(__xludf.DUMMYFUNCTION("IFERROR(QUERY(Sheet1!A:L,""SELECT SUM(J) WHERE F= '""&amp;$A14&amp;""' AND G= '""&amp;$B14&amp;""' AND H='""&amp;C14&amp;""' AND I='""&amp;D14&amp;""'  LABEL SUM(J)'' ""),"""")"),"")</f>
      </c>
      <c r="F14" s="33" t="s">
        <f>IFERROR(__xludf.DUMMYFUNCTION("iferror(index(filter('PRICE LIST'!$E$2:$E1000,'PRICE LIST'!$A$2:$A1000=$D14,'PRICE LIST'!$B$2:$B1000=A14,'PRICE LIST'!$C$2:$C1000=B14,'PRICE LIST'!$D$2:$D1000=C14),1,1))"),"")</f>
      </c>
      <c r="G14" t="s" s="32"/>
    </row>
    <row r="15" ht="15.75" customHeight="true">
      <c r="A15" s="32"/>
      <c r="B15" s="32"/>
      <c r="C15" s="32"/>
      <c r="D15" s="32"/>
      <c r="E15" s="32"/>
      <c r="F15" s="32"/>
      <c r="G15" t="s" s="32"/>
    </row>
    <row r="16" ht="15.75" customHeight="true">
      <c r="G16" t="s" s="8"/>
    </row>
    <row r="17" ht="15.75" customHeight="true">
      <c r="G17" t="s" s="8"/>
    </row>
    <row r="18" ht="15.75" customHeight="true">
      <c r="G18" t="s" s="8"/>
    </row>
    <row r="19" ht="15.75" customHeight="true">
      <c r="G19" t="s" s="8"/>
    </row>
    <row r="20" ht="15.75" customHeight="true">
      <c r="G20" t="s" s="8"/>
    </row>
    <row r="21" ht="15.75" customHeight="true">
      <c r="G21" t="s" s="8"/>
    </row>
    <row r="22" ht="15.75" customHeight="true">
      <c r="G22" t="s" s="8"/>
    </row>
    <row r="23" ht="15.75" customHeight="true">
      <c r="G23" t="s" s="8"/>
    </row>
    <row r="24" ht="15.75" customHeight="true">
      <c r="G24" t="s" s="8"/>
    </row>
    <row r="25" ht="15.75" customHeight="true">
      <c r="G25" t="s" s="8"/>
    </row>
    <row r="26" ht="15.75" customHeight="true">
      <c r="G26" t="s" s="8"/>
    </row>
    <row r="27" ht="15.75" customHeight="true">
      <c r="G27" t="s" s="8"/>
    </row>
    <row r="28" ht="15.75" customHeight="true">
      <c r="G28" t="s" s="8"/>
    </row>
    <row r="29" ht="15.75" customHeight="true">
      <c r="G29" t="s" s="8"/>
    </row>
    <row r="30" ht="15.75" customHeight="true">
      <c r="G30" t="s" s="8"/>
    </row>
    <row r="31" ht="15.75" customHeight="true">
      <c r="G31" t="s" s="8"/>
    </row>
    <row r="32" ht="15.75" customHeight="true">
      <c r="G32" t="s" s="8"/>
    </row>
    <row r="33" ht="15.75" customHeight="true">
      <c r="G33" t="s" s="8"/>
    </row>
    <row r="34" ht="15.75" customHeight="true">
      <c r="G34" t="s" s="8"/>
    </row>
    <row r="35" ht="15.75" customHeight="true">
      <c r="G35" t="s" s="8"/>
    </row>
    <row r="36" ht="15.75" customHeight="true">
      <c r="G36" t="s" s="8"/>
    </row>
    <row r="37" ht="15.75" customHeight="true">
      <c r="G37" t="s" s="8"/>
    </row>
    <row r="38" ht="15.75" customHeight="true">
      <c r="G38" t="s" s="8"/>
    </row>
    <row r="39" ht="15.75" customHeight="true">
      <c r="G39" t="s" s="8"/>
    </row>
    <row r="40" ht="15.75" customHeight="true">
      <c r="G40" t="s" s="8"/>
    </row>
    <row r="41" ht="15.75" customHeight="true">
      <c r="G41" t="s" s="8"/>
    </row>
    <row r="42" ht="15.75" customHeight="true">
      <c r="G42" t="s" s="8"/>
    </row>
    <row r="43" ht="15.75" customHeight="true">
      <c r="G43" t="s" s="8"/>
    </row>
    <row r="44" ht="15.75" customHeight="true">
      <c r="G44" t="s" s="8"/>
    </row>
    <row r="45" ht="15.75" customHeight="true">
      <c r="G45" t="s" s="8"/>
    </row>
    <row r="46" ht="15.75" customHeight="true">
      <c r="G46" t="s" s="8"/>
    </row>
    <row r="47" ht="15.75" customHeight="true">
      <c r="G47" t="s" s="8"/>
    </row>
    <row r="48" ht="15.75" customHeight="true">
      <c r="G48" t="s" s="8"/>
    </row>
    <row r="49" ht="15.75" customHeight="true">
      <c r="G49" t="s" s="8"/>
    </row>
    <row r="50" ht="15.75" customHeight="true">
      <c r="G50" t="s" s="8"/>
    </row>
    <row r="51" ht="15.75" customHeight="true">
      <c r="G51" t="s" s="8"/>
    </row>
    <row r="52" ht="15.75" customHeight="true">
      <c r="G52" t="s" s="8"/>
    </row>
    <row r="53" ht="15.75" customHeight="true">
      <c r="G53" t="s" s="8"/>
    </row>
    <row r="54" ht="15.75" customHeight="true">
      <c r="G54" t="s" s="8"/>
    </row>
    <row r="55" ht="15.75" customHeight="true">
      <c r="G55" t="s" s="8"/>
    </row>
    <row r="56" ht="15.75" customHeight="true">
      <c r="G56" t="s" s="8"/>
    </row>
    <row r="57" ht="15.75" customHeight="true">
      <c r="G57" t="s" s="8"/>
    </row>
    <row r="58" ht="15.75" customHeight="true">
      <c r="G58" t="s" s="8"/>
    </row>
    <row r="59" ht="15.75" customHeight="true">
      <c r="G59" t="s" s="8"/>
    </row>
    <row r="60" ht="15.75" customHeight="true">
      <c r="G60" t="s" s="8"/>
    </row>
    <row r="61" ht="15.75" customHeight="true">
      <c r="G61" t="s" s="8"/>
    </row>
    <row r="62" ht="15.75" customHeight="true">
      <c r="G62" t="s" s="8"/>
    </row>
    <row r="63" ht="15.75" customHeight="true">
      <c r="G63" t="s" s="8"/>
    </row>
    <row r="64" ht="15.75" customHeight="true">
      <c r="G64" t="s" s="8"/>
    </row>
    <row r="65" ht="15.75" customHeight="true">
      <c r="G65" t="s" s="8"/>
    </row>
    <row r="66" ht="15.75" customHeight="true">
      <c r="G66" t="s" s="8"/>
    </row>
    <row r="67" ht="15.75" customHeight="true">
      <c r="G67" t="s" s="8"/>
    </row>
    <row r="68" ht="15.75" customHeight="true">
      <c r="G68" t="s" s="8"/>
    </row>
    <row r="69" ht="15.75" customHeight="true">
      <c r="G69" t="s" s="8"/>
    </row>
    <row r="70" ht="15.75" customHeight="true">
      <c r="G70" t="s" s="8"/>
    </row>
    <row r="71" ht="15.75" customHeight="true">
      <c r="G71" t="s" s="8"/>
    </row>
    <row r="72" ht="15.75" customHeight="true">
      <c r="G72" t="s" s="8"/>
    </row>
    <row r="73" ht="15.75" customHeight="true">
      <c r="G73" t="s" s="8"/>
    </row>
    <row r="74" ht="15.75" customHeight="true">
      <c r="G74" t="s" s="8"/>
    </row>
    <row r="75" ht="15.75" customHeight="true">
      <c r="G75" t="s" s="8"/>
    </row>
    <row r="76" ht="15.75" customHeight="true">
      <c r="G76" t="s" s="8"/>
    </row>
    <row r="77" ht="15.75" customHeight="true">
      <c r="G77" t="s" s="8"/>
    </row>
    <row r="78" ht="15.75" customHeight="true">
      <c r="G78" t="s" s="8"/>
    </row>
    <row r="79" ht="15.75" customHeight="true">
      <c r="G79" t="s" s="8"/>
    </row>
    <row r="80" ht="15.75" customHeight="true">
      <c r="G80" t="s" s="8"/>
    </row>
    <row r="81" ht="15.75" customHeight="true">
      <c r="G81" t="s" s="8"/>
    </row>
    <row r="82" ht="15.75" customHeight="true">
      <c r="G82" t="s" s="8"/>
    </row>
    <row r="83" ht="15.75" customHeight="true">
      <c r="G83" t="s" s="8"/>
    </row>
    <row r="84" ht="15.75" customHeight="true">
      <c r="G84" t="s" s="8"/>
    </row>
    <row r="85" ht="15.75" customHeight="true">
      <c r="G85" t="s" s="8"/>
    </row>
    <row r="86" ht="15.75" customHeight="true">
      <c r="G86" t="s" s="8"/>
    </row>
    <row r="87" ht="15.75" customHeight="true">
      <c r="G87" t="s" s="8"/>
    </row>
    <row r="88" ht="15.75" customHeight="true">
      <c r="G88" t="s" s="8"/>
    </row>
    <row r="89" ht="15.75" customHeight="true">
      <c r="G89" t="s" s="8"/>
    </row>
    <row r="90" ht="15.75" customHeight="true">
      <c r="G90" t="s" s="8"/>
    </row>
    <row r="91" ht="15.75" customHeight="true">
      <c r="G91" t="s" s="8"/>
    </row>
    <row r="92" ht="15.75" customHeight="true">
      <c r="G92" t="s" s="8"/>
    </row>
    <row r="93" ht="15.75" customHeight="true">
      <c r="G93" t="s" s="8"/>
    </row>
    <row r="94" ht="15.75" customHeight="true">
      <c r="G94" t="s" s="8"/>
    </row>
    <row r="95" ht="15.75" customHeight="true">
      <c r="G95" t="s" s="8"/>
    </row>
    <row r="96" ht="15.75" customHeight="true">
      <c r="G96" t="s" s="8"/>
    </row>
    <row r="97" ht="15.75" customHeight="true">
      <c r="G97" t="s" s="8"/>
    </row>
    <row r="98" ht="15.75" customHeight="true">
      <c r="G98" t="s" s="8"/>
    </row>
    <row r="99" ht="15.75" customHeight="true">
      <c r="G99" t="s" s="8"/>
    </row>
    <row r="100" ht="15.75" customHeight="true">
      <c r="G100" t="s" s="8"/>
    </row>
    <row r="101" ht="15.75" customHeight="true">
      <c r="G101" t="s" s="8"/>
    </row>
    <row r="102" ht="15.75" customHeight="true">
      <c r="G102" t="s" s="8"/>
    </row>
    <row r="103" ht="15.75" customHeight="true">
      <c r="G103" t="s" s="8"/>
    </row>
    <row r="104" ht="15.75" customHeight="true">
      <c r="G104" t="s" s="8"/>
    </row>
    <row r="105" ht="15.75" customHeight="true">
      <c r="G105" t="s" s="8"/>
    </row>
    <row r="106" ht="15.75" customHeight="true">
      <c r="G106" t="s" s="8"/>
    </row>
    <row r="107" ht="15.75" customHeight="true">
      <c r="G107" t="s" s="8"/>
    </row>
    <row r="108" ht="15.75" customHeight="true">
      <c r="G108" t="s" s="8"/>
    </row>
    <row r="109" ht="15.75" customHeight="true">
      <c r="G109" t="s" s="8"/>
    </row>
    <row r="110" ht="15.75" customHeight="true">
      <c r="G110" t="s" s="8"/>
    </row>
    <row r="111" ht="15.75" customHeight="true">
      <c r="G111" t="s" s="8"/>
    </row>
    <row r="112" ht="15.75" customHeight="true">
      <c r="G112" t="s" s="8"/>
    </row>
    <row r="113" ht="15.75" customHeight="true">
      <c r="G113" t="s" s="8"/>
    </row>
    <row r="114" ht="15.75" customHeight="true">
      <c r="G114" t="s" s="8"/>
    </row>
    <row r="115" ht="15.75" customHeight="true">
      <c r="G115" t="s" s="8"/>
    </row>
    <row r="116" ht="15.75" customHeight="true">
      <c r="G116" t="s" s="8"/>
    </row>
    <row r="117" ht="15.75" customHeight="true">
      <c r="G117" t="s" s="8"/>
    </row>
    <row r="118" ht="15.75" customHeight="true">
      <c r="G118" t="s" s="8"/>
    </row>
    <row r="119" ht="15.75" customHeight="true">
      <c r="G119" t="s" s="8"/>
    </row>
    <row r="120" ht="15.75" customHeight="true">
      <c r="G120" t="s" s="8"/>
    </row>
    <row r="121" ht="15.75" customHeight="true">
      <c r="G121" t="s" s="8"/>
    </row>
    <row r="122" ht="15.75" customHeight="true">
      <c r="G122" t="s" s="8"/>
    </row>
    <row r="123" ht="15.75" customHeight="true">
      <c r="G123" t="s" s="8"/>
    </row>
    <row r="124" ht="15.75" customHeight="true">
      <c r="G124" t="s" s="8"/>
    </row>
    <row r="125" ht="15.75" customHeight="true">
      <c r="G125" t="s" s="8"/>
    </row>
    <row r="126" ht="15.75" customHeight="true">
      <c r="G126" t="s" s="8"/>
    </row>
    <row r="127" ht="15.75" customHeight="true">
      <c r="G127" t="s" s="8"/>
    </row>
    <row r="128" ht="15.75" customHeight="true">
      <c r="G128" t="s" s="8"/>
    </row>
    <row r="129" ht="15.75" customHeight="true">
      <c r="G129" t="s" s="8"/>
    </row>
    <row r="130" ht="15.75" customHeight="true">
      <c r="G130" t="s" s="8"/>
    </row>
    <row r="131" ht="15.75" customHeight="true">
      <c r="G131" t="s" s="8"/>
    </row>
    <row r="132" ht="15.75" customHeight="true">
      <c r="G132" t="s" s="8"/>
    </row>
    <row r="133" ht="15.75" customHeight="true">
      <c r="G133" t="s" s="8"/>
    </row>
    <row r="134" ht="15.75" customHeight="true">
      <c r="G134" t="s" s="8"/>
    </row>
    <row r="135" ht="15.75" customHeight="true">
      <c r="G135" t="s" s="8"/>
    </row>
    <row r="136" ht="15.75" customHeight="true">
      <c r="G136" t="s" s="8"/>
    </row>
    <row r="137" ht="15.75" customHeight="true">
      <c r="G137" t="s" s="8"/>
    </row>
    <row r="138" ht="15.75" customHeight="true">
      <c r="G138" t="s" s="8"/>
    </row>
    <row r="139" ht="15.75" customHeight="true">
      <c r="G139" t="s" s="8"/>
    </row>
    <row r="140" ht="15.75" customHeight="true">
      <c r="G140" t="s" s="8"/>
    </row>
    <row r="141" ht="15.75" customHeight="true">
      <c r="G141" t="s" s="8"/>
    </row>
    <row r="142" ht="15.75" customHeight="true">
      <c r="G142" t="s" s="8"/>
    </row>
    <row r="143" ht="15.75" customHeight="true">
      <c r="G143" t="s" s="8"/>
    </row>
    <row r="144" ht="15.75" customHeight="true">
      <c r="G144" t="s" s="8"/>
    </row>
    <row r="145" ht="15.75" customHeight="true">
      <c r="G145" t="s" s="8"/>
    </row>
    <row r="146" ht="15.75" customHeight="true">
      <c r="G146" t="s" s="8"/>
    </row>
    <row r="147" ht="15.75" customHeight="true">
      <c r="G147" t="s" s="8"/>
    </row>
    <row r="148" ht="15.75" customHeight="true">
      <c r="G148" t="s" s="8"/>
    </row>
    <row r="149" ht="15.75" customHeight="true">
      <c r="G149" t="s" s="8"/>
    </row>
    <row r="150" ht="15.75" customHeight="true">
      <c r="G150" t="s" s="8"/>
    </row>
    <row r="151" ht="15.75" customHeight="true">
      <c r="G151" t="s" s="8"/>
    </row>
    <row r="152" ht="15.75" customHeight="true">
      <c r="G152" t="s" s="8"/>
    </row>
    <row r="153" ht="15.75" customHeight="true">
      <c r="G153" t="s" s="8"/>
    </row>
    <row r="154" ht="15.75" customHeight="true">
      <c r="G154" t="s" s="8"/>
    </row>
    <row r="155" ht="15.75" customHeight="true">
      <c r="G155" t="s" s="8"/>
    </row>
    <row r="156" ht="15.75" customHeight="true">
      <c r="G156" t="s" s="8"/>
    </row>
    <row r="157" ht="15.75" customHeight="true">
      <c r="G157" t="s" s="8"/>
    </row>
    <row r="158" ht="15.75" customHeight="true">
      <c r="G158" t="s" s="8"/>
    </row>
    <row r="159" ht="15.75" customHeight="true">
      <c r="G159" t="s" s="8"/>
    </row>
    <row r="160" ht="15.75" customHeight="true">
      <c r="G160" t="s" s="8"/>
    </row>
    <row r="161" ht="15.75" customHeight="true">
      <c r="G161" t="s" s="8"/>
    </row>
    <row r="162" ht="15.75" customHeight="true">
      <c r="G162" t="s" s="8"/>
    </row>
    <row r="163" ht="15.75" customHeight="true">
      <c r="G163" t="s" s="8"/>
    </row>
    <row r="164" ht="15.75" customHeight="true">
      <c r="G164" t="s" s="8"/>
    </row>
    <row r="165" ht="15.75" customHeight="true">
      <c r="G165" t="s" s="8"/>
    </row>
    <row r="166" ht="15.75" customHeight="true">
      <c r="G166" t="s" s="8"/>
    </row>
    <row r="167" ht="15.75" customHeight="true">
      <c r="G167" t="s" s="8"/>
    </row>
    <row r="168" ht="15.75" customHeight="true">
      <c r="G168" t="s" s="8"/>
    </row>
    <row r="169" ht="15.75" customHeight="true">
      <c r="G169" t="s" s="8"/>
    </row>
    <row r="170" ht="15.75" customHeight="true">
      <c r="G170" t="s" s="8"/>
    </row>
    <row r="171" ht="15.75" customHeight="true">
      <c r="G171" t="s" s="8"/>
    </row>
    <row r="172" ht="15.75" customHeight="true">
      <c r="G172" t="s" s="8"/>
    </row>
    <row r="173" ht="15.75" customHeight="true">
      <c r="G173" t="s" s="8"/>
    </row>
    <row r="174" ht="15.75" customHeight="true">
      <c r="G174" t="s" s="8"/>
    </row>
    <row r="175" ht="15.75" customHeight="true">
      <c r="G175" t="s" s="8"/>
    </row>
    <row r="176" ht="15.75" customHeight="true">
      <c r="G176" t="s" s="8"/>
    </row>
    <row r="177" ht="15.75" customHeight="true">
      <c r="G177" t="s" s="8"/>
    </row>
    <row r="178" ht="15.75" customHeight="true">
      <c r="G178" t="s" s="8"/>
    </row>
    <row r="179" ht="15.75" customHeight="true">
      <c r="G179" t="s" s="8"/>
    </row>
    <row r="180" ht="15.75" customHeight="true">
      <c r="G180" t="s" s="8"/>
    </row>
    <row r="181" ht="15.75" customHeight="true">
      <c r="G181" t="s" s="8"/>
    </row>
    <row r="182" ht="15.75" customHeight="true">
      <c r="G182" t="s" s="8"/>
    </row>
    <row r="183" ht="15.75" customHeight="true">
      <c r="G183" t="s" s="8"/>
    </row>
    <row r="184" ht="15.75" customHeight="true">
      <c r="G184" t="s" s="8"/>
    </row>
    <row r="185" ht="15.75" customHeight="true">
      <c r="G185" t="s" s="8"/>
    </row>
    <row r="186" ht="15.75" customHeight="true">
      <c r="G186" t="s" s="8"/>
    </row>
    <row r="187" ht="15.75" customHeight="true">
      <c r="G187" t="s" s="8"/>
    </row>
    <row r="188" ht="15.75" customHeight="true">
      <c r="G188" t="s" s="8"/>
    </row>
    <row r="189" ht="15.75" customHeight="true">
      <c r="G189" t="s" s="8"/>
    </row>
    <row r="190" ht="15.75" customHeight="true">
      <c r="G190" t="s" s="8"/>
    </row>
    <row r="191" ht="15.75" customHeight="true">
      <c r="G191" t="s" s="8"/>
    </row>
    <row r="192" ht="15.75" customHeight="true">
      <c r="G192" t="s" s="8"/>
    </row>
    <row r="193" ht="15.75" customHeight="true">
      <c r="G193" t="s" s="8"/>
    </row>
    <row r="194" ht="15.75" customHeight="true">
      <c r="G194" t="s" s="8"/>
    </row>
    <row r="195" ht="15.75" customHeight="true">
      <c r="G195" t="s" s="8"/>
    </row>
    <row r="196" ht="15.75" customHeight="true">
      <c r="G196" t="s" s="8"/>
    </row>
    <row r="197" ht="15.75" customHeight="true">
      <c r="G197" t="s" s="8"/>
    </row>
    <row r="198" ht="15.75" customHeight="true">
      <c r="G198" t="s" s="8"/>
    </row>
    <row r="199" ht="15.75" customHeight="true">
      <c r="G199" t="s" s="8"/>
    </row>
    <row r="200" ht="15.75" customHeight="true">
      <c r="G200" t="s" s="8"/>
    </row>
    <row r="201" ht="15.75" customHeight="true">
      <c r="G201" t="s" s="8"/>
    </row>
    <row r="202" ht="15.75" customHeight="true">
      <c r="G202" t="s" s="8"/>
    </row>
    <row r="203" ht="15.75" customHeight="true">
      <c r="G203" t="s" s="8"/>
    </row>
    <row r="204" ht="15.75" customHeight="true">
      <c r="G204" t="s" s="8"/>
    </row>
    <row r="205" ht="15.75" customHeight="true">
      <c r="G205" t="s" s="8"/>
    </row>
    <row r="206" ht="15.75" customHeight="true">
      <c r="G206" t="s" s="8"/>
    </row>
    <row r="207" ht="15.75" customHeight="true">
      <c r="G207" t="s" s="8"/>
    </row>
    <row r="208" ht="15.75" customHeight="true">
      <c r="G208" t="s" s="8"/>
    </row>
    <row r="209" ht="15.75" customHeight="true">
      <c r="G209" t="s" s="8"/>
    </row>
    <row r="210" ht="15.75" customHeight="true">
      <c r="G210" t="s" s="8"/>
    </row>
    <row r="211" ht="15.75" customHeight="true">
      <c r="G211" t="s" s="8"/>
    </row>
    <row r="212" ht="15.75" customHeight="true">
      <c r="G212" t="s" s="8"/>
    </row>
    <row r="213" ht="15.75" customHeight="true">
      <c r="G213" t="s" s="8"/>
    </row>
    <row r="214" ht="15.75" customHeight="true">
      <c r="G214" t="s" s="8"/>
    </row>
    <row r="215" ht="15.75" customHeight="true">
      <c r="G215" t="s" s="8"/>
    </row>
    <row r="216" ht="15.75" customHeight="true">
      <c r="G216" t="s" s="8"/>
    </row>
    <row r="217" ht="15.75" customHeight="true">
      <c r="G217" t="s" s="8"/>
    </row>
    <row r="218" ht="15.75" customHeight="true">
      <c r="G218" t="s" s="8"/>
    </row>
    <row r="219" ht="15.75" customHeight="true">
      <c r="G219" t="s" s="8"/>
    </row>
    <row r="220" ht="15.75" customHeight="true">
      <c r="G220" t="s" s="8"/>
    </row>
    <row r="221" ht="15.75" customHeight="true">
      <c r="G221" t="s" s="8"/>
    </row>
    <row r="222" ht="15.75" customHeight="true">
      <c r="G222" t="s" s="8"/>
    </row>
    <row r="223" ht="15.75" customHeight="true">
      <c r="G223" t="s" s="8"/>
    </row>
    <row r="224" ht="15.75" customHeight="true">
      <c r="G224" t="s" s="8"/>
    </row>
    <row r="225" ht="15.75" customHeight="true">
      <c r="G225" t="s" s="8"/>
    </row>
    <row r="226" ht="15.75" customHeight="true">
      <c r="G226" t="s" s="8"/>
    </row>
    <row r="227" ht="15.75" customHeight="true">
      <c r="G227" t="s" s="8"/>
    </row>
    <row r="228" ht="15.75" customHeight="true">
      <c r="G228" t="s" s="8"/>
    </row>
    <row r="229" ht="15.75" customHeight="true">
      <c r="G229" t="s" s="8"/>
    </row>
    <row r="230" ht="15.75" customHeight="true">
      <c r="G230" t="s" s="8"/>
    </row>
    <row r="231" ht="15.75" customHeight="true">
      <c r="G231" t="s" s="8"/>
    </row>
    <row r="232" ht="15.75" customHeight="true">
      <c r="G232" t="s" s="8"/>
    </row>
    <row r="233" ht="15.75" customHeight="true">
      <c r="G233" t="s" s="8"/>
    </row>
    <row r="234" ht="15.75" customHeight="true">
      <c r="G234" t="s" s="8"/>
    </row>
    <row r="235" ht="15.75" customHeight="true">
      <c r="G235" t="s" s="8"/>
    </row>
    <row r="236" ht="15.75" customHeight="true">
      <c r="G236" t="s" s="8"/>
    </row>
    <row r="237" ht="15.75" customHeight="true">
      <c r="G237" t="s" s="8"/>
    </row>
    <row r="238" ht="15.75" customHeight="true">
      <c r="G238" t="s" s="8"/>
    </row>
    <row r="239" ht="15.75" customHeight="true">
      <c r="G239" t="s" s="8"/>
    </row>
    <row r="240" ht="15.75" customHeight="true">
      <c r="G240" t="s" s="8"/>
    </row>
    <row r="241" ht="15.75" customHeight="true">
      <c r="G241" t="s" s="8"/>
    </row>
    <row r="242" ht="15.75" customHeight="true">
      <c r="G242" t="s" s="8"/>
    </row>
    <row r="243" ht="15.75" customHeight="true">
      <c r="G243" t="s" s="8"/>
    </row>
    <row r="244" ht="15.75" customHeight="true">
      <c r="G244" t="s" s="8"/>
    </row>
    <row r="245" ht="15.75" customHeight="true">
      <c r="G245" t="s" s="8"/>
    </row>
    <row r="246" ht="15.75" customHeight="true">
      <c r="G246" t="s" s="8"/>
    </row>
    <row r="247" ht="15.75" customHeight="true">
      <c r="G247" t="s" s="8"/>
    </row>
    <row r="248" ht="15.75" customHeight="true">
      <c r="G248" t="s" s="8"/>
    </row>
    <row r="249" ht="15.75" customHeight="true">
      <c r="G249" t="s" s="8"/>
    </row>
    <row r="250" ht="15.75" customHeight="true">
      <c r="G250" t="s" s="8"/>
    </row>
    <row r="251" ht="15.75" customHeight="true">
      <c r="G251" t="s" s="8"/>
    </row>
    <row r="252" ht="15.75" customHeight="true">
      <c r="G252" t="s" s="8"/>
    </row>
    <row r="253" ht="15.75" customHeight="true">
      <c r="G253" t="s" s="8"/>
    </row>
    <row r="254" ht="15.75" customHeight="true">
      <c r="G254" t="s" s="8"/>
    </row>
    <row r="255" ht="15.75" customHeight="true">
      <c r="G255" t="s" s="8"/>
    </row>
    <row r="256" ht="15.75" customHeight="true">
      <c r="G256" t="s" s="8"/>
    </row>
    <row r="257" ht="15.75" customHeight="true">
      <c r="G257" t="s" s="8"/>
    </row>
    <row r="258" ht="15.75" customHeight="true">
      <c r="G258" t="s" s="8"/>
    </row>
    <row r="259" ht="15.75" customHeight="true">
      <c r="G259" t="s" s="8"/>
    </row>
    <row r="260" ht="15.75" customHeight="true">
      <c r="G260" t="s" s="8"/>
    </row>
    <row r="261" ht="15.75" customHeight="true">
      <c r="G261" t="s" s="8"/>
    </row>
    <row r="262" ht="15.75" customHeight="true">
      <c r="G262" t="s" s="8"/>
    </row>
    <row r="263" ht="15.75" customHeight="true">
      <c r="G263" t="s" s="8"/>
    </row>
    <row r="264" ht="15.75" customHeight="true">
      <c r="G264" t="s" s="8"/>
    </row>
    <row r="265" ht="15.75" customHeight="true">
      <c r="G265" t="s" s="8"/>
    </row>
    <row r="266" ht="15.75" customHeight="true">
      <c r="G266" t="s" s="8"/>
    </row>
    <row r="267" ht="15.75" customHeight="true">
      <c r="G267" t="s" s="8"/>
    </row>
    <row r="268" ht="15.75" customHeight="true">
      <c r="G268" t="s" s="8"/>
    </row>
    <row r="269" ht="15.75" customHeight="true">
      <c r="G269" t="s" s="8"/>
    </row>
    <row r="270" ht="15.75" customHeight="true">
      <c r="G270" t="s" s="8"/>
    </row>
    <row r="271" ht="15.75" customHeight="true">
      <c r="G271" t="s" s="8"/>
    </row>
    <row r="272" ht="15.75" customHeight="true">
      <c r="G272" t="s" s="8"/>
    </row>
    <row r="273" ht="15.75" customHeight="true">
      <c r="G273" t="s" s="8"/>
    </row>
    <row r="274" ht="15.75" customHeight="true">
      <c r="G274" t="s" s="8"/>
    </row>
    <row r="275" ht="15.75" customHeight="true">
      <c r="G275" t="s" s="8"/>
    </row>
    <row r="276" ht="15.75" customHeight="true">
      <c r="G276" t="s" s="8"/>
    </row>
    <row r="277" ht="15.75" customHeight="true">
      <c r="G277" t="s" s="8"/>
    </row>
    <row r="278" ht="15.75" customHeight="true">
      <c r="G278" t="s" s="8"/>
    </row>
    <row r="279" ht="15.75" customHeight="true">
      <c r="G279" t="s" s="8"/>
    </row>
    <row r="280" ht="15.75" customHeight="true">
      <c r="G280" t="s" s="8"/>
    </row>
    <row r="281" ht="15.75" customHeight="true">
      <c r="G281" t="s" s="8"/>
    </row>
    <row r="282" ht="15.75" customHeight="true">
      <c r="G282" t="s" s="8"/>
    </row>
    <row r="283" ht="15.75" customHeight="true">
      <c r="G283" t="s" s="8"/>
    </row>
    <row r="284" ht="15.75" customHeight="true">
      <c r="G284" t="s" s="8"/>
    </row>
    <row r="285" ht="15.75" customHeight="true">
      <c r="G285" t="s" s="8"/>
    </row>
    <row r="286" ht="15.75" customHeight="true">
      <c r="G286" t="s" s="8"/>
    </row>
    <row r="287" ht="15.75" customHeight="true">
      <c r="G287" t="s" s="8"/>
    </row>
    <row r="288" ht="15.75" customHeight="true">
      <c r="G288" t="s" s="8"/>
    </row>
    <row r="289" ht="15.75" customHeight="true">
      <c r="G289" t="s" s="8"/>
    </row>
    <row r="290" ht="15.75" customHeight="true">
      <c r="G290" t="s" s="8"/>
    </row>
    <row r="291" ht="15.75" customHeight="true">
      <c r="G291" t="s" s="8"/>
    </row>
    <row r="292" ht="15.75" customHeight="true">
      <c r="G292" t="s" s="8"/>
    </row>
    <row r="293" ht="15.75" customHeight="true">
      <c r="G293" t="s" s="8"/>
    </row>
    <row r="294" ht="15.75" customHeight="true">
      <c r="G294" t="s" s="8"/>
    </row>
    <row r="295" ht="15.75" customHeight="true">
      <c r="G295" t="s" s="8"/>
    </row>
    <row r="296" ht="15.75" customHeight="true">
      <c r="G296" t="s" s="8"/>
    </row>
    <row r="297" ht="15.75" customHeight="true">
      <c r="G297" t="s" s="8"/>
    </row>
    <row r="298" ht="15.75" customHeight="true">
      <c r="G298" t="s" s="8"/>
    </row>
    <row r="299" ht="15.75" customHeight="true">
      <c r="G299" t="s" s="8"/>
    </row>
    <row r="300" ht="15.75" customHeight="true">
      <c r="G300" t="s" s="8"/>
    </row>
    <row r="301" ht="15.75" customHeight="true">
      <c r="G301" t="s" s="8"/>
    </row>
    <row r="302" ht="15.75" customHeight="true">
      <c r="G302" t="s" s="8"/>
    </row>
    <row r="303" ht="15.75" customHeight="true">
      <c r="G303" t="s" s="8"/>
    </row>
    <row r="304" ht="15.75" customHeight="true">
      <c r="G304" t="s" s="8"/>
    </row>
    <row r="305" ht="15.75" customHeight="true">
      <c r="G305" t="s" s="8"/>
    </row>
    <row r="306" ht="15.75" customHeight="true">
      <c r="G306" t="s" s="8"/>
    </row>
    <row r="307" ht="15.75" customHeight="true">
      <c r="G307" t="s" s="8"/>
    </row>
    <row r="308" ht="15.75" customHeight="true">
      <c r="G308" t="s" s="8"/>
    </row>
    <row r="309" ht="15.75" customHeight="true">
      <c r="G309" t="s" s="8"/>
    </row>
    <row r="310" ht="15.75" customHeight="true">
      <c r="G310" t="s" s="8"/>
    </row>
    <row r="311" ht="15.75" customHeight="true">
      <c r="G311" t="s" s="8"/>
    </row>
    <row r="312" ht="15.75" customHeight="true">
      <c r="G312" t="s" s="8"/>
    </row>
    <row r="313" ht="15.75" customHeight="true">
      <c r="G313" t="s" s="8"/>
    </row>
    <row r="314" ht="15.75" customHeight="true">
      <c r="G314" t="s" s="8"/>
    </row>
    <row r="315" ht="15.75" customHeight="true">
      <c r="G315" t="s" s="8"/>
    </row>
    <row r="316" ht="15.75" customHeight="true">
      <c r="G316" t="s" s="8"/>
    </row>
    <row r="317" ht="15.75" customHeight="true">
      <c r="G317" t="s" s="8"/>
    </row>
    <row r="318" ht="15.75" customHeight="true">
      <c r="G318" t="s" s="8"/>
    </row>
    <row r="319" ht="15.75" customHeight="true">
      <c r="G319" t="s" s="8"/>
    </row>
    <row r="320" ht="15.75" customHeight="true">
      <c r="G320" t="s" s="8"/>
    </row>
    <row r="321" ht="15.75" customHeight="true">
      <c r="G321" t="s" s="8"/>
    </row>
    <row r="322" ht="15.75" customHeight="true">
      <c r="G322" t="s" s="8"/>
    </row>
    <row r="323" ht="15.75" customHeight="true">
      <c r="G323" t="s" s="8"/>
    </row>
    <row r="324" ht="15.75" customHeight="true">
      <c r="G324" t="s" s="8"/>
    </row>
    <row r="325" ht="15.75" customHeight="true">
      <c r="G325" t="s" s="8"/>
    </row>
    <row r="326" ht="15.75" customHeight="true">
      <c r="G326" t="s" s="8"/>
    </row>
    <row r="327" ht="15.75" customHeight="true">
      <c r="G327" t="s" s="8"/>
    </row>
    <row r="328" ht="15.75" customHeight="true">
      <c r="G328" t="s" s="8"/>
    </row>
    <row r="329" ht="15.75" customHeight="true">
      <c r="G329" t="s" s="8"/>
    </row>
    <row r="330" ht="15.75" customHeight="true">
      <c r="G330" t="s" s="8"/>
    </row>
    <row r="331" ht="15.75" customHeight="true">
      <c r="G331" t="s" s="8"/>
    </row>
    <row r="332" ht="15.75" customHeight="true">
      <c r="G332" t="s" s="8"/>
    </row>
    <row r="333" ht="15.75" customHeight="true">
      <c r="G333" t="s" s="8"/>
    </row>
    <row r="334" ht="15.75" customHeight="true">
      <c r="G334" t="s" s="8"/>
    </row>
    <row r="335" ht="15.75" customHeight="true">
      <c r="G335" t="s" s="8"/>
    </row>
    <row r="336" ht="15.75" customHeight="true">
      <c r="G336" t="s" s="8"/>
    </row>
    <row r="337" ht="15.75" customHeight="true">
      <c r="G337" t="s" s="8"/>
    </row>
    <row r="338" ht="15.75" customHeight="true">
      <c r="G338" t="s" s="8"/>
    </row>
    <row r="339" ht="15.75" customHeight="true">
      <c r="G339" t="s" s="8"/>
    </row>
    <row r="340" ht="15.75" customHeight="true">
      <c r="G340" t="s" s="8"/>
    </row>
    <row r="341" ht="15.75" customHeight="true">
      <c r="G341" t="s" s="8"/>
    </row>
    <row r="342" ht="15.75" customHeight="true">
      <c r="G342" t="s" s="8"/>
    </row>
    <row r="343" ht="15.75" customHeight="true">
      <c r="G343" t="s" s="8"/>
    </row>
    <row r="344" ht="15.75" customHeight="true">
      <c r="G344" t="s" s="8"/>
    </row>
    <row r="345" ht="15.75" customHeight="true">
      <c r="G345" t="s" s="8"/>
    </row>
    <row r="346" ht="15.75" customHeight="true">
      <c r="G346" t="s" s="8"/>
    </row>
    <row r="347" ht="15.75" customHeight="true">
      <c r="G347" t="s" s="8"/>
    </row>
    <row r="348" ht="15.75" customHeight="true">
      <c r="G348" t="s" s="8"/>
    </row>
    <row r="349" ht="15.75" customHeight="true">
      <c r="G349" t="s" s="8"/>
    </row>
    <row r="350" ht="15.75" customHeight="true">
      <c r="G350" t="s" s="8"/>
    </row>
    <row r="351" ht="15.75" customHeight="true">
      <c r="G351" t="s" s="8"/>
    </row>
    <row r="352" ht="15.75" customHeight="true">
      <c r="G352" t="s" s="8"/>
    </row>
    <row r="353" ht="15.75" customHeight="true">
      <c r="G353" t="s" s="8"/>
    </row>
    <row r="354" ht="15.75" customHeight="true">
      <c r="G354" t="s" s="8"/>
    </row>
    <row r="355" ht="15.75" customHeight="true">
      <c r="G355" t="s" s="8"/>
    </row>
    <row r="356" ht="15.75" customHeight="true">
      <c r="G356" t="s" s="8"/>
    </row>
    <row r="357" ht="15.75" customHeight="true">
      <c r="G357" t="s" s="8"/>
    </row>
    <row r="358" ht="15.75" customHeight="true">
      <c r="G358" t="s" s="8"/>
    </row>
    <row r="359" ht="15.75" customHeight="true">
      <c r="G359" t="s" s="8"/>
    </row>
    <row r="360" ht="15.75" customHeight="true">
      <c r="G360" t="s" s="8"/>
    </row>
    <row r="361" ht="15.75" customHeight="true">
      <c r="G361" t="s" s="8"/>
    </row>
    <row r="362" ht="15.75" customHeight="true">
      <c r="G362" t="s" s="8"/>
    </row>
    <row r="363" ht="15.75" customHeight="true">
      <c r="G363" t="s" s="8"/>
    </row>
    <row r="364" ht="15.75" customHeight="true">
      <c r="G364" t="s" s="8"/>
    </row>
    <row r="365" ht="15.75" customHeight="true">
      <c r="G365" t="s" s="8"/>
    </row>
    <row r="366" ht="15.75" customHeight="true">
      <c r="G366" t="s" s="8"/>
    </row>
    <row r="367" ht="15.75" customHeight="true">
      <c r="G367" t="s" s="8"/>
    </row>
    <row r="368" ht="15.75" customHeight="true">
      <c r="G368" t="s" s="8"/>
    </row>
    <row r="369" ht="15.75" customHeight="true">
      <c r="G369" t="s" s="8"/>
    </row>
    <row r="370" ht="15.75" customHeight="true">
      <c r="G370" t="s" s="8"/>
    </row>
    <row r="371" ht="15.75" customHeight="true">
      <c r="G371" t="s" s="8"/>
    </row>
    <row r="372" ht="15.75" customHeight="true">
      <c r="G372" t="s" s="8"/>
    </row>
    <row r="373" ht="15.75" customHeight="true">
      <c r="G373" t="s" s="8"/>
    </row>
    <row r="374" ht="15.75" customHeight="true">
      <c r="G374" t="s" s="8"/>
    </row>
    <row r="375" ht="15.75" customHeight="true">
      <c r="G375" t="s" s="8"/>
    </row>
    <row r="376" ht="15.75" customHeight="true">
      <c r="G376" t="s" s="8"/>
    </row>
    <row r="377" ht="15.75" customHeight="true">
      <c r="G377" t="s" s="8"/>
    </row>
    <row r="378" ht="15.75" customHeight="true">
      <c r="G378" t="s" s="8"/>
    </row>
    <row r="379" ht="15.75" customHeight="true">
      <c r="G379" t="s" s="8"/>
    </row>
    <row r="380" ht="15.75" customHeight="true">
      <c r="G380" t="s" s="8"/>
    </row>
    <row r="381" ht="15.75" customHeight="true">
      <c r="G381" t="s" s="8"/>
    </row>
    <row r="382" ht="15.75" customHeight="true">
      <c r="G382" t="s" s="8"/>
    </row>
    <row r="383" ht="15.75" customHeight="true">
      <c r="G383" t="s" s="8"/>
    </row>
    <row r="384" ht="15.75" customHeight="true">
      <c r="G384" t="s" s="8"/>
    </row>
    <row r="385" ht="15.75" customHeight="true">
      <c r="G385" t="s" s="8"/>
    </row>
    <row r="386" ht="15.75" customHeight="true">
      <c r="G386" t="s" s="8"/>
    </row>
    <row r="387" ht="15.75" customHeight="true">
      <c r="G387" t="s" s="8"/>
    </row>
    <row r="388" ht="15.75" customHeight="true">
      <c r="G388" t="s" s="8"/>
    </row>
    <row r="389" ht="15.75" customHeight="true">
      <c r="G389" t="s" s="8"/>
    </row>
    <row r="390" ht="15.75" customHeight="true">
      <c r="G390" t="s" s="8"/>
    </row>
    <row r="391" ht="15.75" customHeight="true">
      <c r="G391" t="s" s="8"/>
    </row>
    <row r="392" ht="15.75" customHeight="true">
      <c r="G392" t="s" s="8"/>
    </row>
    <row r="393" ht="15.75" customHeight="true">
      <c r="G393" t="s" s="8"/>
    </row>
    <row r="394" ht="15.75" customHeight="true">
      <c r="G394" t="s" s="8"/>
    </row>
    <row r="395" ht="15.75" customHeight="true">
      <c r="G395" t="s" s="8"/>
    </row>
    <row r="396" ht="15.75" customHeight="true">
      <c r="G396" t="s" s="8"/>
    </row>
    <row r="397" ht="15.75" customHeight="true">
      <c r="G397" t="s" s="8"/>
    </row>
    <row r="398" ht="15.75" customHeight="true">
      <c r="G398" t="s" s="8"/>
    </row>
    <row r="399" ht="15.75" customHeight="true">
      <c r="G399" t="s" s="8"/>
    </row>
    <row r="400" ht="15.75" customHeight="true">
      <c r="G400" t="s" s="8"/>
    </row>
    <row r="401" ht="15.75" customHeight="true">
      <c r="G401" t="s" s="8"/>
    </row>
    <row r="402" ht="15.75" customHeight="true">
      <c r="G402" t="s" s="8"/>
    </row>
    <row r="403" ht="15.75" customHeight="true">
      <c r="G403" t="s" s="8"/>
    </row>
    <row r="404" ht="15.75" customHeight="true">
      <c r="G404" t="s" s="8"/>
    </row>
    <row r="405" ht="15.75" customHeight="true">
      <c r="G405" t="s" s="8"/>
    </row>
    <row r="406" ht="15.75" customHeight="true">
      <c r="G406" t="s" s="8"/>
    </row>
    <row r="407" ht="15.75" customHeight="true">
      <c r="G407" t="s" s="8"/>
    </row>
    <row r="408" ht="15.75" customHeight="true">
      <c r="G408" t="s" s="8"/>
    </row>
    <row r="409" ht="15.75" customHeight="true">
      <c r="G409" t="s" s="8"/>
    </row>
    <row r="410" ht="15.75" customHeight="true">
      <c r="G410" t="s" s="8"/>
    </row>
    <row r="411" ht="15.75" customHeight="true">
      <c r="G411" t="s" s="8"/>
    </row>
    <row r="412" ht="15.75" customHeight="true">
      <c r="G412" t="s" s="8"/>
    </row>
    <row r="413" ht="15.75" customHeight="true">
      <c r="G413" t="s" s="8"/>
    </row>
    <row r="414" ht="15.75" customHeight="true">
      <c r="G414" t="s" s="8"/>
    </row>
    <row r="415" ht="15.75" customHeight="true">
      <c r="G415" t="s" s="8"/>
    </row>
    <row r="416" ht="15.75" customHeight="true">
      <c r="G416" t="s" s="8"/>
    </row>
    <row r="417" ht="15.75" customHeight="true">
      <c r="G417" t="s" s="8"/>
    </row>
    <row r="418" ht="15.75" customHeight="true">
      <c r="G418" t="s" s="8"/>
    </row>
    <row r="419" ht="15.75" customHeight="true">
      <c r="G419" t="s" s="8"/>
    </row>
    <row r="420" ht="15.75" customHeight="true">
      <c r="G420" t="s" s="8"/>
    </row>
    <row r="421" ht="15.75" customHeight="true">
      <c r="G421" t="s" s="8"/>
    </row>
    <row r="422" ht="15.75" customHeight="true">
      <c r="G422" t="s" s="8"/>
    </row>
    <row r="423" ht="15.75" customHeight="true">
      <c r="G423" t="s" s="8"/>
    </row>
    <row r="424" ht="15.75" customHeight="true">
      <c r="G424" t="s" s="8"/>
    </row>
    <row r="425" ht="15.75" customHeight="true">
      <c r="G425" t="s" s="8"/>
    </row>
    <row r="426" ht="15.75" customHeight="true">
      <c r="G426" t="s" s="8"/>
    </row>
    <row r="427" ht="15.75" customHeight="true">
      <c r="G427" t="s" s="8"/>
    </row>
    <row r="428" ht="15.75" customHeight="true">
      <c r="G428" t="s" s="8"/>
    </row>
    <row r="429" ht="15.75" customHeight="true">
      <c r="G429" t="s" s="8"/>
    </row>
    <row r="430" ht="15.75" customHeight="true">
      <c r="G430" t="s" s="8"/>
    </row>
    <row r="431" ht="15.75" customHeight="true">
      <c r="G431" t="s" s="8"/>
    </row>
    <row r="432" ht="15.75" customHeight="true">
      <c r="G432" t="s" s="8"/>
    </row>
    <row r="433" ht="15.75" customHeight="true">
      <c r="G433" t="s" s="8"/>
    </row>
    <row r="434" ht="15.75" customHeight="true">
      <c r="G434" t="s" s="8"/>
    </row>
    <row r="435" ht="15.75" customHeight="true">
      <c r="G435" t="s" s="8"/>
    </row>
    <row r="436" ht="15.75" customHeight="true">
      <c r="G436" t="s" s="8"/>
    </row>
    <row r="437" ht="15.75" customHeight="true">
      <c r="G437" t="s" s="8"/>
    </row>
    <row r="438" ht="15.75" customHeight="true">
      <c r="G438" t="s" s="8"/>
    </row>
    <row r="439" ht="15.75" customHeight="true">
      <c r="G439" t="s" s="8"/>
    </row>
    <row r="440" ht="15.75" customHeight="true">
      <c r="G440" t="s" s="8"/>
    </row>
    <row r="441" ht="15.75" customHeight="true">
      <c r="G441" t="s" s="8"/>
    </row>
    <row r="442" ht="15.75" customHeight="true">
      <c r="G442" t="s" s="8"/>
    </row>
    <row r="443" ht="15.75" customHeight="true">
      <c r="G443" t="s" s="8"/>
    </row>
    <row r="444" ht="15.75" customHeight="true">
      <c r="G444" t="s" s="8"/>
    </row>
    <row r="445" ht="15.75" customHeight="true">
      <c r="G445" t="s" s="8"/>
    </row>
    <row r="446" ht="15.75" customHeight="true">
      <c r="G446" t="s" s="8"/>
    </row>
    <row r="447" ht="15.75" customHeight="true">
      <c r="G447" t="s" s="8"/>
    </row>
    <row r="448" ht="15.75" customHeight="true">
      <c r="G448" t="s" s="8"/>
    </row>
    <row r="449" ht="15.75" customHeight="true">
      <c r="G449" t="s" s="8"/>
    </row>
    <row r="450" ht="15.75" customHeight="true">
      <c r="G450" t="s" s="8"/>
    </row>
    <row r="451" ht="15.75" customHeight="true">
      <c r="G451" t="s" s="8"/>
    </row>
    <row r="452" ht="15.75" customHeight="true">
      <c r="G452" t="s" s="8"/>
    </row>
    <row r="453" ht="15.75" customHeight="true">
      <c r="G453" t="s" s="8"/>
    </row>
    <row r="454" ht="15.75" customHeight="true">
      <c r="G454" t="s" s="8"/>
    </row>
    <row r="455" ht="15.75" customHeight="true">
      <c r="G455" t="s" s="8"/>
    </row>
    <row r="456" ht="15.75" customHeight="true">
      <c r="G456" t="s" s="8"/>
    </row>
    <row r="457" ht="15.75" customHeight="true">
      <c r="G457" t="s" s="8"/>
    </row>
    <row r="458" ht="15.75" customHeight="true">
      <c r="G458" t="s" s="8"/>
    </row>
    <row r="459" ht="15.75" customHeight="true">
      <c r="G459" t="s" s="8"/>
    </row>
    <row r="460" ht="15.75" customHeight="true">
      <c r="G460" t="s" s="8"/>
    </row>
    <row r="461" ht="15.75" customHeight="true">
      <c r="G461" t="s" s="8"/>
    </row>
    <row r="462" ht="15.75" customHeight="true">
      <c r="G462" t="s" s="8"/>
    </row>
    <row r="463" ht="15.75" customHeight="true">
      <c r="G463" t="s" s="8"/>
    </row>
    <row r="464" ht="15.75" customHeight="true">
      <c r="G464" t="s" s="8"/>
    </row>
    <row r="465" ht="15.75" customHeight="true">
      <c r="G465" t="s" s="8"/>
    </row>
    <row r="466" ht="15.75" customHeight="true">
      <c r="G466" t="s" s="8"/>
    </row>
    <row r="467" ht="15.75" customHeight="true">
      <c r="G467" t="s" s="8"/>
    </row>
    <row r="468" ht="15.75" customHeight="true">
      <c r="G468" t="s" s="8"/>
    </row>
    <row r="469" ht="15.75" customHeight="true">
      <c r="G469" t="s" s="8"/>
    </row>
    <row r="470" ht="15.75" customHeight="true">
      <c r="G470" t="s" s="8"/>
    </row>
    <row r="471" ht="15.75" customHeight="true">
      <c r="G471" t="s" s="8"/>
    </row>
    <row r="472" ht="15.75" customHeight="true">
      <c r="G472" t="s" s="8"/>
    </row>
    <row r="473" ht="15.75" customHeight="true">
      <c r="G473" t="s" s="8"/>
    </row>
    <row r="474" ht="15.75" customHeight="true">
      <c r="G474" t="s" s="8"/>
    </row>
    <row r="475" ht="15.75" customHeight="true">
      <c r="G475" t="s" s="8"/>
    </row>
    <row r="476" ht="15.75" customHeight="true">
      <c r="G476" t="s" s="8"/>
    </row>
    <row r="477" ht="15.75" customHeight="true">
      <c r="G477" t="s" s="8"/>
    </row>
    <row r="478" ht="15.75" customHeight="true">
      <c r="G478" t="s" s="8"/>
    </row>
    <row r="479" ht="15.75" customHeight="true">
      <c r="G479" t="s" s="8"/>
    </row>
    <row r="480" ht="15.75" customHeight="true">
      <c r="G480" t="s" s="8"/>
    </row>
    <row r="481" ht="15.75" customHeight="true">
      <c r="G481" t="s" s="8"/>
    </row>
    <row r="482" ht="15.75" customHeight="true">
      <c r="G482" t="s" s="8"/>
    </row>
    <row r="483" ht="15.75" customHeight="true">
      <c r="G483" t="s" s="8"/>
    </row>
    <row r="484" ht="15.75" customHeight="true">
      <c r="G484" t="s" s="8"/>
    </row>
    <row r="485" ht="15.75" customHeight="true">
      <c r="G485" t="s" s="8"/>
    </row>
    <row r="486" ht="15.75" customHeight="true">
      <c r="G486" t="s" s="8"/>
    </row>
    <row r="487" ht="15.75" customHeight="true">
      <c r="G487" t="s" s="8"/>
    </row>
    <row r="488" ht="15.75" customHeight="true">
      <c r="G488" t="s" s="8"/>
    </row>
    <row r="489" ht="15.75" customHeight="true">
      <c r="G489" t="s" s="8"/>
    </row>
    <row r="490" ht="15.75" customHeight="true">
      <c r="G490" t="s" s="8"/>
    </row>
    <row r="491" ht="15.75" customHeight="true">
      <c r="G491" t="s" s="8"/>
    </row>
    <row r="492" ht="15.75" customHeight="true">
      <c r="G492" t="s" s="8"/>
    </row>
    <row r="493" ht="15.75" customHeight="true">
      <c r="G493" t="s" s="8"/>
    </row>
    <row r="494" ht="15.75" customHeight="true">
      <c r="G494" t="s" s="8"/>
    </row>
    <row r="495" ht="15.75" customHeight="true">
      <c r="G495" t="s" s="8"/>
    </row>
    <row r="496" ht="15.75" customHeight="true">
      <c r="G496" t="s" s="8"/>
    </row>
    <row r="497" ht="15.75" customHeight="true">
      <c r="G497" t="s" s="8"/>
    </row>
    <row r="498" ht="15.75" customHeight="true">
      <c r="G498" t="s" s="8"/>
    </row>
    <row r="499" ht="15.75" customHeight="true">
      <c r="G499" t="s" s="8"/>
    </row>
    <row r="500" ht="15.75" customHeight="true">
      <c r="G500" t="s" s="8"/>
    </row>
    <row r="501" ht="15.75" customHeight="true">
      <c r="G501" t="s" s="8"/>
    </row>
    <row r="502" ht="15.75" customHeight="true">
      <c r="G502" t="s" s="8"/>
    </row>
    <row r="503" ht="15.75" customHeight="true">
      <c r="G503" t="s" s="8"/>
    </row>
    <row r="504" ht="15.75" customHeight="true">
      <c r="G504" t="s" s="8"/>
    </row>
    <row r="505" ht="15.75" customHeight="true">
      <c r="G505" t="s" s="8"/>
    </row>
    <row r="506" ht="15.75" customHeight="true">
      <c r="G506" t="s" s="8"/>
    </row>
    <row r="507" ht="15.75" customHeight="true">
      <c r="G507" t="s" s="8"/>
    </row>
    <row r="508" ht="15.75" customHeight="true">
      <c r="G508" t="s" s="8"/>
    </row>
    <row r="509" ht="15.75" customHeight="true">
      <c r="G509" t="s" s="8"/>
    </row>
    <row r="510" ht="15.75" customHeight="true">
      <c r="G510" t="s" s="8"/>
    </row>
    <row r="511" ht="15.75" customHeight="true">
      <c r="G511" t="s" s="8"/>
    </row>
    <row r="512" ht="15.75" customHeight="true">
      <c r="G512" t="s" s="8"/>
    </row>
    <row r="513" ht="15.75" customHeight="true">
      <c r="G513" t="s" s="8"/>
    </row>
    <row r="514" ht="15.75" customHeight="true">
      <c r="G514" t="s" s="8"/>
    </row>
    <row r="515" ht="15.75" customHeight="true">
      <c r="G515" t="s" s="8"/>
    </row>
    <row r="516" ht="15.75" customHeight="true">
      <c r="G516" t="s" s="8"/>
    </row>
    <row r="517" ht="15.75" customHeight="true">
      <c r="G517" t="s" s="8"/>
    </row>
    <row r="518" ht="15.75" customHeight="true">
      <c r="G518" t="s" s="8"/>
    </row>
    <row r="519" ht="15.75" customHeight="true">
      <c r="G519" t="s" s="8"/>
    </row>
    <row r="520" ht="15.75" customHeight="true">
      <c r="G520" t="s" s="8"/>
    </row>
    <row r="521" ht="15.75" customHeight="true">
      <c r="G521" t="s" s="8"/>
    </row>
    <row r="522" ht="15.75" customHeight="true">
      <c r="G522" t="s" s="8"/>
    </row>
    <row r="523" ht="15.75" customHeight="true">
      <c r="G523" t="s" s="8"/>
    </row>
    <row r="524" ht="15.75" customHeight="true">
      <c r="G524" t="s" s="8"/>
    </row>
    <row r="525" ht="15.75" customHeight="true">
      <c r="G525" t="s" s="8"/>
    </row>
    <row r="526" ht="15.75" customHeight="true">
      <c r="G526" t="s" s="8"/>
    </row>
    <row r="527" ht="15.75" customHeight="true">
      <c r="G527" t="s" s="8"/>
    </row>
    <row r="528" ht="15.75" customHeight="true">
      <c r="G528" t="s" s="8"/>
    </row>
    <row r="529" ht="15.75" customHeight="true">
      <c r="G529" t="s" s="8"/>
    </row>
    <row r="530" ht="15.75" customHeight="true">
      <c r="G530" t="s" s="8"/>
    </row>
    <row r="531" ht="15.75" customHeight="true">
      <c r="G531" t="s" s="8"/>
    </row>
    <row r="532" ht="15.75" customHeight="true">
      <c r="G532" t="s" s="8"/>
    </row>
    <row r="533" ht="15.75" customHeight="true">
      <c r="G533" t="s" s="8"/>
    </row>
    <row r="534" ht="15.75" customHeight="true">
      <c r="G534" t="s" s="8"/>
    </row>
    <row r="535" ht="15.75" customHeight="true">
      <c r="G535" t="s" s="8"/>
    </row>
    <row r="536" ht="15.75" customHeight="true">
      <c r="G536" t="s" s="8"/>
    </row>
    <row r="537" ht="15.75" customHeight="true">
      <c r="G537" t="s" s="8"/>
    </row>
    <row r="538" ht="15.75" customHeight="true">
      <c r="G538" t="s" s="8"/>
    </row>
    <row r="539" ht="15.75" customHeight="true">
      <c r="G539" t="s" s="8"/>
    </row>
    <row r="540" ht="15.75" customHeight="true">
      <c r="G540" t="s" s="8"/>
    </row>
    <row r="541" ht="15.75" customHeight="true">
      <c r="G541" t="s" s="8"/>
    </row>
    <row r="542" ht="15.75" customHeight="true">
      <c r="G542" t="s" s="8"/>
    </row>
    <row r="543" ht="15.75" customHeight="true">
      <c r="G543" t="s" s="8"/>
    </row>
    <row r="544" ht="15.75" customHeight="true">
      <c r="G544" t="s" s="8"/>
    </row>
    <row r="545" ht="15.75" customHeight="true">
      <c r="G545" t="s" s="8"/>
    </row>
    <row r="546" ht="15.75" customHeight="true">
      <c r="G546" t="s" s="8"/>
    </row>
    <row r="547" ht="15.75" customHeight="true">
      <c r="G547" t="s" s="8"/>
    </row>
    <row r="548" ht="15.75" customHeight="true">
      <c r="G548" t="s" s="8"/>
    </row>
    <row r="549" ht="15.75" customHeight="true">
      <c r="G549" t="s" s="8"/>
    </row>
    <row r="550" ht="15.75" customHeight="true">
      <c r="G550" t="s" s="8"/>
    </row>
    <row r="551" ht="15.75" customHeight="true">
      <c r="G551" t="s" s="8"/>
    </row>
    <row r="552" ht="15.75" customHeight="true">
      <c r="G552" t="s" s="8"/>
    </row>
    <row r="553" ht="15.75" customHeight="true">
      <c r="G553" t="s" s="8"/>
    </row>
    <row r="554" ht="15.75" customHeight="true">
      <c r="G554" t="s" s="8"/>
    </row>
    <row r="555" ht="15.75" customHeight="true">
      <c r="G555" t="s" s="8"/>
    </row>
    <row r="556" ht="15.75" customHeight="true">
      <c r="G556" t="s" s="8"/>
    </row>
    <row r="557" ht="15.75" customHeight="true">
      <c r="G557" t="s" s="8"/>
    </row>
    <row r="558" ht="15.75" customHeight="true">
      <c r="G558" t="s" s="8"/>
    </row>
    <row r="559" ht="15.75" customHeight="true">
      <c r="G559" t="s" s="8"/>
    </row>
    <row r="560" ht="15.75" customHeight="true">
      <c r="G560" t="s" s="8"/>
    </row>
    <row r="561" ht="15.75" customHeight="true">
      <c r="G561" t="s" s="8"/>
    </row>
    <row r="562" ht="15.75" customHeight="true">
      <c r="G562" t="s" s="8"/>
    </row>
    <row r="563" ht="15.75" customHeight="true">
      <c r="G563" t="s" s="8"/>
    </row>
    <row r="564" ht="15.75" customHeight="true">
      <c r="G564" t="s" s="8"/>
    </row>
    <row r="565" ht="15.75" customHeight="true">
      <c r="G565" t="s" s="8"/>
    </row>
    <row r="566" ht="15.75" customHeight="true">
      <c r="G566" t="s" s="8"/>
    </row>
    <row r="567" ht="15.75" customHeight="true">
      <c r="G567" t="s" s="8"/>
    </row>
    <row r="568" ht="15.75" customHeight="true">
      <c r="G568" t="s" s="8"/>
    </row>
    <row r="569" ht="15.75" customHeight="true">
      <c r="G569" t="s" s="8"/>
    </row>
    <row r="570" ht="15.75" customHeight="true">
      <c r="G570" t="s" s="8"/>
    </row>
    <row r="571" ht="15.75" customHeight="true">
      <c r="G571" t="s" s="8"/>
    </row>
    <row r="572" ht="15.75" customHeight="true">
      <c r="G572" t="s" s="8"/>
    </row>
    <row r="573" ht="15.75" customHeight="true">
      <c r="G573" t="s" s="8"/>
    </row>
    <row r="574" ht="15.75" customHeight="true">
      <c r="G574" t="s" s="8"/>
    </row>
    <row r="575" ht="15.75" customHeight="true">
      <c r="G575" t="s" s="8"/>
    </row>
    <row r="576" ht="15.75" customHeight="true">
      <c r="G576" t="s" s="8"/>
    </row>
    <row r="577" ht="15.75" customHeight="true">
      <c r="G577" t="s" s="8"/>
    </row>
    <row r="578" ht="15.75" customHeight="true">
      <c r="G578" t="s" s="8"/>
    </row>
    <row r="579" ht="15.75" customHeight="true">
      <c r="G579" t="s" s="8"/>
    </row>
    <row r="580" ht="15.75" customHeight="true">
      <c r="G580" t="s" s="8"/>
    </row>
    <row r="581" ht="15.75" customHeight="true">
      <c r="G581" t="s" s="8"/>
    </row>
    <row r="582" ht="15.75" customHeight="true">
      <c r="G582" t="s" s="8"/>
    </row>
    <row r="583" ht="15.75" customHeight="true">
      <c r="G583" t="s" s="8"/>
    </row>
    <row r="584" ht="15.75" customHeight="true">
      <c r="G584" t="s" s="8"/>
    </row>
    <row r="585" ht="15.75" customHeight="true">
      <c r="G585" t="s" s="8"/>
    </row>
    <row r="586" ht="15.75" customHeight="true">
      <c r="G586" t="s" s="8"/>
    </row>
    <row r="587" ht="15.75" customHeight="true">
      <c r="G587" t="s" s="8"/>
    </row>
    <row r="588" ht="15.75" customHeight="true">
      <c r="G588" t="s" s="8"/>
    </row>
    <row r="589" ht="15.75" customHeight="true">
      <c r="G589" t="s" s="8"/>
    </row>
    <row r="590" ht="15.75" customHeight="true">
      <c r="G590" t="s" s="8"/>
    </row>
    <row r="591" ht="15.75" customHeight="true">
      <c r="G591" t="s" s="8"/>
    </row>
    <row r="592" ht="15.75" customHeight="true">
      <c r="G592" t="s" s="8"/>
    </row>
    <row r="593" ht="15.75" customHeight="true">
      <c r="G593" t="s" s="8"/>
    </row>
    <row r="594" ht="15.75" customHeight="true">
      <c r="G594" t="s" s="8"/>
    </row>
    <row r="595" ht="15.75" customHeight="true">
      <c r="G595" t="s" s="8"/>
    </row>
    <row r="596" ht="15.75" customHeight="true">
      <c r="G596" t="s" s="8"/>
    </row>
    <row r="597" ht="15.75" customHeight="true">
      <c r="G597" t="s" s="8"/>
    </row>
    <row r="598" ht="15.75" customHeight="true">
      <c r="G598" t="s" s="8"/>
    </row>
    <row r="599" ht="15.75" customHeight="true">
      <c r="G599" t="s" s="8"/>
    </row>
    <row r="600" ht="15.75" customHeight="true">
      <c r="G600" t="s" s="8"/>
    </row>
    <row r="601" ht="15.75" customHeight="true">
      <c r="G601" t="s" s="8"/>
    </row>
    <row r="602" ht="15.75" customHeight="true">
      <c r="G602" t="s" s="8"/>
    </row>
    <row r="603" ht="15.75" customHeight="true">
      <c r="G603" t="s" s="8"/>
    </row>
    <row r="604" ht="15.75" customHeight="true">
      <c r="G604" t="s" s="8"/>
    </row>
    <row r="605" ht="15.75" customHeight="true">
      <c r="G605" t="s" s="8"/>
    </row>
    <row r="606" ht="15.75" customHeight="true">
      <c r="G606" t="s" s="8"/>
    </row>
    <row r="607" ht="15.75" customHeight="true">
      <c r="G607" t="s" s="8"/>
    </row>
    <row r="608" ht="15.75" customHeight="true">
      <c r="G608" t="s" s="8"/>
    </row>
    <row r="609" ht="15.75" customHeight="true">
      <c r="G609" t="s" s="8"/>
    </row>
    <row r="610" ht="15.75" customHeight="true">
      <c r="G610" t="s" s="8"/>
    </row>
    <row r="611" ht="15.75" customHeight="true">
      <c r="G611" t="s" s="8"/>
    </row>
    <row r="612" ht="15.75" customHeight="true">
      <c r="G612" t="s" s="8"/>
    </row>
    <row r="613" ht="15.75" customHeight="true">
      <c r="G613" t="s" s="8"/>
    </row>
    <row r="614" ht="15.75" customHeight="true">
      <c r="G614" t="s" s="8"/>
    </row>
    <row r="615" ht="15.75" customHeight="true">
      <c r="G615" t="s" s="8"/>
    </row>
    <row r="616" ht="15.75" customHeight="true">
      <c r="G616" t="s" s="8"/>
    </row>
    <row r="617" ht="15.75" customHeight="true">
      <c r="G617" t="s" s="8"/>
    </row>
    <row r="618" ht="15.75" customHeight="true">
      <c r="G618" t="s" s="8"/>
    </row>
    <row r="619" ht="15.75" customHeight="true">
      <c r="G619" t="s" s="8"/>
    </row>
    <row r="620" ht="15.75" customHeight="true">
      <c r="G620" t="s" s="8"/>
    </row>
    <row r="621" ht="15.75" customHeight="true">
      <c r="G621" t="s" s="8"/>
    </row>
    <row r="622" ht="15.75" customHeight="true">
      <c r="G622" t="s" s="8"/>
    </row>
    <row r="623" ht="15.75" customHeight="true">
      <c r="G623" t="s" s="8"/>
    </row>
    <row r="624" ht="15.75" customHeight="true">
      <c r="G624" t="s" s="8"/>
    </row>
    <row r="625" ht="15.75" customHeight="true">
      <c r="G625" t="s" s="8"/>
    </row>
    <row r="626" ht="15.75" customHeight="true">
      <c r="G626" t="s" s="8"/>
    </row>
    <row r="627" ht="15.75" customHeight="true">
      <c r="G627" t="s" s="8"/>
    </row>
    <row r="628" ht="15.75" customHeight="true">
      <c r="G628" t="s" s="8"/>
    </row>
    <row r="629" ht="15.75" customHeight="true">
      <c r="G629" t="s" s="8"/>
    </row>
    <row r="630" ht="15.75" customHeight="true">
      <c r="G630" t="s" s="8"/>
    </row>
    <row r="631" ht="15.75" customHeight="true">
      <c r="G631" t="s" s="8"/>
    </row>
    <row r="632" ht="15.75" customHeight="true">
      <c r="G632" t="s" s="8"/>
    </row>
    <row r="633" ht="15.75" customHeight="true">
      <c r="G633" t="s" s="8"/>
    </row>
    <row r="634" ht="15.75" customHeight="true">
      <c r="G634" t="s" s="8"/>
    </row>
    <row r="635" ht="15.75" customHeight="true">
      <c r="G635" t="s" s="8"/>
    </row>
    <row r="636" ht="15.75" customHeight="true">
      <c r="G636" t="s" s="8"/>
    </row>
    <row r="637" ht="15.75" customHeight="true">
      <c r="G637" t="s" s="8"/>
    </row>
    <row r="638" ht="15.75" customHeight="true">
      <c r="G638" t="s" s="8"/>
    </row>
    <row r="639" ht="15.75" customHeight="true">
      <c r="G639" t="s" s="8"/>
    </row>
    <row r="640" ht="15.75" customHeight="true">
      <c r="G640" t="s" s="8"/>
    </row>
    <row r="641" ht="15.75" customHeight="true">
      <c r="G641" t="s" s="8"/>
    </row>
    <row r="642" ht="15.75" customHeight="true">
      <c r="G642" t="s" s="8"/>
    </row>
    <row r="643" ht="15.75" customHeight="true">
      <c r="G643" t="s" s="8"/>
    </row>
    <row r="644" ht="15.75" customHeight="true">
      <c r="G644" t="s" s="8"/>
    </row>
    <row r="645" ht="15.75" customHeight="true">
      <c r="G645" t="s" s="8"/>
    </row>
    <row r="646" ht="15.75" customHeight="true">
      <c r="G646" t="s" s="8"/>
    </row>
    <row r="647" ht="15.75" customHeight="true">
      <c r="G647" t="s" s="8"/>
    </row>
    <row r="648" ht="15.75" customHeight="true">
      <c r="G648" t="s" s="8"/>
    </row>
    <row r="649" ht="15.75" customHeight="true">
      <c r="G649" t="s" s="8"/>
    </row>
    <row r="650" ht="15.75" customHeight="true">
      <c r="G650" t="s" s="8"/>
    </row>
    <row r="651" ht="15.75" customHeight="true">
      <c r="G651" t="s" s="8"/>
    </row>
    <row r="652" ht="15.75" customHeight="true">
      <c r="G652" t="s" s="8"/>
    </row>
    <row r="653" ht="15.75" customHeight="true">
      <c r="G653" t="s" s="8"/>
    </row>
    <row r="654" ht="15.75" customHeight="true">
      <c r="G654" t="s" s="8"/>
    </row>
    <row r="655" ht="15.75" customHeight="true">
      <c r="G655" t="s" s="8"/>
    </row>
    <row r="656" ht="15.75" customHeight="true">
      <c r="G656" t="s" s="8"/>
    </row>
    <row r="657" ht="15.75" customHeight="true">
      <c r="G657" t="s" s="8"/>
    </row>
    <row r="658" ht="15.75" customHeight="true">
      <c r="G658" t="s" s="8"/>
    </row>
    <row r="659" ht="15.75" customHeight="true">
      <c r="G659" t="s" s="8"/>
    </row>
    <row r="660" ht="15.75" customHeight="true">
      <c r="G660" t="s" s="8"/>
    </row>
    <row r="661" ht="15.75" customHeight="true">
      <c r="G661" t="s" s="8"/>
    </row>
    <row r="662" ht="15.75" customHeight="true">
      <c r="G662" t="s" s="8"/>
    </row>
    <row r="663" ht="15.75" customHeight="true">
      <c r="G663" t="s" s="8"/>
    </row>
    <row r="664" ht="15.75" customHeight="true">
      <c r="G664" t="s" s="8"/>
    </row>
    <row r="665" ht="15.75" customHeight="true">
      <c r="G665" t="s" s="8"/>
    </row>
    <row r="666" ht="15.75" customHeight="true">
      <c r="G666" t="s" s="8"/>
    </row>
    <row r="667" ht="15.75" customHeight="true">
      <c r="G667" t="s" s="8"/>
    </row>
    <row r="668" ht="15.75" customHeight="true">
      <c r="G668" t="s" s="8"/>
    </row>
    <row r="669" ht="15.75" customHeight="true">
      <c r="G669" t="s" s="8"/>
    </row>
    <row r="670" ht="15.75" customHeight="true">
      <c r="G670" t="s" s="8"/>
    </row>
    <row r="671" ht="15.75" customHeight="true">
      <c r="G671" t="s" s="8"/>
    </row>
    <row r="672" ht="15.75" customHeight="true">
      <c r="G672" t="s" s="8"/>
    </row>
    <row r="673" ht="15.75" customHeight="true">
      <c r="G673" t="s" s="8"/>
    </row>
    <row r="674" ht="15.75" customHeight="true">
      <c r="G674" t="s" s="8"/>
    </row>
    <row r="675" ht="15.75" customHeight="true">
      <c r="G675" t="s" s="8"/>
    </row>
    <row r="676" ht="15.75" customHeight="true">
      <c r="G676" t="s" s="8"/>
    </row>
    <row r="677" ht="15.75" customHeight="true">
      <c r="G677" t="s" s="8"/>
    </row>
    <row r="678" ht="15.75" customHeight="true">
      <c r="G678" t="s" s="8"/>
    </row>
    <row r="679" ht="15.75" customHeight="true">
      <c r="G679" t="s" s="8"/>
    </row>
    <row r="680" ht="15.75" customHeight="true">
      <c r="G680" t="s" s="8"/>
    </row>
    <row r="681" ht="15.75" customHeight="true">
      <c r="G681" t="s" s="8"/>
    </row>
    <row r="682" ht="15.75" customHeight="true">
      <c r="G682" t="s" s="8"/>
    </row>
    <row r="683" ht="15.75" customHeight="true">
      <c r="G683" t="s" s="8"/>
    </row>
    <row r="684" ht="15.75" customHeight="true">
      <c r="G684" t="s" s="8"/>
    </row>
    <row r="685" ht="15.75" customHeight="true">
      <c r="G685" t="s" s="8"/>
    </row>
    <row r="686" ht="15.75" customHeight="true">
      <c r="G686" t="s" s="8"/>
    </row>
    <row r="687" ht="15.75" customHeight="true">
      <c r="G687" t="s" s="8"/>
    </row>
    <row r="688" ht="15.75" customHeight="true">
      <c r="G688" t="s" s="8"/>
    </row>
    <row r="689" ht="15.75" customHeight="true">
      <c r="G689" t="s" s="8"/>
    </row>
    <row r="690" ht="15.75" customHeight="true">
      <c r="G690" t="s" s="8"/>
    </row>
    <row r="691" ht="15.75" customHeight="true">
      <c r="G691" t="s" s="8"/>
    </row>
    <row r="692" ht="15.75" customHeight="true">
      <c r="G692" t="s" s="8"/>
    </row>
    <row r="693" ht="15.75" customHeight="true">
      <c r="G693" t="s" s="8"/>
    </row>
    <row r="694" ht="15.75" customHeight="true">
      <c r="G694" t="s" s="8"/>
    </row>
    <row r="695" ht="15.75" customHeight="true">
      <c r="G695" t="s" s="8"/>
    </row>
    <row r="696" ht="15.75" customHeight="true">
      <c r="G696" t="s" s="8"/>
    </row>
    <row r="697" ht="15.75" customHeight="true">
      <c r="G697" t="s" s="8"/>
    </row>
    <row r="698" ht="15.75" customHeight="true">
      <c r="G698" t="s" s="8"/>
    </row>
    <row r="699" ht="15.75" customHeight="true">
      <c r="G699" t="s" s="8"/>
    </row>
    <row r="700" ht="15.75" customHeight="true">
      <c r="G700" t="s" s="8"/>
    </row>
    <row r="701" ht="15.75" customHeight="true">
      <c r="G701" t="s" s="8"/>
    </row>
    <row r="702" ht="15.75" customHeight="true">
      <c r="G702" t="s" s="8"/>
    </row>
    <row r="703" ht="15.75" customHeight="true">
      <c r="G703" t="s" s="8"/>
    </row>
    <row r="704" ht="15.75" customHeight="true">
      <c r="G704" t="s" s="8"/>
    </row>
    <row r="705" ht="15.75" customHeight="true">
      <c r="G705" t="s" s="8"/>
    </row>
    <row r="706" ht="15.75" customHeight="true">
      <c r="G706" t="s" s="8"/>
    </row>
    <row r="707" ht="15.75" customHeight="true">
      <c r="G707" t="s" s="8"/>
    </row>
    <row r="708" ht="15.75" customHeight="true">
      <c r="G708" t="s" s="8"/>
    </row>
    <row r="709" ht="15.75" customHeight="true">
      <c r="G709" t="s" s="8"/>
    </row>
    <row r="710" ht="15.75" customHeight="true">
      <c r="G710" t="s" s="8"/>
    </row>
    <row r="711" ht="15.75" customHeight="true">
      <c r="G711" t="s" s="8"/>
    </row>
    <row r="712" ht="15.75" customHeight="true">
      <c r="G712" t="s" s="8"/>
    </row>
    <row r="713" ht="15.75" customHeight="true">
      <c r="G713" t="s" s="8"/>
    </row>
    <row r="714" ht="15.75" customHeight="true">
      <c r="G714" t="s" s="8"/>
    </row>
    <row r="715" ht="15.75" customHeight="true">
      <c r="G715" t="s" s="8"/>
    </row>
    <row r="716" ht="15.75" customHeight="true">
      <c r="G716" t="s" s="8"/>
    </row>
    <row r="717" ht="15.75" customHeight="true">
      <c r="G717" t="s" s="8"/>
    </row>
    <row r="718" ht="15.75" customHeight="true">
      <c r="G718" t="s" s="8"/>
    </row>
    <row r="719" ht="15.75" customHeight="true">
      <c r="G719" t="s" s="8"/>
    </row>
    <row r="720" ht="15.75" customHeight="true">
      <c r="G720" t="s" s="8"/>
    </row>
    <row r="721" ht="15.75" customHeight="true">
      <c r="G721" t="s" s="8"/>
    </row>
    <row r="722" ht="15.75" customHeight="true">
      <c r="G722" t="s" s="8"/>
    </row>
    <row r="723" ht="15.75" customHeight="true">
      <c r="G723" t="s" s="8"/>
    </row>
    <row r="724" ht="15.75" customHeight="true">
      <c r="G724" t="s" s="8"/>
    </row>
    <row r="725" ht="15.75" customHeight="true">
      <c r="G725" t="s" s="8"/>
    </row>
    <row r="726" ht="15.75" customHeight="true">
      <c r="G726" t="s" s="8"/>
    </row>
    <row r="727" ht="15.75" customHeight="true">
      <c r="G727" t="s" s="8"/>
    </row>
    <row r="728" ht="15.75" customHeight="true">
      <c r="G728" t="s" s="8"/>
    </row>
    <row r="729" ht="15.75" customHeight="true">
      <c r="G729" t="s" s="8"/>
    </row>
    <row r="730" ht="15.75" customHeight="true">
      <c r="G730" t="s" s="8"/>
    </row>
    <row r="731" ht="15.75" customHeight="true">
      <c r="G731" t="s" s="8"/>
    </row>
    <row r="732" ht="15.75" customHeight="true">
      <c r="G732" t="s" s="8"/>
    </row>
    <row r="733" ht="15.75" customHeight="true">
      <c r="G733" t="s" s="8"/>
    </row>
    <row r="734" ht="15.75" customHeight="true">
      <c r="G734" t="s" s="8"/>
    </row>
    <row r="735" ht="15.75" customHeight="true">
      <c r="G735" t="s" s="8"/>
    </row>
    <row r="736" ht="15.75" customHeight="true">
      <c r="G736" t="s" s="8"/>
    </row>
    <row r="737" ht="15.75" customHeight="true">
      <c r="G737" t="s" s="8"/>
    </row>
    <row r="738" ht="15.75" customHeight="true">
      <c r="G738" t="s" s="8"/>
    </row>
    <row r="739" ht="15.75" customHeight="true">
      <c r="G739" t="s" s="8"/>
    </row>
    <row r="740" ht="15.75" customHeight="true">
      <c r="G740" t="s" s="8"/>
    </row>
    <row r="741" ht="15.75" customHeight="true">
      <c r="G741" t="s" s="8"/>
    </row>
    <row r="742" ht="15.75" customHeight="true">
      <c r="G742" t="s" s="8"/>
    </row>
    <row r="743" ht="15.75" customHeight="true">
      <c r="G743" t="s" s="8"/>
    </row>
    <row r="744" ht="15.75" customHeight="true">
      <c r="G744" t="s" s="8"/>
    </row>
    <row r="745" ht="15.75" customHeight="true">
      <c r="G745" t="s" s="8"/>
    </row>
    <row r="746" ht="15.75" customHeight="true">
      <c r="G746" t="s" s="8"/>
    </row>
    <row r="747" ht="15.75" customHeight="true">
      <c r="G747" t="s" s="8"/>
    </row>
    <row r="748" ht="15.75" customHeight="true">
      <c r="G748" t="s" s="8"/>
    </row>
    <row r="749" ht="15.75" customHeight="true">
      <c r="G749" t="s" s="8"/>
    </row>
    <row r="750" ht="15.75" customHeight="true">
      <c r="G750" t="s" s="8"/>
    </row>
    <row r="751" ht="15.75" customHeight="true">
      <c r="G751" t="s" s="8"/>
    </row>
    <row r="752" ht="15.75" customHeight="true">
      <c r="G752" t="s" s="8"/>
    </row>
    <row r="753" ht="15.75" customHeight="true">
      <c r="G753" t="s" s="8"/>
    </row>
    <row r="754" ht="15.75" customHeight="true">
      <c r="G754" t="s" s="8"/>
    </row>
    <row r="755" ht="15.75" customHeight="true">
      <c r="G755" t="s" s="8"/>
    </row>
    <row r="756" ht="15.75" customHeight="true">
      <c r="G756" t="s" s="8"/>
    </row>
    <row r="757" ht="15.75" customHeight="true">
      <c r="G757" t="s" s="8"/>
    </row>
    <row r="758" ht="15.75" customHeight="true">
      <c r="G758" t="s" s="8"/>
    </row>
    <row r="759" ht="15.75" customHeight="true">
      <c r="G759" t="s" s="8"/>
    </row>
    <row r="760" ht="15.75" customHeight="true">
      <c r="G760" t="s" s="8"/>
    </row>
    <row r="761" ht="15.75" customHeight="true">
      <c r="G761" t="s" s="8"/>
    </row>
    <row r="762" ht="15.75" customHeight="true">
      <c r="G762" t="s" s="8"/>
    </row>
    <row r="763" ht="15.75" customHeight="true">
      <c r="G763" t="s" s="8"/>
    </row>
    <row r="764" ht="15.75" customHeight="true">
      <c r="G764" t="s" s="8"/>
    </row>
    <row r="765" ht="15.75" customHeight="true">
      <c r="G765" t="s" s="8"/>
    </row>
    <row r="766" ht="15.75" customHeight="true">
      <c r="G766" t="s" s="8"/>
    </row>
    <row r="767" ht="15.75" customHeight="true">
      <c r="G767" t="s" s="8"/>
    </row>
    <row r="768" ht="15.75" customHeight="true">
      <c r="G768" t="s" s="8"/>
    </row>
    <row r="769" ht="15.75" customHeight="true">
      <c r="G769" t="s" s="8"/>
    </row>
    <row r="770" ht="15.75" customHeight="true">
      <c r="G770" t="s" s="8"/>
    </row>
    <row r="771" ht="15.75" customHeight="true">
      <c r="G771" t="s" s="8"/>
    </row>
    <row r="772" ht="15.75" customHeight="true">
      <c r="G772" t="s" s="8"/>
    </row>
    <row r="773" ht="15.75" customHeight="true">
      <c r="G773" t="s" s="8"/>
    </row>
    <row r="774" ht="15.75" customHeight="true">
      <c r="G774" t="s" s="8"/>
    </row>
    <row r="775" ht="15.75" customHeight="true">
      <c r="G775" t="s" s="8"/>
    </row>
    <row r="776" ht="15.75" customHeight="true">
      <c r="G776" t="s" s="8"/>
    </row>
    <row r="777" ht="15.75" customHeight="true">
      <c r="G777" t="s" s="8"/>
    </row>
    <row r="778" ht="15.75" customHeight="true">
      <c r="G778" t="s" s="8"/>
    </row>
    <row r="779" ht="15.75" customHeight="true">
      <c r="G779" t="s" s="8"/>
    </row>
    <row r="780" ht="15.75" customHeight="true">
      <c r="G780" t="s" s="8"/>
    </row>
    <row r="781" ht="15.75" customHeight="true">
      <c r="G781" t="s" s="8"/>
    </row>
    <row r="782" ht="15.75" customHeight="true">
      <c r="G782" t="s" s="8"/>
    </row>
    <row r="783" ht="15.75" customHeight="true">
      <c r="G783" t="s" s="8"/>
    </row>
    <row r="784" ht="15.75" customHeight="true">
      <c r="G784" t="s" s="8"/>
    </row>
    <row r="785" ht="15.75" customHeight="true">
      <c r="G785" t="s" s="8"/>
    </row>
    <row r="786" ht="15.75" customHeight="true">
      <c r="G786" t="s" s="8"/>
    </row>
    <row r="787" ht="15.75" customHeight="true">
      <c r="G787" t="s" s="8"/>
    </row>
    <row r="788" ht="15.75" customHeight="true">
      <c r="G788" t="s" s="8"/>
    </row>
    <row r="789" ht="15.75" customHeight="true">
      <c r="G789" t="s" s="8"/>
    </row>
    <row r="790" ht="15.75" customHeight="true">
      <c r="G790" t="s" s="8"/>
    </row>
    <row r="791" ht="15.75" customHeight="true">
      <c r="G791" t="s" s="8"/>
    </row>
    <row r="792" ht="15.75" customHeight="true">
      <c r="G792" t="s" s="8"/>
    </row>
    <row r="793" ht="15.75" customHeight="true">
      <c r="G793" t="s" s="8"/>
    </row>
    <row r="794" ht="15.75" customHeight="true">
      <c r="G794" t="s" s="8"/>
    </row>
    <row r="795" ht="15.75" customHeight="true">
      <c r="G795" t="s" s="8"/>
    </row>
    <row r="796" ht="15.75" customHeight="true">
      <c r="G796" t="s" s="8"/>
    </row>
    <row r="797" ht="15.75" customHeight="true">
      <c r="G797" t="s" s="8"/>
    </row>
    <row r="798" ht="15.75" customHeight="true">
      <c r="G798" t="s" s="8"/>
    </row>
    <row r="799" ht="15.75" customHeight="true">
      <c r="G799" t="s" s="8"/>
    </row>
    <row r="800" ht="15.75" customHeight="true">
      <c r="G800" t="s" s="8"/>
    </row>
    <row r="801" ht="15.75" customHeight="true">
      <c r="G801" t="s" s="8"/>
    </row>
    <row r="802" ht="15.75" customHeight="true">
      <c r="G802" t="s" s="8"/>
    </row>
    <row r="803" ht="15.75" customHeight="true">
      <c r="G803" t="s" s="8"/>
    </row>
    <row r="804" ht="15.75" customHeight="true">
      <c r="G804" t="s" s="8"/>
    </row>
    <row r="805" ht="15.75" customHeight="true">
      <c r="G805" t="s" s="8"/>
    </row>
    <row r="806" ht="15.75" customHeight="true">
      <c r="G806" t="s" s="8"/>
    </row>
    <row r="807" ht="15.75" customHeight="true">
      <c r="G807" t="s" s="8"/>
    </row>
    <row r="808" ht="15.75" customHeight="true">
      <c r="G808" t="s" s="8"/>
    </row>
    <row r="809" ht="15.75" customHeight="true">
      <c r="G809" t="s" s="8"/>
    </row>
    <row r="810" ht="15.75" customHeight="true">
      <c r="G810" t="s" s="8"/>
    </row>
    <row r="811" ht="15.75" customHeight="true">
      <c r="G811" t="s" s="8"/>
    </row>
    <row r="812" ht="15.75" customHeight="true">
      <c r="G812" t="s" s="8"/>
    </row>
    <row r="813" ht="15.75" customHeight="true">
      <c r="G813" t="s" s="8"/>
    </row>
    <row r="814" ht="15.75" customHeight="true">
      <c r="G814" t="s" s="8"/>
    </row>
    <row r="815" ht="15.75" customHeight="true">
      <c r="G815" t="s" s="8"/>
    </row>
    <row r="816" ht="15.75" customHeight="true">
      <c r="G816" t="s" s="8"/>
    </row>
    <row r="817" ht="15.75" customHeight="true">
      <c r="G817" t="s" s="8"/>
    </row>
    <row r="818" ht="15.75" customHeight="true">
      <c r="G818" t="s" s="8"/>
    </row>
    <row r="819" ht="15.75" customHeight="true">
      <c r="G819" t="s" s="8"/>
    </row>
    <row r="820" ht="15.75" customHeight="true">
      <c r="G820" t="s" s="8"/>
    </row>
    <row r="821" ht="15.75" customHeight="true">
      <c r="G821" t="s" s="8"/>
    </row>
    <row r="822" ht="15.75" customHeight="true">
      <c r="G822" t="s" s="8"/>
    </row>
    <row r="823" ht="15.75" customHeight="true">
      <c r="G823" t="s" s="8"/>
    </row>
    <row r="824" ht="15.75" customHeight="true">
      <c r="G824" t="s" s="8"/>
    </row>
    <row r="825" ht="15.75" customHeight="true">
      <c r="G825" t="s" s="8"/>
    </row>
    <row r="826" ht="15.75" customHeight="true">
      <c r="G826" t="s" s="8"/>
    </row>
    <row r="827" ht="15.75" customHeight="true">
      <c r="G827" t="s" s="8"/>
    </row>
    <row r="828" ht="15.75" customHeight="true">
      <c r="G828" t="s" s="8"/>
    </row>
    <row r="829" ht="15.75" customHeight="true">
      <c r="G829" t="s" s="8"/>
    </row>
    <row r="830" ht="15.75" customHeight="true">
      <c r="G830" t="s" s="8"/>
    </row>
    <row r="831" ht="15.75" customHeight="true">
      <c r="G831" t="s" s="8"/>
    </row>
    <row r="832" ht="15.75" customHeight="true">
      <c r="G832" t="s" s="8"/>
    </row>
    <row r="833" ht="15.75" customHeight="true">
      <c r="G833" t="s" s="8"/>
    </row>
    <row r="834" ht="15.75" customHeight="true">
      <c r="G834" t="s" s="8"/>
    </row>
    <row r="835" ht="15.75" customHeight="true">
      <c r="G835" t="s" s="8"/>
    </row>
    <row r="836" ht="15.75" customHeight="true">
      <c r="G836" t="s" s="8"/>
    </row>
    <row r="837" ht="15.75" customHeight="true">
      <c r="G837" t="s" s="8"/>
    </row>
    <row r="838" ht="15.75" customHeight="true">
      <c r="G838" t="s" s="8"/>
    </row>
    <row r="839" ht="15.75" customHeight="true">
      <c r="G839" t="s" s="8"/>
    </row>
    <row r="840" ht="15.75" customHeight="true">
      <c r="G840" t="s" s="8"/>
    </row>
    <row r="841" ht="15.75" customHeight="true">
      <c r="G841" t="s" s="8"/>
    </row>
    <row r="842" ht="15.75" customHeight="true">
      <c r="G842" t="s" s="8"/>
    </row>
    <row r="843" ht="15.75" customHeight="true">
      <c r="G843" t="s" s="8"/>
    </row>
    <row r="844" ht="15.75" customHeight="true">
      <c r="G844" t="s" s="8"/>
    </row>
    <row r="845" ht="15.75" customHeight="true">
      <c r="G845" t="s" s="8"/>
    </row>
    <row r="846" ht="15.75" customHeight="true">
      <c r="G846" t="s" s="8"/>
    </row>
    <row r="847" ht="15.75" customHeight="true">
      <c r="G847" t="s" s="8"/>
    </row>
    <row r="848" ht="15.75" customHeight="true">
      <c r="G848" t="s" s="8"/>
    </row>
    <row r="849" ht="15.75" customHeight="true">
      <c r="G849" t="s" s="8"/>
    </row>
    <row r="850" ht="15.75" customHeight="true">
      <c r="G850" t="s" s="8"/>
    </row>
    <row r="851" ht="15.75" customHeight="true">
      <c r="G851" t="s" s="8"/>
    </row>
    <row r="852" ht="15.75" customHeight="true">
      <c r="G852" t="s" s="8"/>
    </row>
    <row r="853" ht="15.75" customHeight="true">
      <c r="G853" t="s" s="8"/>
    </row>
    <row r="854" ht="15.75" customHeight="true">
      <c r="G854" t="s" s="8"/>
    </row>
    <row r="855" ht="15.75" customHeight="true">
      <c r="G855" t="s" s="8"/>
    </row>
    <row r="856" ht="15.75" customHeight="true">
      <c r="G856" t="s" s="8"/>
    </row>
    <row r="857" ht="15.75" customHeight="true">
      <c r="G857" t="s" s="8"/>
    </row>
    <row r="858" ht="15.75" customHeight="true">
      <c r="G858" t="s" s="8"/>
    </row>
    <row r="859" ht="15.75" customHeight="true">
      <c r="G859" t="s" s="8"/>
    </row>
    <row r="860" ht="15.75" customHeight="true">
      <c r="G860" t="s" s="8"/>
    </row>
    <row r="861" ht="15.75" customHeight="true">
      <c r="G861" t="s" s="8"/>
    </row>
    <row r="862" ht="15.75" customHeight="true">
      <c r="G862" t="s" s="8"/>
    </row>
    <row r="863" ht="15.75" customHeight="true">
      <c r="G863" t="s" s="8"/>
    </row>
    <row r="864" ht="15.75" customHeight="true">
      <c r="G864" t="s" s="8"/>
    </row>
    <row r="865" ht="15.75" customHeight="true">
      <c r="G865" t="s" s="8"/>
    </row>
    <row r="866" ht="15.75" customHeight="true">
      <c r="G866" t="s" s="8"/>
    </row>
    <row r="867" ht="15.75" customHeight="true">
      <c r="G867" t="s" s="8"/>
    </row>
    <row r="868" ht="15.75" customHeight="true">
      <c r="G868" t="s" s="8"/>
    </row>
    <row r="869" ht="15.75" customHeight="true">
      <c r="G869" t="s" s="8"/>
    </row>
    <row r="870" ht="15.75" customHeight="true">
      <c r="G870" t="s" s="8"/>
    </row>
    <row r="871" ht="15.75" customHeight="true">
      <c r="G871" t="s" s="8"/>
    </row>
    <row r="872" ht="15.75" customHeight="true">
      <c r="G872" t="s" s="8"/>
    </row>
    <row r="873" ht="15.75" customHeight="true">
      <c r="G873" t="s" s="8"/>
    </row>
    <row r="874" ht="15.75" customHeight="true">
      <c r="G874" t="s" s="8"/>
    </row>
    <row r="875" ht="15.75" customHeight="true">
      <c r="G875" t="s" s="8"/>
    </row>
    <row r="876" ht="15.75" customHeight="true">
      <c r="G876" t="s" s="8"/>
    </row>
    <row r="877" ht="15.75" customHeight="true">
      <c r="G877" t="s" s="8"/>
    </row>
    <row r="878" ht="15.75" customHeight="true">
      <c r="G878" t="s" s="8"/>
    </row>
    <row r="879" ht="15.75" customHeight="true">
      <c r="G879" t="s" s="8"/>
    </row>
    <row r="880" ht="15.75" customHeight="true">
      <c r="G880" t="s" s="8"/>
    </row>
    <row r="881" ht="15.75" customHeight="true">
      <c r="G881" t="s" s="8"/>
    </row>
    <row r="882" ht="15.75" customHeight="true">
      <c r="G882" t="s" s="8"/>
    </row>
    <row r="883" ht="15.75" customHeight="true">
      <c r="G883" t="s" s="8"/>
    </row>
    <row r="884" ht="15.75" customHeight="true">
      <c r="G884" t="s" s="8"/>
    </row>
    <row r="885" ht="15.75" customHeight="true">
      <c r="G885" t="s" s="8"/>
    </row>
    <row r="886" ht="15.75" customHeight="true">
      <c r="G886" t="s" s="8"/>
    </row>
    <row r="887" ht="15.75" customHeight="true">
      <c r="G887" t="s" s="8"/>
    </row>
    <row r="888" ht="15.75" customHeight="true">
      <c r="G888" t="s" s="8"/>
    </row>
    <row r="889" ht="15.75" customHeight="true">
      <c r="G889" t="s" s="8"/>
    </row>
    <row r="890" ht="15.75" customHeight="true">
      <c r="G890" t="s" s="8"/>
    </row>
    <row r="891" ht="15.75" customHeight="true">
      <c r="G891" t="s" s="8"/>
    </row>
    <row r="892" ht="15.75" customHeight="true">
      <c r="G892" t="s" s="8"/>
    </row>
    <row r="893" ht="15.75" customHeight="true">
      <c r="G893" t="s" s="8"/>
    </row>
    <row r="894" ht="15.75" customHeight="true">
      <c r="G894" t="s" s="8"/>
    </row>
    <row r="895" ht="15.75" customHeight="true">
      <c r="G895" t="s" s="8"/>
    </row>
    <row r="896" ht="15.75" customHeight="true">
      <c r="G896" t="s" s="8"/>
    </row>
    <row r="897" ht="15.75" customHeight="true">
      <c r="G897" t="s" s="8"/>
    </row>
    <row r="898" ht="15.75" customHeight="true">
      <c r="G898" t="s" s="8"/>
    </row>
    <row r="899" ht="15.75" customHeight="true">
      <c r="G899" t="s" s="8"/>
    </row>
    <row r="900" ht="15.75" customHeight="true">
      <c r="G900" t="s" s="8"/>
    </row>
    <row r="901" ht="15.75" customHeight="true">
      <c r="G901" t="s" s="8"/>
    </row>
    <row r="902" ht="15.75" customHeight="true">
      <c r="G902" t="s" s="8"/>
    </row>
    <row r="903" ht="15.75" customHeight="true">
      <c r="G903" t="s" s="8"/>
    </row>
    <row r="904" ht="15.75" customHeight="true">
      <c r="G904" t="s" s="8"/>
    </row>
    <row r="905" ht="15.75" customHeight="true">
      <c r="G905" t="s" s="8"/>
    </row>
    <row r="906" ht="15.75" customHeight="true">
      <c r="G906" t="s" s="8"/>
    </row>
    <row r="907" ht="15.75" customHeight="true">
      <c r="G907" t="s" s="8"/>
    </row>
    <row r="908" ht="15.75" customHeight="true">
      <c r="G908" t="s" s="8"/>
    </row>
    <row r="909" ht="15.75" customHeight="true">
      <c r="G909" t="s" s="8"/>
    </row>
    <row r="910" ht="15.75" customHeight="true">
      <c r="G910" t="s" s="8"/>
    </row>
    <row r="911" ht="15.75" customHeight="true">
      <c r="G911" t="s" s="8"/>
    </row>
    <row r="912" ht="15.75" customHeight="true">
      <c r="G912" t="s" s="8"/>
    </row>
    <row r="913" ht="15.75" customHeight="true">
      <c r="G913" t="s" s="8"/>
    </row>
    <row r="914" ht="15.75" customHeight="true">
      <c r="G914" t="s" s="8"/>
    </row>
    <row r="915" ht="15.75" customHeight="true">
      <c r="G915" t="s" s="8"/>
    </row>
    <row r="916" ht="15.75" customHeight="true">
      <c r="G916" t="s" s="8"/>
    </row>
    <row r="917" ht="15.75" customHeight="true">
      <c r="G917" t="s" s="8"/>
    </row>
    <row r="918" ht="15.75" customHeight="true">
      <c r="G918" t="s" s="8"/>
    </row>
    <row r="919" ht="15.75" customHeight="true">
      <c r="G919" t="s" s="8"/>
    </row>
    <row r="920" ht="15.75" customHeight="true">
      <c r="G920" t="s" s="8"/>
    </row>
    <row r="921" ht="15.75" customHeight="true">
      <c r="G921" t="s" s="8"/>
    </row>
    <row r="922" ht="15.75" customHeight="true">
      <c r="G922" t="s" s="8"/>
    </row>
    <row r="923" ht="15.75" customHeight="true">
      <c r="G923" t="s" s="8"/>
    </row>
    <row r="924" ht="15.75" customHeight="true">
      <c r="G924" t="s" s="8"/>
    </row>
    <row r="925" ht="15.75" customHeight="true">
      <c r="G925" t="s" s="8"/>
    </row>
    <row r="926" ht="15.75" customHeight="true">
      <c r="G926" t="s" s="8"/>
    </row>
    <row r="927" ht="15.75" customHeight="true">
      <c r="G927" t="s" s="8"/>
    </row>
    <row r="928" ht="15.75" customHeight="true">
      <c r="G928" t="s" s="8"/>
    </row>
    <row r="929" ht="15.75" customHeight="true">
      <c r="G929" t="s" s="8"/>
    </row>
    <row r="930" ht="15.75" customHeight="true">
      <c r="G930" t="s" s="8"/>
    </row>
    <row r="931" ht="15.75" customHeight="true">
      <c r="G931" t="s" s="8"/>
    </row>
    <row r="932" ht="15.75" customHeight="true">
      <c r="G932" t="s" s="8"/>
    </row>
    <row r="933" ht="15.75" customHeight="true">
      <c r="G933" t="s" s="8"/>
    </row>
    <row r="934" ht="15.75" customHeight="true">
      <c r="G934" t="s" s="8"/>
    </row>
    <row r="935" ht="15.75" customHeight="true">
      <c r="G935" t="s" s="8"/>
    </row>
    <row r="936" ht="15.75" customHeight="true">
      <c r="G936" t="s" s="8"/>
    </row>
    <row r="937" ht="15.75" customHeight="true">
      <c r="G937" t="s" s="8"/>
    </row>
    <row r="938" ht="15.75" customHeight="true">
      <c r="G938" t="s" s="8"/>
    </row>
    <row r="939" ht="15.75" customHeight="true">
      <c r="G939" t="s" s="8"/>
    </row>
    <row r="940" ht="15.75" customHeight="true">
      <c r="G940" t="s" s="8"/>
    </row>
    <row r="941" ht="15.75" customHeight="true">
      <c r="G941" t="s" s="8"/>
    </row>
    <row r="942" ht="15.75" customHeight="true">
      <c r="G942" t="s" s="8"/>
    </row>
    <row r="943" ht="15.75" customHeight="true">
      <c r="G943" t="s" s="8"/>
    </row>
    <row r="944" ht="15.75" customHeight="true">
      <c r="G944" t="s" s="8"/>
    </row>
    <row r="945" ht="15.75" customHeight="true">
      <c r="G945" t="s" s="8"/>
    </row>
    <row r="946" ht="15.75" customHeight="true">
      <c r="G946" t="s" s="8"/>
    </row>
    <row r="947" ht="15.75" customHeight="true">
      <c r="G947" t="s" s="8"/>
    </row>
    <row r="948" ht="15.75" customHeight="true">
      <c r="G948" t="s" s="8"/>
    </row>
    <row r="949" ht="15.75" customHeight="true">
      <c r="G949" t="s" s="8"/>
    </row>
    <row r="950" ht="15.75" customHeight="true">
      <c r="G950" t="s" s="8"/>
    </row>
    <row r="951" ht="15.75" customHeight="true">
      <c r="G951" t="s" s="8"/>
    </row>
    <row r="952" ht="15.75" customHeight="true">
      <c r="G952" t="s" s="8"/>
    </row>
    <row r="953" ht="15.75" customHeight="true">
      <c r="G953" t="s" s="8"/>
    </row>
    <row r="954" ht="15.75" customHeight="true">
      <c r="G954" t="s" s="8"/>
    </row>
    <row r="955" ht="15.75" customHeight="true">
      <c r="G955" t="s" s="8"/>
    </row>
    <row r="956" ht="15.75" customHeight="true">
      <c r="G956" t="s" s="8"/>
    </row>
    <row r="957" ht="15.75" customHeight="true">
      <c r="G957" t="s" s="8"/>
    </row>
    <row r="958" ht="15.75" customHeight="true">
      <c r="G958" t="s" s="8"/>
    </row>
    <row r="959" ht="15.75" customHeight="true">
      <c r="G959" t="s" s="8"/>
    </row>
    <row r="960" ht="15.75" customHeight="true">
      <c r="G960" t="s" s="8"/>
    </row>
    <row r="961" ht="15.75" customHeight="true">
      <c r="G961" t="s" s="8"/>
    </row>
    <row r="962" ht="15.75" customHeight="true">
      <c r="G962" t="s" s="8"/>
    </row>
    <row r="963" ht="15.75" customHeight="true">
      <c r="G963" t="s" s="8"/>
    </row>
    <row r="964" ht="15.75" customHeight="true">
      <c r="G964" t="s" s="8"/>
    </row>
    <row r="965" ht="15.75" customHeight="true">
      <c r="G965" t="s" s="8"/>
    </row>
    <row r="966" ht="15.75" customHeight="true">
      <c r="G966" t="s" s="8"/>
    </row>
    <row r="967" ht="15.75" customHeight="true">
      <c r="G967" t="s" s="8"/>
    </row>
    <row r="968" ht="15.75" customHeight="true">
      <c r="G968" t="s" s="8"/>
    </row>
    <row r="969" ht="15.75" customHeight="true">
      <c r="G969" t="s" s="8"/>
    </row>
    <row r="970" ht="15.75" customHeight="true">
      <c r="G970" t="s" s="8"/>
    </row>
    <row r="971" ht="15.75" customHeight="true">
      <c r="G971" t="s" s="8"/>
    </row>
    <row r="972" ht="15.75" customHeight="true">
      <c r="G972" t="s" s="8"/>
    </row>
    <row r="973" ht="15.75" customHeight="true">
      <c r="G973" t="s" s="8"/>
    </row>
    <row r="974" ht="15.75" customHeight="true">
      <c r="G974" t="s" s="8"/>
    </row>
    <row r="975" ht="15.75" customHeight="true">
      <c r="G975" t="s" s="8"/>
    </row>
    <row r="976" ht="15.75" customHeight="true">
      <c r="G976" t="s" s="8"/>
    </row>
    <row r="977" ht="15.75" customHeight="true">
      <c r="G977" t="s" s="8"/>
    </row>
    <row r="978" ht="15.75" customHeight="true">
      <c r="G978" t="s" s="8"/>
    </row>
    <row r="979" ht="15.75" customHeight="true">
      <c r="G979" t="s" s="8"/>
    </row>
    <row r="980" ht="15.75" customHeight="true">
      <c r="G980" t="s" s="8"/>
    </row>
    <row r="981" ht="15.75" customHeight="true">
      <c r="G981" t="s" s="8"/>
    </row>
    <row r="982" ht="15.75" customHeight="true">
      <c r="G982" t="s" s="8"/>
    </row>
    <row r="983" ht="15.75" customHeight="true">
      <c r="G983" t="s" s="8"/>
    </row>
    <row r="984" ht="15.75" customHeight="true">
      <c r="G984" t="s" s="8"/>
    </row>
    <row r="985" ht="15.75" customHeight="true">
      <c r="G985" t="s" s="8"/>
    </row>
    <row r="986" ht="15.75" customHeight="true">
      <c r="G986" t="s" s="8"/>
    </row>
    <row r="987" ht="15.75" customHeight="true">
      <c r="G987" t="s" s="8"/>
    </row>
    <row r="988" ht="15.75" customHeight="true">
      <c r="G988" t="s" s="8"/>
    </row>
    <row r="989" ht="15.75" customHeight="true">
      <c r="G989" t="s" s="8"/>
    </row>
    <row r="990" ht="15.75" customHeight="true">
      <c r="G990" t="s" s="8"/>
    </row>
    <row r="991" ht="15.75" customHeight="true">
      <c r="G991" t="s" s="8"/>
    </row>
    <row r="992" ht="15.75" customHeight="true">
      <c r="G992" t="s" s="8"/>
    </row>
    <row r="993" ht="15.75" customHeight="true">
      <c r="G993" t="s" s="8"/>
    </row>
    <row r="994" ht="15.75" customHeight="true">
      <c r="G994" t="s" s="8"/>
    </row>
    <row r="995" ht="15.75" customHeight="true">
      <c r="G995" t="s" s="8"/>
    </row>
    <row r="996" ht="15.75" customHeight="true">
      <c r="G996" t="s" s="8"/>
    </row>
    <row r="997" ht="15.75" customHeight="true">
      <c r="G997" t="s" s="8"/>
    </row>
    <row r="998" ht="15.75" customHeight="true">
      <c r="G998" t="s" s="8"/>
    </row>
    <row r="999" ht="15.75" customHeight="true">
      <c r="G999" t="s" s="8"/>
    </row>
    <row r="1000" ht="15.75" customHeight="true">
      <c r="G1000" t="s" s="8"/>
    </row>
  </sheetData>
  <mergeCells count="1">
    <mergeCell ref="B1:F1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7</vt:i4>
      </vt:variant>
    </vt:vector>
  </HeadingPairs>
  <TitlesOfParts>
    <vt:vector size="7" baseType="lpstr">
      <vt:lpstr>PRICE LIST</vt:lpstr>
      <vt:lpstr>Sheet7</vt:lpstr>
      <vt:lpstr>Sheet1</vt:lpstr>
      <vt:lpstr>BIRJU PRESS PRINT</vt:lpstr>
      <vt:lpstr>BIRJU PAYMENT</vt:lpstr>
      <vt:lpstr>PRINT</vt:lpstr>
      <vt:lpstr>PAYMENT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2026-05-31T23:13:38Z</dcterms:created>
  <dcterms:modified xsi:type="dcterms:W3CDTF">2026-05-31T23:13:38Z</dcterms:modified>
</cp:coreProperties>
</file>