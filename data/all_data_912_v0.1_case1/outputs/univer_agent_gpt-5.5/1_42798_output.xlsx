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109074A-ADCD-49C8-8F5B-DBB1B6A7A37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/>
  <c r="E21" i="1"/>
  <c r="E14" i="1"/>
  <c r="E28" i="1"/>
  <c r="E9" i="1"/>
  <c r="E25" i="1"/>
  <c r="E22" i="1"/>
  <c r="L5" i="1"/>
  <c r="W5" i="1"/>
  <c r="V5" i="1"/>
  <c r="T5" i="1"/>
  <c r="AE5" i="1"/>
  <c r="AB5" i="1"/>
  <c r="M5" i="1"/>
  <c r="N5" i="1"/>
  <c r="AF5" i="1"/>
  <c r="AA5" i="1"/>
  <c r="J5" i="1"/>
  <c r="AD5" i="1"/>
  <c r="O5" i="1"/>
  <c r="R5" i="1"/>
  <c r="AK5" i="1"/>
  <c r="H5" i="1"/>
  <c r="AC5" i="1"/>
  <c r="AI5" i="1"/>
  <c r="Q5" i="1"/>
  <c r="K5" i="1"/>
  <c r="AJ5" i="1"/>
  <c r="P5" i="1"/>
  <c r="I5" i="1"/>
  <c r="AG5" i="1"/>
  <c r="S5" i="1"/>
  <c r="AH5" i="1"/>
  <c r="Z5" i="1"/>
  <c r="U5" i="1"/>
  <c r="Y5" i="1"/>
  <c r="X5" i="1"/>
  <c r="G5" i="1"/>
  <c r="E18" i="1"/>
  <c r="E16" i="1"/>
  <c r="E20" i="1"/>
  <c r="E29" i="1"/>
  <c r="E30" i="1"/>
  <c r="K4" i="1"/>
  <c r="X4" i="1"/>
  <c r="AF4" i="1"/>
  <c r="AE4" i="1"/>
  <c r="AG4" i="1"/>
  <c r="J4" i="1"/>
  <c r="AK4" i="1"/>
  <c r="Y4" i="1"/>
  <c r="T4" i="1"/>
  <c r="AC4" i="1"/>
  <c r="W4" i="1"/>
  <c r="AA4" i="1"/>
  <c r="O4" i="1"/>
  <c r="Z4" i="1"/>
  <c r="AJ4" i="1"/>
  <c r="R4" i="1"/>
  <c r="AI4" i="1"/>
  <c r="L4" i="1"/>
  <c r="M4" i="1"/>
  <c r="G4" i="1"/>
  <c r="AD4" i="1"/>
  <c r="I4" i="1"/>
  <c r="S4" i="1"/>
  <c r="AB4" i="1"/>
  <c r="Q4" i="1"/>
  <c r="N4" i="1"/>
  <c r="AH4" i="1"/>
  <c r="H4" i="1"/>
  <c r="U4" i="1"/>
  <c r="V4" i="1"/>
  <c r="P4" i="1"/>
  <c r="E8" i="1"/>
  <c r="E12" i="1"/>
  <c r="E17" i="1"/>
  <c r="E24" i="1"/>
  <c r="E6" i="1"/>
  <c r="E11" i="1"/>
  <c r="E15" i="1"/>
  <c r="E13" i="1"/>
  <c r="E23" i="1"/>
  <c r="E10" i="1"/>
  <c r="E7" i="1"/>
  <c r="E26" i="1"/>
  <c r="E27" i="1"/>
</calcChain>
</file>

<file path=xl/sharedStrings.xml><?xml version="1.0" encoding="utf-8"?>
<sst xmlns="http://schemas.openxmlformats.org/spreadsheetml/2006/main" count="112" uniqueCount="40">
  <si>
    <t>Previous</t>
  </si>
  <si>
    <t>Next</t>
  </si>
  <si>
    <t>Inspection</t>
  </si>
  <si>
    <t>Item No.</t>
  </si>
  <si>
    <t>Duration</t>
  </si>
  <si>
    <t>Date</t>
  </si>
  <si>
    <t>Mon</t>
  </si>
  <si>
    <t>Tue</t>
  </si>
  <si>
    <t>Wed</t>
  </si>
  <si>
    <t>Thu</t>
  </si>
  <si>
    <t>Fri</t>
  </si>
  <si>
    <t>Sat</t>
  </si>
  <si>
    <t>Sun</t>
  </si>
  <si>
    <t>LS001</t>
  </si>
  <si>
    <t>BW</t>
  </si>
  <si>
    <t>LS019</t>
  </si>
  <si>
    <t>LS008</t>
  </si>
  <si>
    <t>LS002</t>
  </si>
  <si>
    <t>LS011</t>
  </si>
  <si>
    <t>LS023</t>
  </si>
  <si>
    <t>LS005</t>
  </si>
  <si>
    <t>LS006</t>
  </si>
  <si>
    <t>LS022</t>
  </si>
  <si>
    <t>LS020</t>
  </si>
  <si>
    <t>LS004</t>
  </si>
  <si>
    <t>LS010</t>
  </si>
  <si>
    <t>LS003</t>
  </si>
  <si>
    <t>LS018</t>
  </si>
  <si>
    <t>LS009</t>
  </si>
  <si>
    <t>LS015</t>
  </si>
  <si>
    <t>LS024</t>
  </si>
  <si>
    <t>LS007</t>
  </si>
  <si>
    <t>LS014</t>
  </si>
  <si>
    <t>LS021</t>
  </si>
  <si>
    <t>LS013</t>
  </si>
  <si>
    <t>M</t>
  </si>
  <si>
    <t>LS012</t>
  </si>
  <si>
    <t>LS025</t>
  </si>
  <si>
    <t>LS016</t>
  </si>
  <si>
    <t>LS017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</si>
</sst>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mmm\ yyyy"/>
    <numFmt numFmtId="3" formatCode="dd"/>
    <numFmt numFmtId="4" formatCode="YYYY-M-D"/>
    <numFmt numFmtId="5" formatCode="General\ &quot;days&quot;"/>
    <numFmt numFmtId="6" formatCode="dd/mm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1" applyNumberFormat="1" fontId="1" applyFont="1" applyAlignment="1">
      <alignment horizontal="center"/>
    </xf>
    <xf numFmtId="2" applyNumberFormat="1" fontId="1" applyFont="1" borderId="1" applyBorder="1" applyAlignment="1">
      <alignment horizontal="center"/>
    </xf>
    <xf numFmtId="2" applyNumberFormat="1" fontId="1" applyFont="1" applyAlignment="1">
      <alignment/>
    </xf>
    <xf numFmtId="3" applyNumberFormat="1" fontId="1" applyFont="1" borderId="2" applyBorder="1" applyAlignment="1">
      <alignment vertical="center" horizontal="center"/>
    </xf>
    <xf numFmtId="1" applyNumberFormat="1" fontId="1" applyFont="1" applyAlignment="1">
      <alignment horizontal="center"/>
    </xf>
    <xf numFmtId="3" applyNumberFormat="1" fontId="1" applyFont="1" borderId="2" applyBorder="1" applyAlignment="1">
      <alignment vertical="center" horizontal="center"/>
    </xf>
    <xf numFmtId="4" applyNumberFormat="1" fontId="1" applyFont="1" borderId="2" applyBorder="1" applyAlignment="1">
      <alignment vertical="center" horizontal="center"/>
    </xf>
    <xf numFmtId="2" applyNumberFormat="1" fontId="1" applyFont="1" borderId="3" applyBorder="1" applyAlignment="1">
      <alignment horizontal="center"/>
    </xf>
    <xf numFmtId="4" applyNumberFormat="1" fontId="1" applyFont="1" borderId="2" applyBorder="1" applyAlignment="1">
      <alignment vertical="center" horizontal="center"/>
    </xf>
    <xf numFmtId="1" applyNumberFormat="1" fontId="1" applyFont="1" fillId="2" applyFill="1" borderId="2" applyBorder="1" applyAlignment="1">
      <alignment/>
    </xf>
    <xf numFmtId="2" applyNumberFormat="1" fontId="1" applyFont="1" borderId="4" applyBorder="1" applyAlignment="1">
      <alignment horizontal="center"/>
    </xf>
    <xf numFmtId="5" applyNumberFormat="1" fontId="1" applyFont="1" applyAlignment="1">
      <alignment horizontal="center"/>
    </xf>
    <xf numFmtId="6" applyNumberFormat="1" fontId="1" applyFont="1" applyAlignment="1">
      <alignment vertical="center" horizontal="center"/>
    </xf>
    <xf numFmtId="1" applyNumberFormat="1" fontId="1" applyFont="1" applyAlignment="1">
      <alignment/>
    </xf>
    <xf numFmtId="2" applyNumberFormat="1" fontId="1" applyFont="1" borderId="3" applyBorder="1" applyAlignment="1">
      <alignment horizontal="center"/>
    </xf>
    <xf numFmtId="6" applyNumberFormat="1" fontId="1" applyFont="1" applyAlignment="1">
      <alignment horizontal="center"/>
    </xf>
  </cellStyleXfs>
  <cellXfs count="17">
    <xf numFmtId="0" fontId="0" fillId="0" borderId="0" xfId="0"/>
    <xf xfId="1" quotePrefix="0" pivotButton="0" numFmtId="1" applyNumberFormat="1" fontId="1" applyFont="1" applyAlignment="1">
      <alignment horizontal="center"/>
    </xf>
    <xf xfId="11" quotePrefix="0" pivotButton="0" numFmtId="2" applyNumberFormat="1" fontId="1" applyFont="1" borderId="4" applyBorder="1" applyAlignment="1">
      <alignment horizontal="center"/>
    </xf>
    <xf xfId="15" quotePrefix="0" pivotButton="0" numFmtId="2" applyNumberFormat="1" fontId="1" applyFont="1" borderId="3" applyBorder="1" applyAlignment="1">
      <alignment horizontal="center"/>
    </xf>
    <xf xfId="8" quotePrefix="0" pivotButton="0" numFmtId="2" applyNumberFormat="1" fontId="1" applyFont="1" borderId="3" applyBorder="1" applyAlignment="1">
      <alignment horizontal="center"/>
    </xf>
    <xf xfId="2" quotePrefix="0" pivotButton="0" numFmtId="2" applyNumberFormat="1" fontId="1" applyFont="1" borderId="1" applyBorder="1" applyAlignment="1">
      <alignment horizontal="center"/>
    </xf>
    <xf xfId="3" quotePrefix="0" pivotButton="0" numFmtId="2" applyNumberFormat="1" fontId="1" applyFont="1" applyAlignment="1">
      <alignment/>
    </xf>
    <xf xfId="6" quotePrefix="0" pivotButton="0" numFmtId="3" applyNumberFormat="1" fontId="1" applyFont="1" borderId="2" applyBorder="1" applyAlignment="1">
      <alignment vertical="center" horizontal="center"/>
    </xf>
    <xf xfId="4" quotePrefix="0" pivotButton="0" numFmtId="3" applyNumberFormat="1" fontId="1" applyFont="1" borderId="2" applyBorder="1" applyAlignment="1">
      <alignment vertical="center" horizontal="center"/>
    </xf>
    <xf xfId="14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 horizontal="center"/>
    </xf>
    <xf xfId="7" quotePrefix="0" pivotButton="0" numFmtId="4" applyNumberFormat="1" fontId="1" applyFont="1" borderId="2" applyBorder="1" applyAlignment="1">
      <alignment vertical="center" horizontal="center"/>
    </xf>
    <xf xfId="9" quotePrefix="0" pivotButton="0" numFmtId="4" applyNumberFormat="1" fontId="1" applyFont="1" borderId="2" applyBorder="1" applyAlignment="1">
      <alignment vertical="center" horizontal="center"/>
    </xf>
    <xf xfId="12" quotePrefix="0" pivotButton="0" numFmtId="5" applyNumberFormat="1" fontId="1" applyFont="1" applyAlignment="1">
      <alignment horizontal="center"/>
    </xf>
    <xf xfId="13" quotePrefix="0" pivotButton="0" numFmtId="6" applyNumberFormat="1" fontId="1" applyFont="1" applyAlignment="1">
      <alignment vertical="center" horizontal="center"/>
    </xf>
    <xf xfId="16" quotePrefix="0" pivotButton="0" numFmtId="6" applyNumberFormat="1" fontId="1" applyFont="1" applyAlignment="1">
      <alignment horizontal="center"/>
    </xf>
    <xf xfId="10" quotePrefix="0" pivotButton="0" numFmtId="1" applyNumberFormat="1" fontId="1" applyFont="1" fillId="2" applyFill="1" borderId="2" applyBorder="1" applyAlignment="1">
      <alignment/>
    </xf>
  </cellXfs>
  <cellStyles count="1">
    <cellStyle name="normal" xfId="0" builtinId="0"/>
  </cellStyles>
  <dxfs count="13"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/>
      <alignment/>
    </dxf>
    <dxf>
      <font/>
      <fill>
        <patternFill>
          <bgColor rgb="FFfff2cc"/>
        </patternFill>
      </fill>
      <alignment/>
    </dxf>
    <dxf>
      <font/>
      <fill>
        <patternFill>
          <bgColor rgb="FFe2f0d9"/>
        </patternFill>
      </fill>
      <alignment/>
    </dxf>
    <dxf>
      <font/>
      <fill>
        <patternFill>
          <bgColor rgb="FFfbe5d6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/>
      <alignment/>
    </dxf>
    <dxf>
      <font/>
      <fill>
        <patternFill>
          <bgColor rgb="FFfff2cc"/>
        </patternFill>
      </fill>
      <alignment/>
    </dxf>
    <dxf>
      <font/>
      <fill>
        <patternFill>
          <bgColor rgb="FFe2f0d9"/>
        </patternFill>
      </fill>
      <alignment/>
    </dxf>
    <dxf>
      <font/>
      <fill>
        <patternFill>
          <bgColor rgb="FFfbe5d6"/>
        </patternFill>
      </fill>
      <alignment/>
    </dxf>
    <dxf>
      <font>
        <color rgb="FFFF0000"/>
        <family val="2"/>
        <rFont val="Arial"/>
      </font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2.33" customWidth="1" hidden="0"/>
    <col min="3" max="3" width="11.07" customWidth="1" hidden="0"/>
    <col min="4" max="4" width="12.76" customWidth="1" hidden="0"/>
    <col min="5" max="5" width="12.47" customWidth="1" hidden="0"/>
    <col min="6" max="6" width="8.97" customWidth="1" hidden="0"/>
    <col min="7" max="37" width="5.60" customWidth="1" hidden="0"/>
    <col min="38" max="40" width="4.62" customWidth="1" hidden="0"/>
  </cols>
  <sheetData>
    <row r="3" ht="14.00" customHeight="true">
      <c r="D3" t="s" s="1">
        <v>0</v>
      </c>
      <c r="E3" t="s" s="1">
        <v>1</v>
      </c>
      <c r="G3" s="2">
        <v>44774</v>
      </c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5"/>
      <c r="AL3" s="6"/>
    </row>
    <row r="4" ht="14.00" customHeight="true">
      <c r="D4" t="s" s="1">
        <v>2</v>
      </c>
      <c r="E4" t="s" s="1">
        <v>2</v>
      </c>
      <c r="G4" s="7">
        <f>G3</f>
        <v>44774</v>
      </c>
      <c r="H4" s="7">
        <f>G4+1</f>
        <v>44775</v>
      </c>
      <c r="I4" s="7">
        <f>H4+1</f>
        <v>44776</v>
      </c>
      <c r="J4" s="8">
        <f>I4+1</f>
        <v>44777</v>
      </c>
      <c r="K4" s="8">
        <f ref="K4:AK4" t="shared" si="0">J4+1</f>
        <v>44778</v>
      </c>
      <c r="L4" s="8">
        <f t="shared" si="0"/>
        <v>44779</v>
      </c>
      <c r="M4" s="8">
        <f t="shared" si="0"/>
        <v>44780</v>
      </c>
      <c r="N4" s="8">
        <f t="shared" si="0"/>
        <v>44781</v>
      </c>
      <c r="O4" s="8">
        <f t="shared" si="0"/>
        <v>44782</v>
      </c>
      <c r="P4" s="8">
        <f t="shared" si="0"/>
        <v>44783</v>
      </c>
      <c r="Q4" s="8">
        <f t="shared" si="0"/>
        <v>44784</v>
      </c>
      <c r="R4" s="8">
        <f t="shared" si="0"/>
        <v>44785</v>
      </c>
      <c r="S4" s="8">
        <f t="shared" si="0"/>
        <v>44786</v>
      </c>
      <c r="T4" s="8">
        <f t="shared" si="0"/>
        <v>44787</v>
      </c>
      <c r="U4" s="8">
        <f t="shared" si="0"/>
        <v>44788</v>
      </c>
      <c r="V4" s="8">
        <f t="shared" si="0"/>
        <v>44789</v>
      </c>
      <c r="W4" s="8">
        <f t="shared" si="0"/>
        <v>44790</v>
      </c>
      <c r="X4" s="8">
        <f t="shared" si="0"/>
        <v>44791</v>
      </c>
      <c r="Y4" s="8">
        <f t="shared" si="0"/>
        <v>44792</v>
      </c>
      <c r="Z4" s="8">
        <f t="shared" si="0"/>
        <v>44793</v>
      </c>
      <c r="AA4" s="8">
        <f t="shared" si="0"/>
        <v>44794</v>
      </c>
      <c r="AB4" s="8">
        <f t="shared" si="0"/>
        <v>44795</v>
      </c>
      <c r="AC4" s="8">
        <f t="shared" si="0"/>
        <v>44796</v>
      </c>
      <c r="AD4" s="8">
        <f t="shared" si="0"/>
        <v>44797</v>
      </c>
      <c r="AE4" s="8">
        <f t="shared" si="0"/>
        <v>44798</v>
      </c>
      <c r="AF4" s="8">
        <f t="shared" si="0"/>
        <v>44799</v>
      </c>
      <c r="AG4" s="8">
        <f t="shared" si="0"/>
        <v>44800</v>
      </c>
      <c r="AH4" s="8">
        <f t="shared" si="0"/>
        <v>44801</v>
      </c>
      <c r="AI4" s="8">
        <f t="shared" si="0"/>
        <v>44802</v>
      </c>
      <c r="AJ4" s="8">
        <f t="shared" si="0"/>
        <v>44803</v>
      </c>
      <c r="AK4" s="8">
        <f t="shared" si="0"/>
        <v>44804</v>
      </c>
    </row>
    <row r="5" ht="14.00" customHeight="true">
      <c r="A5" t="s" s="9">
        <v>3</v>
      </c>
      <c r="B5" t="s" s="9">
        <v>4</v>
      </c>
      <c r="D5" t="s" s="10">
        <v>5</v>
      </c>
      <c r="E5" t="s" s="10">
        <v>5</v>
      </c>
      <c r="G5" s="11" t="s">
        <f>TEXT(G4,"ddd")</f>
        <v>6</v>
      </c>
      <c r="H5" s="12" t="s">
        <f>TEXT(H4,"ddd")</f>
        <v>7</v>
      </c>
      <c r="I5" s="12" t="s">
        <f>TEXT(I4,"ddd")</f>
        <v>8</v>
      </c>
      <c r="J5" s="12" t="s">
        <f ref="J5:AK5" t="shared" si="2">TEXT(J4,"ddd")</f>
        <v>9</v>
      </c>
      <c r="K5" s="12" t="s">
        <f t="shared" si="2"/>
        <v>10</v>
      </c>
      <c r="L5" s="12" t="s">
        <f t="shared" si="2"/>
        <v>11</v>
      </c>
      <c r="M5" s="12" t="s">
        <f t="shared" si="2"/>
        <v>12</v>
      </c>
      <c r="N5" s="12" t="s">
        <f t="shared" si="2"/>
        <v>6</v>
      </c>
      <c r="O5" s="12" t="s">
        <f t="shared" si="2"/>
        <v>7</v>
      </c>
      <c r="P5" s="12" t="s">
        <f t="shared" si="2"/>
        <v>8</v>
      </c>
      <c r="Q5" s="12" t="s">
        <f t="shared" si="2"/>
        <v>9</v>
      </c>
      <c r="R5" s="12" t="s">
        <f t="shared" si="2"/>
        <v>10</v>
      </c>
      <c r="S5" s="12" t="s">
        <f t="shared" si="2"/>
        <v>11</v>
      </c>
      <c r="T5" s="12" t="s">
        <f t="shared" si="2"/>
        <v>12</v>
      </c>
      <c r="U5" s="12" t="s">
        <f t="shared" si="2"/>
        <v>6</v>
      </c>
      <c r="V5" s="12" t="s">
        <f t="shared" si="2"/>
        <v>7</v>
      </c>
      <c r="W5" s="12" t="s">
        <f t="shared" si="2"/>
        <v>8</v>
      </c>
      <c r="X5" s="12" t="s">
        <f t="shared" si="2"/>
        <v>9</v>
      </c>
      <c r="Y5" s="12" t="s">
        <f t="shared" si="2"/>
        <v>10</v>
      </c>
      <c r="Z5" s="12" t="s">
        <f t="shared" si="2"/>
        <v>11</v>
      </c>
      <c r="AA5" s="12" t="s">
        <f t="shared" si="2"/>
        <v>12</v>
      </c>
      <c r="AB5" s="12" t="s">
        <f t="shared" si="2"/>
        <v>6</v>
      </c>
      <c r="AC5" s="12" t="s">
        <f t="shared" si="2"/>
        <v>7</v>
      </c>
      <c r="AD5" s="12" t="s">
        <f t="shared" si="2"/>
        <v>8</v>
      </c>
      <c r="AE5" s="12" t="s">
        <f t="shared" si="2"/>
        <v>9</v>
      </c>
      <c r="AF5" s="12" t="s">
        <f t="shared" si="2"/>
        <v>10</v>
      </c>
      <c r="AG5" s="12" t="s">
        <f t="shared" si="2"/>
        <v>11</v>
      </c>
      <c r="AH5" s="12" t="s">
        <f t="shared" si="2"/>
        <v>12</v>
      </c>
      <c r="AI5" s="12" t="s">
        <f t="shared" si="2"/>
        <v>6</v>
      </c>
      <c r="AJ5" s="12" t="s">
        <f t="shared" si="2"/>
        <v>7</v>
      </c>
      <c r="AK5" s="12" t="s">
        <f t="shared" si="2"/>
        <v>8</v>
      </c>
    </row>
    <row r="6" ht="14.00" customHeight="true">
      <c r="A6" t="s" s="9">
        <v>13</v>
      </c>
      <c r="B6" t="s" s="9">
        <v>14</v>
      </c>
      <c r="C6" s="13">
        <v>14</v>
      </c>
      <c r="D6" s="14">
        <v>44782</v>
      </c>
      <c r="E6" s="15">
        <f>D6+C6</f>
        <v>44796</v>
      </c>
      <c r="G6" t="s" s="16">
        <v>15</v>
      </c>
      <c r="H6" s="16"/>
      <c r="I6" t="s" s="16">
        <v>16</v>
      </c>
      <c r="J6" s="16"/>
      <c r="K6" s="16"/>
      <c r="L6" s="16"/>
      <c r="M6" s="16"/>
      <c r="N6" t="s" s="16">
        <v>17</v>
      </c>
      <c r="O6" s="16"/>
      <c r="P6" s="16"/>
      <c r="Q6" s="16"/>
      <c r="R6" s="16"/>
      <c r="S6" s="16"/>
      <c r="T6" s="16"/>
      <c r="U6" t="s" s="16">
        <v>18</v>
      </c>
      <c r="V6" t="s" s="16">
        <v>19</v>
      </c>
      <c r="W6" t="s" s="16">
        <v>20</v>
      </c>
      <c r="X6" s="16"/>
      <c r="Y6" s="16"/>
      <c r="Z6" t="s" s="16">
        <v>21</v>
      </c>
      <c r="AA6" s="16"/>
      <c r="AB6" t="s" s="16">
        <v>22</v>
      </c>
      <c r="AC6" t="s" s="16">
        <v>13</v>
      </c>
      <c r="AD6" t="s" s="16">
        <v>23</v>
      </c>
      <c r="AE6" s="16"/>
      <c r="AF6" s="16"/>
      <c r="AG6" s="16"/>
      <c r="AH6" s="16"/>
      <c r="AI6" t="s" s="16">
        <v>24</v>
      </c>
      <c r="AJ6" t="s" s="16">
        <v>25</v>
      </c>
      <c r="AK6" t="s" s="16">
        <v>26</v>
      </c>
    </row>
    <row r="7" ht="14.00" customHeight="true">
      <c r="A7" t="s" s="9">
        <v>17</v>
      </c>
      <c r="B7" t="s" s="9">
        <v>14</v>
      </c>
      <c r="C7" s="13">
        <v>14</v>
      </c>
      <c r="D7" s="14">
        <v>44767</v>
      </c>
      <c r="E7" s="15">
        <f>D7+C7</f>
        <v>44781</v>
      </c>
      <c r="G7" s="16"/>
      <c r="H7" s="16"/>
      <c r="I7" t="s" s="16">
        <v>27</v>
      </c>
      <c r="J7" s="16"/>
      <c r="K7" s="16"/>
      <c r="L7" s="16"/>
      <c r="M7" s="16"/>
      <c r="N7" t="s" s="16">
        <v>28</v>
      </c>
      <c r="O7" s="16"/>
      <c r="P7" s="16"/>
      <c r="Q7" s="16"/>
      <c r="R7" s="16"/>
      <c r="S7" s="16"/>
      <c r="T7" s="16"/>
      <c r="U7" t="s" s="16">
        <v>29</v>
      </c>
      <c r="V7" t="s" s="16">
        <v>30</v>
      </c>
      <c r="W7" t="s" s="16">
        <v>31</v>
      </c>
      <c r="X7" s="16"/>
      <c r="Y7" s="16"/>
      <c r="Z7" t="s" s="16">
        <v>32</v>
      </c>
      <c r="AA7" s="16"/>
      <c r="AB7" s="16"/>
      <c r="AC7" s="16"/>
      <c r="AD7" t="s" s="16">
        <v>33</v>
      </c>
      <c r="AE7" s="16"/>
      <c r="AF7" s="16"/>
      <c r="AG7" s="16"/>
      <c r="AH7" s="16"/>
      <c r="AI7" s="16"/>
      <c r="AJ7" t="s" s="16">
        <v>34</v>
      </c>
      <c r="AK7" s="16"/>
    </row>
    <row r="8" ht="14.00" customHeight="true">
      <c r="A8" t="s" s="9">
        <v>26</v>
      </c>
      <c r="B8" t="s" s="9">
        <v>35</v>
      </c>
      <c r="C8" s="13">
        <v>28</v>
      </c>
      <c r="D8" s="14">
        <v>44776</v>
      </c>
      <c r="E8" s="15">
        <f>D8+C8</f>
        <v>44804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t="s" s="16">
        <v>36</v>
      </c>
      <c r="X8" s="16"/>
      <c r="Y8" s="16"/>
      <c r="Z8" s="16"/>
      <c r="AA8" s="16"/>
      <c r="AB8" s="16"/>
      <c r="AC8" s="16"/>
      <c r="AD8" t="s" s="16">
        <v>37</v>
      </c>
      <c r="AE8" s="16"/>
      <c r="AF8" s="16"/>
      <c r="AG8" s="16"/>
      <c r="AH8" s="16"/>
      <c r="AI8" s="16"/>
      <c r="AJ8" s="16"/>
      <c r="AK8" s="16"/>
    </row>
    <row r="9" ht="14.00" customHeight="true">
      <c r="A9" t="s" s="9">
        <v>24</v>
      </c>
      <c r="B9" t="s" s="9">
        <v>35</v>
      </c>
      <c r="C9" s="13">
        <v>28</v>
      </c>
      <c r="D9" s="14">
        <v>44774</v>
      </c>
      <c r="E9" s="15">
        <f ref="E9:E30" t="shared" si="1">D9+C9</f>
        <v>44802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ht="14.00" customHeight="true">
      <c r="A10" t="s" s="9">
        <v>20</v>
      </c>
      <c r="B10" t="s" s="9">
        <v>35</v>
      </c>
      <c r="C10" s="13">
        <v>28</v>
      </c>
      <c r="D10" s="14">
        <v>44762</v>
      </c>
      <c r="E10" s="15">
        <f t="shared" si="1"/>
        <v>44790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ht="14.00" customHeight="true">
      <c r="A11" t="s" s="9">
        <v>21</v>
      </c>
      <c r="B11" t="s" s="9">
        <v>35</v>
      </c>
      <c r="C11" s="13">
        <v>28</v>
      </c>
      <c r="D11" s="14">
        <v>44765</v>
      </c>
      <c r="E11" s="15">
        <f t="shared" si="1"/>
        <v>44793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ht="14.00" customHeight="true">
      <c r="A12" t="s" s="9">
        <v>31</v>
      </c>
      <c r="B12" t="s" s="9">
        <v>35</v>
      </c>
      <c r="C12" s="13">
        <v>28</v>
      </c>
      <c r="D12" s="14">
        <v>44762</v>
      </c>
      <c r="E12" s="15">
        <f t="shared" si="1"/>
        <v>44790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ht="14.00" customHeight="true">
      <c r="A13" t="s" s="9">
        <v>16</v>
      </c>
      <c r="B13" t="s" s="9">
        <v>14</v>
      </c>
      <c r="C13" s="13">
        <v>14</v>
      </c>
      <c r="D13" s="14">
        <v>44762</v>
      </c>
      <c r="E13" s="15">
        <f t="shared" si="1"/>
        <v>44776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ht="14.00" customHeight="true">
      <c r="A14" t="s" s="9">
        <v>28</v>
      </c>
      <c r="B14" t="s" s="9">
        <v>14</v>
      </c>
      <c r="C14" s="13">
        <v>14</v>
      </c>
      <c r="D14" s="14">
        <v>44767</v>
      </c>
      <c r="E14" s="15">
        <f t="shared" si="1"/>
        <v>44781</v>
      </c>
    </row>
    <row r="15" ht="14.00" customHeight="true">
      <c r="A15" t="s" s="9">
        <v>25</v>
      </c>
      <c r="B15" t="s" s="9">
        <v>35</v>
      </c>
      <c r="C15" s="13">
        <v>28</v>
      </c>
      <c r="D15" s="14">
        <v>44775</v>
      </c>
      <c r="E15" s="15">
        <f t="shared" si="1"/>
        <v>44803</v>
      </c>
    </row>
    <row r="16" ht="14.00" customHeight="true">
      <c r="A16" t="s" s="9">
        <v>18</v>
      </c>
      <c r="B16" t="s" s="9">
        <v>35</v>
      </c>
      <c r="C16" s="13">
        <v>28</v>
      </c>
      <c r="D16" s="14">
        <v>44760</v>
      </c>
      <c r="E16" s="15">
        <f t="shared" si="1"/>
        <v>44788</v>
      </c>
    </row>
    <row r="17" ht="14.00" customHeight="true">
      <c r="A17" t="s" s="9">
        <v>36</v>
      </c>
      <c r="B17" t="s" s="9">
        <v>35</v>
      </c>
      <c r="C17" s="13">
        <v>28</v>
      </c>
      <c r="D17" s="14">
        <v>44762</v>
      </c>
      <c r="E17" s="15">
        <f t="shared" si="1"/>
        <v>44790</v>
      </c>
    </row>
    <row r="18" ht="14.00" customHeight="true">
      <c r="A18" t="s" s="9">
        <v>34</v>
      </c>
      <c r="B18" t="s" s="9">
        <v>35</v>
      </c>
      <c r="C18" s="13">
        <v>28</v>
      </c>
      <c r="D18" s="14">
        <v>44775</v>
      </c>
      <c r="E18" s="15">
        <f t="shared" si="1"/>
        <v>44803</v>
      </c>
    </row>
    <row r="19" ht="14.00" customHeight="true">
      <c r="A19" t="s" s="9">
        <v>32</v>
      </c>
      <c r="B19" t="s" s="9">
        <v>35</v>
      </c>
      <c r="C19" s="13">
        <v>28</v>
      </c>
      <c r="D19" s="14">
        <v>44765</v>
      </c>
      <c r="E19" s="15">
        <f t="shared" si="1"/>
        <v>44793</v>
      </c>
    </row>
    <row r="20" ht="14.00" customHeight="true">
      <c r="A20" t="s" s="9">
        <v>29</v>
      </c>
      <c r="B20" t="s" s="9">
        <v>35</v>
      </c>
      <c r="C20" s="13">
        <v>28</v>
      </c>
      <c r="D20" s="14">
        <v>44760</v>
      </c>
      <c r="E20" s="15">
        <f t="shared" si="1"/>
        <v>44788</v>
      </c>
    </row>
    <row r="21" ht="14.00" customHeight="true">
      <c r="A21" t="s" s="9">
        <v>38</v>
      </c>
      <c r="B21" t="s" s="9">
        <v>14</v>
      </c>
      <c r="C21" s="13">
        <v>14</v>
      </c>
      <c r="D21" s="14">
        <v>44755</v>
      </c>
      <c r="E21" s="15">
        <f t="shared" si="1"/>
        <v>44769</v>
      </c>
    </row>
    <row r="22" ht="14.00" customHeight="true">
      <c r="A22" t="s" s="9">
        <v>39</v>
      </c>
      <c r="B22" t="s" s="9">
        <v>14</v>
      </c>
      <c r="C22" s="13">
        <v>14</v>
      </c>
      <c r="D22" s="14">
        <v>44755</v>
      </c>
      <c r="E22" s="15">
        <f t="shared" si="1"/>
        <v>44769</v>
      </c>
    </row>
    <row r="23" ht="14.00" customHeight="true">
      <c r="A23" t="s" s="9">
        <v>27</v>
      </c>
      <c r="B23" t="s" s="9">
        <v>14</v>
      </c>
      <c r="C23" s="13">
        <v>14</v>
      </c>
      <c r="D23" s="14">
        <v>44762</v>
      </c>
      <c r="E23" s="15">
        <f t="shared" si="1"/>
        <v>44776</v>
      </c>
    </row>
    <row r="24" ht="14.00" customHeight="true">
      <c r="A24" t="s" s="9">
        <v>15</v>
      </c>
      <c r="B24" t="s" s="9">
        <v>14</v>
      </c>
      <c r="C24" s="13">
        <v>14</v>
      </c>
      <c r="D24" s="14">
        <v>44760</v>
      </c>
      <c r="E24" s="15">
        <f t="shared" si="1"/>
        <v>44774</v>
      </c>
    </row>
    <row r="25" ht="14.00" customHeight="true">
      <c r="A25" t="s" s="9">
        <v>23</v>
      </c>
      <c r="B25" t="s" s="9">
        <v>35</v>
      </c>
      <c r="C25" s="13">
        <v>28</v>
      </c>
      <c r="D25" s="14">
        <v>44769</v>
      </c>
      <c r="E25" s="15">
        <f t="shared" si="1"/>
        <v>44797</v>
      </c>
    </row>
    <row r="26" ht="14.00" customHeight="true">
      <c r="A26" t="s" s="9">
        <v>33</v>
      </c>
      <c r="B26" t="s" s="9">
        <v>35</v>
      </c>
      <c r="C26" s="13">
        <v>28</v>
      </c>
      <c r="D26" s="14">
        <v>44769</v>
      </c>
      <c r="E26" s="15">
        <f t="shared" si="1"/>
        <v>44797</v>
      </c>
    </row>
    <row r="27" ht="14.00" customHeight="true">
      <c r="A27" t="s" s="9">
        <v>22</v>
      </c>
      <c r="B27" t="s" s="9">
        <v>35</v>
      </c>
      <c r="C27" s="13">
        <v>28</v>
      </c>
      <c r="D27" s="14">
        <v>44767</v>
      </c>
      <c r="E27" s="15">
        <f t="shared" si="1"/>
        <v>44795</v>
      </c>
    </row>
    <row r="28" ht="14.00" customHeight="true">
      <c r="A28" t="s" s="9">
        <v>19</v>
      </c>
      <c r="B28" t="s" s="9">
        <v>14</v>
      </c>
      <c r="C28" s="13">
        <v>14</v>
      </c>
      <c r="D28" s="14">
        <v>44775</v>
      </c>
      <c r="E28" s="15">
        <f t="shared" si="1"/>
        <v>44789</v>
      </c>
    </row>
    <row r="29" ht="14.00" customHeight="true">
      <c r="A29" t="s" s="9">
        <v>30</v>
      </c>
      <c r="B29" t="s" s="9">
        <v>14</v>
      </c>
      <c r="C29" s="13">
        <v>14</v>
      </c>
      <c r="D29" s="14">
        <v>44775</v>
      </c>
      <c r="E29" s="15">
        <f t="shared" si="1"/>
        <v>44789</v>
      </c>
    </row>
    <row r="30" ht="14.00" customHeight="true">
      <c r="A30" t="s" s="9">
        <v>37</v>
      </c>
      <c r="B30" t="s" s="9">
        <v>14</v>
      </c>
      <c r="C30" s="13">
        <v>14</v>
      </c>
      <c r="D30" s="14">
        <v>44783</v>
      </c>
      <c r="E30" s="15">
        <f t="shared" si="1"/>
        <v>44797</v>
      </c>
    </row>
  </sheetData>
  <mergeCells count="1">
    <mergeCell ref="G3:AK3"/>
  </mergeCells>
  <phoneticPr fontId="0" type="noConversion"/>
  <conditionalFormatting sqref="G30:H30">
    <cfRule priority="1" type="expression" dxfId="0">
      <formula>WEEKDAY(G$4)=1</formula>
    </cfRule>
  </conditionalFormatting>
  <conditionalFormatting sqref="G30:H30">
    <cfRule priority="2" type="expression" dxfId="1">
      <formula>OR(AND(#REF!="A",G$5="Sun"),AND(#REF!="B",G$5="Sat"))</formula>
    </cfRule>
  </conditionalFormatting>
  <conditionalFormatting sqref="G30:H30">
    <cfRule priority="3" type="cellIs" dxfId="2" operator="equal">
      <formula>"CL"</formula>
    </cfRule>
  </conditionalFormatting>
  <conditionalFormatting sqref="G30:H30">
    <cfRule priority="4" type="cellIs" dxfId="3" operator="equal">
      <formula>"SL"</formula>
    </cfRule>
  </conditionalFormatting>
  <conditionalFormatting sqref="G30:H30">
    <cfRule priority="5" type="cellIs" dxfId="4" operator="equal">
      <formula>"AL"</formula>
    </cfRule>
  </conditionalFormatting>
  <conditionalFormatting sqref="G28:H29">
    <cfRule priority="6" type="expression" dxfId="5">
      <formula>WEEKDAY(G$4)=1</formula>
    </cfRule>
  </conditionalFormatting>
  <conditionalFormatting sqref="G28:H29">
    <cfRule priority="7" type="expression" dxfId="6">
      <formula>OR(AND(#REF!="A",G$5="Sun"),AND(#REF!="B",G$5="Sat"))</formula>
    </cfRule>
  </conditionalFormatting>
  <conditionalFormatting sqref="G28:H29">
    <cfRule priority="8" type="cellIs" dxfId="7" operator="equal">
      <formula>"CL"</formula>
    </cfRule>
  </conditionalFormatting>
  <conditionalFormatting sqref="G28:H29">
    <cfRule priority="9" type="cellIs" dxfId="8" operator="equal">
      <formula>"SL"</formula>
    </cfRule>
  </conditionalFormatting>
  <conditionalFormatting sqref="G28:H29">
    <cfRule priority="10" type="cellIs" dxfId="9" operator="equal">
      <formula>"AL"</formula>
    </cfRule>
  </conditionalFormatting>
  <conditionalFormatting sqref="G5:AK5">
    <cfRule priority="11" type="cellIs" dxfId="10" operator="equal">
      <formula>"週日"</formula>
    </cfRule>
  </conditionalFormatting>
  <conditionalFormatting sqref="G4:AK5">
    <cfRule priority="12" type="expression" dxfId="11">
      <formula>WEEKDAY(G$4)=1</formula>
    </cfRule>
  </conditionalFormatting>
  <conditionalFormatting sqref="G5:AK5">
    <cfRule priority="13" type="cellIs" dxfId="12" operator="equal">
      <formula>"Sun"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2026-06-01T01:01:10Z</dcterms:created>
  <dcterms:modified xsi:type="dcterms:W3CDTF">2026-06-01T01:01:10Z</dcterms:modified>
</cp:coreProperties>
</file>