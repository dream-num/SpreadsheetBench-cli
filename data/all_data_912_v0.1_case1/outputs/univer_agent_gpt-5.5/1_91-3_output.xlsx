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67C6521-2718-4B68-B3CE-5EC7B22F3FF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ALI" sheetId="1" r:id="rId1"/>
    <sheet name="AHMED" sheetId="2" r:id="rId2"/>
    <sheet name="OMRAAN" sheetId="3" r:id="rId3"/>
    <sheet name="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"/>
  <c r="C5" i="4"/>
  <c r="F5" i="4"/>
  <c r="K5" i="4"/>
  <c r="E5" i="4"/>
  <c r="G5" i="4"/>
  <c r="I5" i="4"/>
  <c r="B5" i="4"/>
  <c r="H5" i="4"/>
  <c r="D5" i="4"/>
  <c r="J3" i="4"/>
  <c r="I3" i="4"/>
  <c r="K3" i="4"/>
  <c r="J2" i="4"/>
  <c r="I2" i="4"/>
  <c r="K2" i="4"/>
  <c r="K4" i="4"/>
  <c r="I4" i="4"/>
  <c r="J4" i="4"/>
  <c r="E6" i="1"/>
  <c r="E10" i="1"/>
  <c r="E4" i="1"/>
  <c r="E7" i="1"/>
  <c r="E12" i="1"/>
  <c r="E9" i="1"/>
  <c r="E11" i="1"/>
  <c r="E8" i="1"/>
  <c r="E3" i="1"/>
  <c r="E5" i="1"/>
  <c r="E3" i="2"/>
  <c r="F3" i="2"/>
  <c r="E8" i="2"/>
  <c r="E9" i="2"/>
  <c r="E10" i="2"/>
  <c r="F4" i="2"/>
  <c r="E4" i="2"/>
  <c r="E6" i="2"/>
  <c r="E11" i="2"/>
  <c r="E12" i="2"/>
  <c r="E7" i="2"/>
  <c r="E5" i="2"/>
  <c r="E10" i="3"/>
  <c r="E6" i="3"/>
  <c r="F6" i="3"/>
  <c r="E7" i="3"/>
  <c r="E11" i="3"/>
  <c r="E3" i="3"/>
  <c r="F3" i="3"/>
  <c r="E5" i="3"/>
  <c r="E4" i="3"/>
  <c r="E9" i="3"/>
  <c r="E8" i="3"/>
  <c r="E12" i="3"/>
</calcChain>
</file>

<file path=xl/sharedStrings.xml><?xml version="1.0" encoding="utf-8"?>
<sst xmlns="http://schemas.openxmlformats.org/spreadsheetml/2006/main" count="63" uniqueCount="19">
  <si>
    <t>DATE</t>
  </si>
  <si>
    <t>ACCOUNT NAME</t>
  </si>
  <si>
    <t>DEBIT </t>
  </si>
  <si>
    <t>CRIDIT</t>
  </si>
  <si>
    <t>BALANCE</t>
  </si>
  <si>
    <t>TRANSFERRING BALANCE</t>
  </si>
  <si>
    <t>PURCHASE </t>
  </si>
  <si>
    <t>CASH PR </t>
  </si>
  <si>
    <t>SALES</t>
  </si>
  <si>
    <t>CASH DM</t>
  </si>
  <si>
    <t>STOCK</t>
  </si>
  <si>
    <t>EXEPENSE  PR</t>
  </si>
  <si>
    <t>SHEETS NAMES</t>
  </si>
  <si>
    <t>DEBIT TOTAL</t>
  </si>
  <si>
    <t>CRIDIT TOTAL</t>
  </si>
  <si>
    <t>ALI</t>
  </si>
  <si>
    <t>AHMED</t>
  </si>
  <si>
    <t>OMRAAN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</si>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</sst>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#,##0.00"/>
    <numFmt numFmtId="3" formatCode="YYYY-M-D"/>
  </numFmts>
  <fonts count="6">
    <font>
      <sz val="11"/>
      <color theme="1"/>
      <name val="Arial"/>
      <family val="2"/>
      <scheme val="minor"/>
    </font>
    <font>
      <name val="宋体"/>
      <sz val="11.00"/>
      <b/>
      <color rgb="FFFFFFFF"/>
      <family val="2"/>
    </font>
    <font>
      <name val="宋体"/>
      <sz val="11.00"/>
      <color rgb="FF000000"/>
      <family val="2"/>
    </font>
    <font>
      <name val="宋体"/>
      <sz val="11.00"/>
      <family val="2"/>
    </font>
    <font>
      <name val="宋体"/>
      <sz val="11.00"/>
      <b/>
      <family val="2"/>
    </font>
    <font>
      <name val="宋体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3b3838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2">
    <xf numFmtId="0" fontId="0" fillId="0" borderId="0"/>
    <xf numFmtId="1" applyNumberFormat="1" fontId="1" applyFont="1" fillId="2" applyFill="1" borderId="1" applyBorder="1" applyAlignment="1">
      <alignment horizontal="center"/>
    </xf>
    <xf numFmtId="2" applyNumberFormat="1" fontId="2" applyFont="1" borderId="2" applyBorder="1" applyAlignment="1">
      <alignment/>
    </xf>
    <xf numFmtId="2" applyNumberFormat="1" fontId="3" applyFont="1" applyAlignment="1">
      <alignment horizontal="center"/>
    </xf>
    <xf fontId="4" applyFont="1" applyAlignment="1">
      <alignment horizontal="center"/>
    </xf>
    <xf numFmtId="1" applyNumberFormat="1" fontId="2" applyFont="1" borderId="2" applyBorder="1" applyAlignment="1">
      <alignment/>
    </xf>
    <xf numFmtId="1" applyNumberFormat="1" fontId="1" applyFont="1" fillId="3" applyFill="1" borderId="2" applyBorder="1" applyAlignment="1">
      <alignment horizontal="center"/>
    </xf>
    <xf numFmtId="3" applyNumberFormat="1" fontId="2" applyFont="1" borderId="2" applyBorder="1" applyAlignment="1">
      <alignment horizontal="center"/>
    </xf>
    <xf fontId="5" applyFont="1" applyAlignment="1">
      <alignment horizontal="center"/>
    </xf>
    <xf numFmtId="2" applyNumberFormat="1" fontId="5" applyFont="1" applyAlignment="1">
      <alignment horizontal="center"/>
    </xf>
    <xf numFmtId="2" applyNumberFormat="1" fontId="2" applyFont="1" applyAlignment="1">
      <alignment/>
    </xf>
    <xf numFmtId="1" applyNumberFormat="1" fontId="2" applyFont="1" borderId="2" applyBorder="1" applyAlignment="1">
      <alignment horizontal="center"/>
    </xf>
    <xf applyAlignment="1">
      <alignment horizontal="center"/>
    </xf>
    <xf numFmtId="2" applyNumberFormat="1" applyAlignment="1">
      <alignment horizontal="center"/>
    </xf>
    <xf numFmtId="1" applyNumberFormat="1" fontId="1" applyFont="1" fillId="2" applyFill="1" applyAlignment="1">
      <alignment horizontal="center"/>
    </xf>
    <xf numFmtId="2" applyNumberFormat="1"/>
    <xf applyAlignment="1">
      <alignment horizontal="center"/>
    </xf>
    <xf numFmtId="2" applyNumberFormat="1" applyAlignment="1">
      <alignment horizontal="center"/>
    </xf>
    <xf fontId="3" applyFont="1" applyAlignment="1">
      <alignment horizontal="center"/>
    </xf>
    <xf numFmtId="1" applyNumberFormat="1" fontId="2" applyFont="1" applyAlignment="1">
      <alignment/>
    </xf>
    <xf numFmtId="1" applyNumberFormat="1" fontId="1" applyFont="1" fillId="2" applyFill="1" borderId="2" applyBorder="1" applyAlignment="1">
      <alignment horizontal="center"/>
    </xf>
    <xf numFmtId="2" applyNumberFormat="1" fontId="2" applyFont="1" borderId="2" applyBorder="1" applyAlignment="1">
      <alignment horizontal="center"/>
    </xf>
  </cellStyleXfs>
  <cellXfs count="14">
    <xf numFmtId="0" fontId="0" fillId="0" borderId="0" xfId="0"/>
    <xf xfId="6" quotePrefix="0" pivotButton="0" numFmtId="1" applyNumberFormat="1" fontId="1" applyFont="1" fillId="3" applyFill="1" borderId="2" applyBorder="1" applyAlignment="1">
      <alignment horizontal="center"/>
    </xf>
    <xf xfId="7" quotePrefix="0" pivotButton="0" numFmtId="3" applyNumberFormat="1" fontId="2" applyFont="1" borderId="2" applyBorder="1" applyAlignment="1">
      <alignment horizontal="center"/>
    </xf>
    <xf xfId="11" quotePrefix="0" pivotButton="0" numFmtId="1" applyNumberFormat="1" fontId="2" applyFont="1" borderId="2" applyBorder="1" applyAlignment="1">
      <alignment horizontal="center"/>
    </xf>
    <xf xfId="21" quotePrefix="0" pivotButton="0" numFmtId="2" applyNumberFormat="1" fontId="2" applyFont="1" borderId="2" applyBorder="1" applyAlignment="1">
      <alignment horizontal="center"/>
    </xf>
    <xf xfId="10" quotePrefix="0" pivotButton="0" numFmtId="2" applyNumberFormat="1" fontId="2" applyFont="1" applyAlignment="1">
      <alignment/>
    </xf>
    <xf xfId="5" quotePrefix="0" pivotButton="0" numFmtId="1" applyNumberFormat="1" fontId="2" applyFont="1" borderId="2" applyBorder="1" applyAlignment="1">
      <alignment/>
    </xf>
    <xf xfId="19" quotePrefix="0" pivotButton="0" numFmtId="1" applyNumberFormat="1" fontId="2" applyFont="1" applyAlignment="1">
      <alignment/>
    </xf>
    <xf xfId="2" quotePrefix="0" pivotButton="0" numFmtId="2" applyNumberFormat="1" fontId="2" applyFont="1" borderId="2" applyBorder="1" applyAlignment="1">
      <alignment/>
    </xf>
    <xf xfId="14" quotePrefix="0" pivotButton="0" numFmtId="1" applyNumberFormat="1" fontId="1" applyFont="1" fillId="2" applyFill="1" applyAlignment="1">
      <alignment horizontal="center"/>
    </xf>
    <xf xfId="1" quotePrefix="0" pivotButton="0" numFmtId="1" applyNumberFormat="1" fontId="1" applyFont="1" fillId="2" applyFill="1" borderId="1" applyBorder="1" applyAlignment="1">
      <alignment horizontal="center"/>
    </xf>
    <xf xfId="20" quotePrefix="0" pivotButton="0" numFmtId="1" applyNumberFormat="1" fontId="1" applyFont="1" fillId="2" applyFill="1" borderId="2" applyBorder="1" applyAlignment="1">
      <alignment horizontal="center"/>
    </xf>
    <xf xfId="4" quotePrefix="0" pivotButton="0" fontId="4" applyFont="1" applyAlignment="1">
      <alignment horizontal="center"/>
    </xf>
    <xf xfId="3" quotePrefix="0" pivotButton="0" numFmtId="2" applyNumberFormat="1" fontId="3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Relationship Id="rId8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cols>
    <col min="1" max="1" width="12.59" customWidth="1" hidden="0"/>
    <col min="2" max="2" width="27.64" customWidth="1" hidden="0"/>
    <col min="3" max="3" width="23.47" customWidth="1" hidden="0"/>
    <col min="4" max="5" width="23.95" customWidth="1" hidden="0"/>
    <col min="6" max="6" width="18.23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4.00" customHeight="true">
      <c r="A2" s="2">
        <v>44986</v>
      </c>
      <c r="B2" t="s" s="3">
        <v>5</v>
      </c>
      <c r="C2" s="4">
        <v>20000</v>
      </c>
      <c r="D2" s="4"/>
      <c r="E2" s="4">
        <v>20000</v>
      </c>
    </row>
    <row r="3" ht="14.00" customHeight="true">
      <c r="A3" s="2">
        <v>44987</v>
      </c>
      <c r="B3" t="s" s="3">
        <v>6</v>
      </c>
      <c r="C3" s="4"/>
      <c r="D3" s="4">
        <v>20000</v>
      </c>
      <c r="E3" s="4">
        <f>E2+C3-D3</f>
        <v>0</v>
      </c>
      <c r="F3" s="5"/>
    </row>
    <row r="4" ht="14.00" customHeight="true">
      <c r="A4" s="2">
        <v>44988</v>
      </c>
      <c r="B4" t="s" s="3">
        <v>7</v>
      </c>
      <c r="C4" s="4">
        <v>2000</v>
      </c>
      <c r="D4" s="4"/>
      <c r="E4" s="4">
        <f>E3+C4-D4</f>
        <v>2000</v>
      </c>
      <c r="F4" s="5"/>
    </row>
    <row r="5" ht="14.00" customHeight="true">
      <c r="A5" s="2">
        <v>44989</v>
      </c>
      <c r="B5" t="s" s="3">
        <v>8</v>
      </c>
      <c r="C5" s="4">
        <v>2500</v>
      </c>
      <c r="D5" s="4"/>
      <c r="E5" s="4">
        <f>E4+C5-D5</f>
        <v>4500</v>
      </c>
      <c r="F5" s="5"/>
    </row>
    <row r="6" ht="14.00" customHeight="true">
      <c r="A6" s="2">
        <v>44990</v>
      </c>
      <c r="B6" t="s" s="3">
        <v>9</v>
      </c>
      <c r="C6" s="4"/>
      <c r="D6" s="4">
        <v>2000</v>
      </c>
      <c r="E6" s="4">
        <f>E5+C6-D6</f>
        <v>2500</v>
      </c>
      <c r="F6" s="5"/>
    </row>
    <row r="7" ht="14.00" customHeight="true">
      <c r="A7" s="2">
        <v>44991</v>
      </c>
      <c r="B7" t="s" s="3">
        <v>6</v>
      </c>
      <c r="C7" s="4"/>
      <c r="D7" s="4">
        <v>2500</v>
      </c>
      <c r="E7" s="4">
        <f>E6+C7-D7</f>
        <v>0</v>
      </c>
    </row>
    <row r="8" ht="14.00" customHeight="true">
      <c r="A8" s="2">
        <v>44992</v>
      </c>
      <c r="B8" t="s" s="3">
        <v>6</v>
      </c>
      <c r="C8" s="4"/>
      <c r="D8" s="4">
        <v>3000</v>
      </c>
      <c r="E8" s="4">
        <f>E7+C8-D8</f>
        <v>-3000</v>
      </c>
    </row>
    <row r="9" ht="14.00" customHeight="true">
      <c r="A9" s="2">
        <v>44993</v>
      </c>
      <c r="B9" t="s" s="3">
        <v>8</v>
      </c>
      <c r="C9" s="4">
        <v>2000</v>
      </c>
      <c r="D9" s="4"/>
      <c r="E9" s="4">
        <f>E8+C9-D9</f>
        <v>-1000</v>
      </c>
    </row>
    <row r="10" ht="14.00" customHeight="true">
      <c r="A10" s="2">
        <v>44994</v>
      </c>
      <c r="B10" t="s" s="3">
        <v>7</v>
      </c>
      <c r="C10" s="4">
        <v>500</v>
      </c>
      <c r="D10" s="4"/>
      <c r="E10" s="4">
        <f>E9+C10-D10</f>
        <v>-500</v>
      </c>
    </row>
    <row r="11" ht="14.00" customHeight="true">
      <c r="A11" s="2">
        <v>44995</v>
      </c>
      <c r="B11" t="s" s="3">
        <v>9</v>
      </c>
      <c r="C11" s="4"/>
      <c r="D11" s="4">
        <v>500</v>
      </c>
      <c r="E11" s="4">
        <f>E10+C11-D11</f>
        <v>-1000</v>
      </c>
    </row>
    <row r="12" ht="14.00" customHeight="true">
      <c r="A12" s="2">
        <v>44996</v>
      </c>
      <c r="B12" t="s" s="3">
        <v>10</v>
      </c>
      <c r="C12" s="3">
        <v>300000</v>
      </c>
      <c r="D12" s="3"/>
      <c r="E12" s="4">
        <f>E11+C12-D12</f>
        <v>299000</v>
      </c>
    </row>
    <row r="13" ht="14.00" customHeight="true">
      <c r="A13" s="3"/>
      <c r="B13" s="3"/>
      <c r="C13" s="3"/>
      <c r="D13" s="3"/>
      <c r="E13" s="3"/>
    </row>
    <row r="14" ht="14.00" customHeight="true">
      <c r="A14" s="3"/>
      <c r="B14" s="3"/>
      <c r="C14" s="3"/>
      <c r="D14" s="3"/>
      <c r="E14" s="3"/>
    </row>
    <row r="15" ht="14.00" customHeight="true">
      <c r="A15" s="3"/>
      <c r="B15" s="3"/>
      <c r="C15" s="3"/>
      <c r="D15" s="3"/>
      <c r="E15" s="3"/>
    </row>
    <row r="16" ht="14.00" customHeight="true">
      <c r="A16" s="3"/>
      <c r="B16" s="3"/>
      <c r="C16" s="3"/>
      <c r="D16" s="3"/>
      <c r="E16" s="3"/>
    </row>
    <row r="17" ht="14.00" customHeight="true">
      <c r="A17" s="3"/>
      <c r="B17" s="3"/>
      <c r="C17" s="3"/>
      <c r="D17" s="3"/>
      <c r="E17" s="3"/>
    </row>
    <row r="18" ht="14.00" customHeight="true">
      <c r="A18" s="3"/>
      <c r="B18" s="3"/>
      <c r="C18" s="3"/>
      <c r="D18" s="3"/>
      <c r="E18" s="3"/>
    </row>
    <row r="19" ht="14.00" customHeight="true">
      <c r="A19" s="3"/>
      <c r="B19" s="3"/>
      <c r="C19" s="3"/>
      <c r="D19" s="3"/>
      <c r="E19" s="3"/>
    </row>
    <row r="20" ht="14.00" customHeight="true">
      <c r="A20" s="3"/>
      <c r="B20" s="3"/>
      <c r="C20" s="3"/>
      <c r="D20" s="3"/>
      <c r="E20" s="3"/>
    </row>
    <row r="21" ht="14.00" customHeight="true">
      <c r="A21" s="3"/>
      <c r="B21" s="3"/>
      <c r="C21" s="3"/>
      <c r="D21" s="3"/>
      <c r="E21" s="3"/>
    </row>
    <row r="22" ht="14.00" customHeight="true">
      <c r="A22" s="3"/>
      <c r="B22" s="3"/>
      <c r="C22" s="3"/>
      <c r="D22" s="3"/>
      <c r="E22" s="3"/>
    </row>
    <row r="23" ht="14.00" customHeight="true">
      <c r="A23" s="3"/>
      <c r="B23" s="3"/>
      <c r="C23" s="3"/>
      <c r="D23" s="3"/>
      <c r="E23" s="3"/>
    </row>
    <row r="24" ht="14.00" customHeight="true">
      <c r="A24" s="3"/>
      <c r="B24" s="3"/>
      <c r="C24" s="3"/>
      <c r="D24" s="3"/>
      <c r="E24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cols>
    <col min="1" max="1" width="15.53" customWidth="1" hidden="0"/>
    <col min="2" max="2" width="23.79" customWidth="1" hidden="0"/>
    <col min="3" max="3" width="8.18" customWidth="1" hidden="0"/>
    <col min="4" max="4" width="8.50" customWidth="1" hidden="0"/>
    <col min="5" max="5" width="10.71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4.00" customHeight="true">
      <c r="A2" s="2">
        <v>44996</v>
      </c>
      <c r="B2" t="s" s="3">
        <v>5</v>
      </c>
      <c r="C2" s="4"/>
      <c r="D2" s="4">
        <v>-10000</v>
      </c>
      <c r="E2" s="4">
        <v>-10000</v>
      </c>
    </row>
    <row r="3" ht="14.00" customHeight="true">
      <c r="A3" s="2">
        <v>44997</v>
      </c>
      <c r="B3" t="s" s="3">
        <v>6</v>
      </c>
      <c r="C3" s="4"/>
      <c r="D3" s="4">
        <v>10000</v>
      </c>
      <c r="E3" s="4">
        <f>E2+C3-D3</f>
        <v>-20000</v>
      </c>
      <c r="F3" s="5">
        <f>D3+D7+D8</f>
        <v>15500</v>
      </c>
    </row>
    <row r="4" ht="14.00" customHeight="true">
      <c r="A4" s="2">
        <v>44998</v>
      </c>
      <c r="B4" t="s" s="3">
        <v>7</v>
      </c>
      <c r="C4" s="4">
        <v>15000</v>
      </c>
      <c r="D4" s="4"/>
      <c r="E4" s="4">
        <f>E3+C4-D4</f>
        <v>-5000</v>
      </c>
      <c r="F4" s="5">
        <f>C4+C10</f>
        <v>15500</v>
      </c>
    </row>
    <row r="5" ht="14.00" customHeight="true">
      <c r="A5" s="2">
        <v>44999</v>
      </c>
      <c r="B5" t="s" s="3">
        <v>8</v>
      </c>
      <c r="C5" s="4">
        <v>15000</v>
      </c>
      <c r="D5" s="4"/>
      <c r="E5" s="4">
        <f>E4+C5-D5</f>
        <v>10000</v>
      </c>
    </row>
    <row r="6" ht="14.00" customHeight="true">
      <c r="A6" s="2">
        <v>45000</v>
      </c>
      <c r="B6" t="s" s="3">
        <v>9</v>
      </c>
      <c r="C6" s="4"/>
      <c r="D6" s="4">
        <v>5000</v>
      </c>
      <c r="E6" s="4">
        <f>E5+C6-D6</f>
        <v>5000</v>
      </c>
    </row>
    <row r="7" ht="14.00" customHeight="true">
      <c r="A7" s="2">
        <v>45001</v>
      </c>
      <c r="B7" t="s" s="3">
        <v>6</v>
      </c>
      <c r="C7" s="4"/>
      <c r="D7" s="4">
        <v>2500</v>
      </c>
      <c r="E7" s="4">
        <f>E6+C7-D7</f>
        <v>2500</v>
      </c>
    </row>
    <row r="8" ht="14.00" customHeight="true">
      <c r="A8" s="2">
        <v>45002</v>
      </c>
      <c r="B8" t="s" s="3">
        <v>6</v>
      </c>
      <c r="C8" s="4"/>
      <c r="D8" s="4">
        <v>3000</v>
      </c>
      <c r="E8" s="4">
        <f>E7+C8-D8</f>
        <v>-500</v>
      </c>
    </row>
    <row r="9" ht="14.00" customHeight="true">
      <c r="A9" s="2">
        <v>45003</v>
      </c>
      <c r="B9" t="s" s="3">
        <v>8</v>
      </c>
      <c r="C9" s="4">
        <v>25000</v>
      </c>
      <c r="D9" s="4"/>
      <c r="E9" s="4">
        <f>E8+C9-D9</f>
        <v>24500</v>
      </c>
    </row>
    <row r="10" ht="14.00" customHeight="true">
      <c r="A10" s="2">
        <v>45004</v>
      </c>
      <c r="B10" t="s" s="3">
        <v>7</v>
      </c>
      <c r="C10" s="4">
        <v>500</v>
      </c>
      <c r="D10" s="4"/>
      <c r="E10" s="4">
        <f>E9+C10-D10</f>
        <v>25000</v>
      </c>
    </row>
    <row r="11" ht="14.00" customHeight="true">
      <c r="A11" s="2">
        <v>45005</v>
      </c>
      <c r="B11" t="s" s="3">
        <v>10</v>
      </c>
      <c r="C11" s="3">
        <v>100000</v>
      </c>
      <c r="D11" s="3"/>
      <c r="E11" s="4">
        <f>E10+C11-D11</f>
        <v>125000</v>
      </c>
    </row>
    <row r="12" ht="14.00" customHeight="true">
      <c r="A12" s="2">
        <v>45006</v>
      </c>
      <c r="B12" t="s" s="3">
        <v>11</v>
      </c>
      <c r="C12" s="3">
        <v>15000</v>
      </c>
      <c r="D12" s="6"/>
      <c r="E12" s="4">
        <f>E11+C12-D12</f>
        <v>140000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cols>
    <col min="1" max="1" width="11.61" customWidth="1" hidden="0"/>
    <col min="2" max="2" width="23.71" customWidth="1" hidden="0"/>
    <col min="3" max="3" width="13.00" customWidth="1" hidden="0"/>
    <col min="4" max="4" width="8.18" customWidth="1" hidden="0"/>
    <col min="5" max="5" width="8.91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4.00" customHeight="true">
      <c r="A2" s="2">
        <v>44997</v>
      </c>
      <c r="B2" t="s" s="3">
        <v>5</v>
      </c>
      <c r="C2" s="4"/>
      <c r="D2" s="4">
        <v>-2000</v>
      </c>
      <c r="E2" s="4">
        <v>-2000</v>
      </c>
    </row>
    <row r="3" ht="14.00" customHeight="true">
      <c r="A3" s="2">
        <v>44998</v>
      </c>
      <c r="B3" t="s" s="3">
        <v>7</v>
      </c>
      <c r="C3" s="4">
        <v>10000</v>
      </c>
      <c r="D3" s="4"/>
      <c r="E3" s="4">
        <f>E2+C3-D3</f>
        <v>8000</v>
      </c>
      <c r="F3" s="7">
        <f>C3+C4+C9</f>
        <v>12500</v>
      </c>
    </row>
    <row r="4" ht="14.00" customHeight="true">
      <c r="A4" s="2">
        <v>44999</v>
      </c>
      <c r="B4" t="s" s="3">
        <v>7</v>
      </c>
      <c r="C4" s="4">
        <v>500</v>
      </c>
      <c r="D4" s="4"/>
      <c r="E4" s="4">
        <f>E3+C4-D4</f>
        <v>8500</v>
      </c>
    </row>
    <row r="5" ht="14.00" customHeight="true">
      <c r="A5" s="2">
        <v>45000</v>
      </c>
      <c r="B5" t="s" s="3">
        <v>9</v>
      </c>
      <c r="C5" s="4"/>
      <c r="D5" s="4">
        <v>2000</v>
      </c>
      <c r="E5" s="4">
        <f>E4+C5-D5</f>
        <v>6500</v>
      </c>
    </row>
    <row r="6" ht="14.00" customHeight="true">
      <c r="A6" s="2">
        <v>45001</v>
      </c>
      <c r="B6" t="s" s="3">
        <v>6</v>
      </c>
      <c r="C6" s="4"/>
      <c r="D6" s="4">
        <v>2500</v>
      </c>
      <c r="E6" s="4">
        <f>E5+C6-D6</f>
        <v>4000</v>
      </c>
      <c r="F6" s="7">
        <f>D2+D6+D7</f>
        <v>3500</v>
      </c>
    </row>
    <row r="7" ht="14.00" customHeight="true">
      <c r="A7" s="2">
        <v>45002</v>
      </c>
      <c r="B7" t="s" s="3">
        <v>6</v>
      </c>
      <c r="C7" s="4"/>
      <c r="D7" s="4">
        <v>3000</v>
      </c>
      <c r="E7" s="4">
        <f>E6+C7-D7</f>
        <v>1000</v>
      </c>
    </row>
    <row r="8" ht="14.00" customHeight="true">
      <c r="A8" s="2">
        <v>45003</v>
      </c>
      <c r="B8" t="s" s="3">
        <v>8</v>
      </c>
      <c r="C8" s="4">
        <v>25000</v>
      </c>
      <c r="D8" s="4"/>
      <c r="E8" s="4">
        <f>E7+C8-D8</f>
        <v>26000</v>
      </c>
    </row>
    <row r="9" ht="14.00" customHeight="true">
      <c r="A9" s="2">
        <v>45004</v>
      </c>
      <c r="B9" t="s" s="3">
        <v>7</v>
      </c>
      <c r="C9" s="4">
        <v>2000</v>
      </c>
      <c r="D9" s="4"/>
      <c r="E9" s="4">
        <f>E8+C9-D9</f>
        <v>28000</v>
      </c>
    </row>
    <row r="10" ht="14.00" customHeight="true">
      <c r="A10" s="2">
        <v>45005</v>
      </c>
      <c r="B10" t="s" s="3">
        <v>10</v>
      </c>
      <c r="C10" s="4">
        <v>100000</v>
      </c>
      <c r="D10" s="8"/>
      <c r="E10" s="4">
        <f>E9+C10-D10</f>
        <v>128000</v>
      </c>
    </row>
    <row r="11" ht="14.00" customHeight="true">
      <c r="A11" s="2">
        <v>45006</v>
      </c>
      <c r="B11" t="s" s="3">
        <v>11</v>
      </c>
      <c r="C11" s="4"/>
      <c r="D11" s="4">
        <v>20000</v>
      </c>
      <c r="E11" s="4">
        <f>E10+C11-D11</f>
        <v>108000</v>
      </c>
    </row>
    <row r="12" ht="14.00" customHeight="true">
      <c r="A12" s="2">
        <v>45008</v>
      </c>
      <c r="B12" t="s" s="3">
        <v>11</v>
      </c>
      <c r="C12" s="3"/>
      <c r="D12" s="3">
        <v>2000</v>
      </c>
      <c r="E12" s="4">
        <f>E11+C12-D12</f>
        <v>106000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cols>
    <col min="1" max="1" width="16.43" customWidth="1" hidden="0"/>
    <col min="2" max="2" width="24.53" customWidth="1" hidden="0"/>
    <col min="3" max="4" width="15.21" customWidth="1" hidden="0"/>
    <col min="5" max="8" width="13.82" customWidth="1" hidden="0"/>
    <col min="9" max="9" width="15.53" customWidth="1" hidden="0"/>
    <col min="10" max="10" width="11.69" customWidth="1" hidden="0"/>
    <col min="11" max="11" width="9.89" customWidth="1" hidden="0"/>
  </cols>
  <sheetData>
    <row r="1" ht="14.00" customHeight="true">
      <c r="A1" t="s" s="9">
        <v>12</v>
      </c>
      <c r="B1" t="s" s="10">
        <v>5</v>
      </c>
      <c r="C1" t="s" s="11">
        <v>6</v>
      </c>
      <c r="D1" t="s" s="11">
        <v>7</v>
      </c>
      <c r="E1" t="s" s="11">
        <v>8</v>
      </c>
      <c r="F1" t="s" s="12">
        <v>9</v>
      </c>
      <c r="G1" t="s" s="12">
        <v>10</v>
      </c>
      <c r="H1" t="s" s="12">
        <v>11</v>
      </c>
      <c r="I1" t="s" s="12">
        <v>13</v>
      </c>
      <c r="J1" t="s" s="12">
        <v>14</v>
      </c>
      <c r="K1" t="s" s="12">
        <v>4</v>
      </c>
    </row>
    <row r="2" ht="14.00" customHeight="true">
      <c r="A2" t="s" s="11">
        <v>15</v>
      </c>
      <c r="B2" s="4">
        <v>20000</v>
      </c>
      <c r="C2" s="4">
        <v>25500</v>
      </c>
      <c r="D2" s="4">
        <v>2500</v>
      </c>
      <c r="E2" s="4">
        <v>4500</v>
      </c>
      <c r="F2" s="13">
        <v>2500</v>
      </c>
      <c r="G2" s="13">
        <v>300000</v>
      </c>
      <c r="H2" s="13"/>
      <c r="I2" s="13">
        <f>SUM(ALI!C:C)</f>
        <v>327000</v>
      </c>
      <c r="J2" s="13">
        <f>SUM(ALI!D:D)</f>
        <v>28000</v>
      </c>
      <c r="K2" s="13">
        <f>ALI!E12</f>
        <v>299000</v>
      </c>
    </row>
    <row r="3" ht="14.00" customHeight="true">
      <c r="A3" t="s" s="11">
        <v>16</v>
      </c>
      <c r="B3" s="4">
        <v>-10000</v>
      </c>
      <c r="C3" s="4">
        <v>15500</v>
      </c>
      <c r="D3" s="4">
        <v>15500</v>
      </c>
      <c r="E3" s="4">
        <v>40000</v>
      </c>
      <c r="F3" s="13">
        <v>5000</v>
      </c>
      <c r="G3" s="13">
        <v>100000</v>
      </c>
      <c r="H3" s="13">
        <v>15000</v>
      </c>
      <c r="I3" s="13">
        <f>SUM(AHMED!C:C)</f>
        <v>170500</v>
      </c>
      <c r="J3" s="13">
        <f>SUM(AHMED!D:D)</f>
        <v>10500</v>
      </c>
      <c r="K3" s="13">
        <f>AHMED!E12</f>
        <v>140000</v>
      </c>
    </row>
    <row r="4" ht="14.00" customHeight="true">
      <c r="A4" t="s" s="11">
        <v>17</v>
      </c>
      <c r="B4" s="4">
        <v>-2000</v>
      </c>
      <c r="C4" s="4">
        <v>5500</v>
      </c>
      <c r="D4" s="4">
        <v>12500</v>
      </c>
      <c r="E4" s="4">
        <v>25000</v>
      </c>
      <c r="F4" s="13">
        <v>2000</v>
      </c>
      <c r="G4" s="13">
        <v>100000</v>
      </c>
      <c r="H4" s="13">
        <v>22000</v>
      </c>
      <c r="I4" s="13">
        <f>SUM(OMRAAN!C:C)</f>
        <v>137500</v>
      </c>
      <c r="J4" s="13">
        <f>SUM(OMRAAN!D:D)</f>
        <v>27500</v>
      </c>
      <c r="K4" s="13">
        <f>OMRAAN!E12</f>
        <v>106000</v>
      </c>
    </row>
    <row r="5" ht="14.00" customHeight="true">
      <c r="A5" t="s" s="11">
        <v>18</v>
      </c>
      <c r="B5" s="4">
        <f>SUM(B2:B4)</f>
        <v>8000</v>
      </c>
      <c r="C5" s="4">
        <f>SUM(C2:C4)</f>
        <v>46500</v>
      </c>
      <c r="D5" s="4">
        <f>SUM(D2:D4)</f>
        <v>30500</v>
      </c>
      <c r="E5" s="4">
        <f>SUM(E2:E4)</f>
        <v>69500</v>
      </c>
      <c r="F5" s="13">
        <f>SUM(F2:F4)</f>
        <v>9500</v>
      </c>
      <c r="G5" s="13">
        <f>SUM(G2:G4)</f>
        <v>500000</v>
      </c>
      <c r="H5" s="13">
        <f>SUM(H2:H4)</f>
        <v>37000</v>
      </c>
      <c r="I5" s="13">
        <f>SUM(I2:I4)</f>
        <v>635000</v>
      </c>
      <c r="J5" s="13">
        <f>SUM(J2:J4)</f>
        <v>66000</v>
      </c>
      <c r="K5" s="13">
        <f>SUM(K2:K4)</f>
        <v>545000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AHMED</vt:lpstr>
      <vt:lpstr>OMRAAN</vt:lpstr>
      <vt:lpstr>FINAL</vt:lpstr>
      <vt:lpstr>ALI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2026-05-31T15:49:09Z</dcterms:created>
  <dcterms:modified xsi:type="dcterms:W3CDTF">2026-05-31T15:49:09Z</dcterms:modified>
</cp:coreProperties>
</file>