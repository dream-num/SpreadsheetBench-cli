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65AC2E2-D367-45F6-B5AC-E842355CBD2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BASE Countries" sheetId="1" r:id="rId1"/>
  </sheets>
  <definedNames>
    <definedName name="Comp3">[1]Info!$D$19</definedName>
    <definedName name="Comp4">[1]Info!$D$20</definedName>
    <definedName name="AccessDatabase" hidden="true">"A:\Forecast Nov 98.mdb"</definedName>
    <definedName name="Comp1">[1]Info!$D$17</definedName>
    <definedName name="Comp2">[1]Info!$D$18</definedName>
    <definedName name="Comp5">[1]Info!$D$21</definedName>
    <definedName name="Comp6">[1]Info!$D$22</definedName>
    <definedName name="Comp7">[1]Info!$D$23</definedName>
    <definedName name="Hotelname">[1]Info!$A$6</definedName>
    <definedName name="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1"/>
  <c r="D70" i="1"/>
  <c r="F133" i="1"/>
  <c r="D133" i="1"/>
  <c r="F77" i="1"/>
  <c r="D77" i="1"/>
  <c r="F13" i="1"/>
  <c r="C13" i="1"/>
  <c r="D13" i="1"/>
  <c r="F159" i="1"/>
  <c r="D159" i="1"/>
  <c r="F93" i="1"/>
  <c r="D93" i="1"/>
  <c r="F86" i="1"/>
  <c r="D86" i="1"/>
  <c r="F219" i="1"/>
  <c r="D219" i="1"/>
  <c r="F230" i="1"/>
  <c r="D230" i="1"/>
  <c r="F237" i="1"/>
  <c r="D237" i="1"/>
  <c r="F135" i="1"/>
  <c r="D135" i="1"/>
  <c r="C14" i="1"/>
  <c r="F14" i="1"/>
  <c r="D14" i="1"/>
  <c r="F188" i="1"/>
  <c r="D188" i="1"/>
  <c r="F178" i="1"/>
  <c r="D178" i="1"/>
  <c r="F42" i="1"/>
  <c r="D42" i="1"/>
  <c r="F216" i="1"/>
  <c r="D216" i="1"/>
  <c r="F108" i="1"/>
  <c r="D108" i="1"/>
  <c r="C4" i="1"/>
  <c r="I4" i="1"/>
  <c r="F4" i="1"/>
  <c r="F149" i="1"/>
  <c r="D149" i="1"/>
  <c r="F168" i="1"/>
  <c r="D168" i="1"/>
  <c r="F35" i="1"/>
  <c r="D35" i="1"/>
  <c r="C35" i="1"/>
  <c r="F94" i="1"/>
  <c r="D94" i="1"/>
  <c r="F50" i="1"/>
  <c r="D50" i="1"/>
  <c r="F67" i="1"/>
  <c r="D67" i="1"/>
  <c r="F183" i="1"/>
  <c r="D183" i="1"/>
  <c r="F220" i="1"/>
  <c r="D220" i="1"/>
  <c r="D162" i="1"/>
  <c r="F162" i="1"/>
  <c r="F144" i="1"/>
  <c r="D144" i="1"/>
  <c r="D64" i="1"/>
  <c r="F64" i="1"/>
  <c r="F71" i="1"/>
  <c r="D71" i="1"/>
  <c r="F119" i="1"/>
  <c r="D119" i="1"/>
  <c r="F172" i="1"/>
  <c r="D172" i="1"/>
  <c r="F41" i="1"/>
  <c r="D41" i="1"/>
  <c r="F215" i="1"/>
  <c r="D215" i="1"/>
  <c r="F99" i="1"/>
  <c r="D99" i="1"/>
  <c r="D205" i="1"/>
  <c r="F205" i="1"/>
  <c r="F204" i="1"/>
  <c r="D204" i="1"/>
  <c r="F102" i="1"/>
  <c r="D102" i="1"/>
  <c r="F90" i="1"/>
  <c r="D90" i="1"/>
  <c r="F110" i="1"/>
  <c r="D110" i="1"/>
  <c r="D195" i="1"/>
  <c r="F195" i="1"/>
  <c r="F206" i="1"/>
  <c r="D206" i="1"/>
  <c r="C23" i="1"/>
  <c r="D23" i="1"/>
  <c r="F23" i="1"/>
  <c r="F69" i="1"/>
  <c r="D69" i="1"/>
  <c r="F158" i="1"/>
  <c r="D158" i="1"/>
  <c r="D11" i="1"/>
  <c r="F11" i="1"/>
  <c r="C11" i="1"/>
  <c r="F96" i="1"/>
  <c r="D96" i="1"/>
  <c r="F75" i="1"/>
  <c r="D75" i="1"/>
  <c r="F55" i="1"/>
  <c r="D55" i="1"/>
  <c r="F207" i="1"/>
  <c r="D207" i="1"/>
  <c r="F179" i="1"/>
  <c r="D179" i="1"/>
  <c r="D203" i="1"/>
  <c r="F203" i="1"/>
  <c r="D186" i="1"/>
  <c r="F186" i="1"/>
  <c r="C30" i="1"/>
  <c r="F30" i="1"/>
  <c r="D30" i="1"/>
  <c r="C33" i="1"/>
  <c r="F33" i="1"/>
  <c r="D33" i="1"/>
  <c r="F170" i="1"/>
  <c r="D170" i="1"/>
  <c r="F222" i="1"/>
  <c r="D222" i="1"/>
  <c r="D5" i="1"/>
  <c r="C5" i="1"/>
  <c r="F5" i="1"/>
  <c r="D104" i="1"/>
  <c r="F104" i="1"/>
  <c r="F189" i="1"/>
  <c r="D189" i="1"/>
  <c r="F145" i="1"/>
  <c r="D145" i="1"/>
  <c r="F235" i="1"/>
  <c r="D235" i="1"/>
  <c r="F165" i="1"/>
  <c r="D165" i="1"/>
  <c r="F176" i="1"/>
  <c r="D176" i="1"/>
  <c r="D136" i="1"/>
  <c r="F136" i="1"/>
  <c r="F97" i="1"/>
  <c r="D97" i="1"/>
  <c r="F40" i="1"/>
  <c r="D40" i="1"/>
  <c r="F152" i="1"/>
  <c r="D152" i="1"/>
  <c r="F105" i="1"/>
  <c r="D105" i="1"/>
  <c r="F88" i="1"/>
  <c r="D88" i="1"/>
  <c r="F155" i="1"/>
  <c r="D155" i="1"/>
  <c r="F185" i="1"/>
  <c r="D185" i="1"/>
  <c r="F114" i="1"/>
  <c r="D114" i="1"/>
  <c r="F103" i="1"/>
  <c r="D103" i="1"/>
  <c r="F21" i="1"/>
  <c r="C21" i="1"/>
  <c r="D21" i="1"/>
  <c r="F238" i="1"/>
  <c r="D238" i="1"/>
  <c r="F180" i="1"/>
  <c r="D180" i="1"/>
  <c r="F242" i="1"/>
  <c r="D242" i="1"/>
  <c r="F174" i="1"/>
  <c r="D174" i="1"/>
  <c r="D120" i="1"/>
  <c r="F120" i="1"/>
  <c r="F100" i="1"/>
  <c r="D100" i="1"/>
  <c r="F181" i="1"/>
  <c r="D181" i="1"/>
  <c r="F150" i="1"/>
  <c r="D150" i="1"/>
  <c r="F98" i="1"/>
  <c r="D98" i="1"/>
  <c r="F154" i="1"/>
  <c r="D154" i="1"/>
  <c r="F147" i="1"/>
  <c r="D147" i="1"/>
  <c r="F221" i="1"/>
  <c r="D221" i="1"/>
  <c r="F211" i="1"/>
  <c r="D211" i="1"/>
  <c r="F241" i="1"/>
  <c r="D241" i="1"/>
  <c r="D27" i="1"/>
  <c r="C27" i="1"/>
  <c r="F27" i="1"/>
  <c r="F184" i="1"/>
  <c r="D184" i="1"/>
  <c r="D106" i="1"/>
  <c r="F106" i="1"/>
  <c r="F112" i="1"/>
  <c r="D112" i="1"/>
  <c r="F131" i="1"/>
  <c r="D131" i="1"/>
  <c r="F166" i="1"/>
  <c r="D166" i="1"/>
  <c r="F151" i="1"/>
  <c r="D151" i="1"/>
  <c r="F34" i="1"/>
  <c r="C34" i="1"/>
  <c r="D34" i="1"/>
  <c r="F169" i="1"/>
  <c r="D169" i="1"/>
  <c r="F192" i="1"/>
  <c r="D192" i="1"/>
  <c r="F95" i="1"/>
  <c r="D95" i="1"/>
  <c r="F44" i="1"/>
  <c r="D44" i="1"/>
  <c r="F57" i="1"/>
  <c r="D57" i="1"/>
  <c r="F157" i="1"/>
  <c r="D157" i="1"/>
  <c r="C36" i="1"/>
  <c r="F36" i="1"/>
  <c r="D36" i="1"/>
  <c r="C22" i="1"/>
  <c r="F22" i="1"/>
  <c r="D22" i="1"/>
  <c r="F79" i="1"/>
  <c r="D79" i="1"/>
  <c r="B2" i="1"/>
  <c r="F2" i="1"/>
  <c r="F138" i="1"/>
  <c r="D138" i="1"/>
  <c r="F148" i="1"/>
  <c r="D148" i="1"/>
  <c r="F85" i="1"/>
  <c r="D85" i="1"/>
  <c r="C29" i="1"/>
  <c r="F29" i="1"/>
  <c r="D29" i="1"/>
  <c r="F146" i="1"/>
  <c r="D146" i="1"/>
  <c r="D38" i="1"/>
  <c r="B38" i="1"/>
  <c r="C38" i="1"/>
  <c r="F38" i="1"/>
  <c r="F217" i="1"/>
  <c r="D217" i="1"/>
  <c r="D48" i="1"/>
  <c r="F48" i="1"/>
  <c r="F117" i="1"/>
  <c r="D117" i="1"/>
  <c r="C17" i="1"/>
  <c r="D17" i="1"/>
  <c r="F17" i="1"/>
  <c r="F225" i="1"/>
  <c r="D225" i="1"/>
  <c r="F198" i="1"/>
  <c r="D198" i="1"/>
  <c r="F167" i="1"/>
  <c r="D167" i="1"/>
  <c r="F210" i="1"/>
  <c r="D210" i="1"/>
  <c r="F190" i="1"/>
  <c r="D190" i="1"/>
  <c r="F128" i="1"/>
  <c r="D128" i="1"/>
  <c r="F125" i="1"/>
  <c r="D125" i="1"/>
  <c r="F228" i="1"/>
  <c r="D228" i="1"/>
  <c r="F142" i="1"/>
  <c r="D142" i="1"/>
  <c r="F193" i="1"/>
  <c r="D193" i="1"/>
  <c r="D236" i="1"/>
  <c r="F236" i="1"/>
  <c r="F156" i="1"/>
  <c r="D156" i="1"/>
  <c r="D24" i="1"/>
  <c r="F24" i="1"/>
  <c r="C24" i="1"/>
  <c r="F18" i="1"/>
  <c r="C18" i="1"/>
  <c r="D18" i="1"/>
  <c r="F49" i="1"/>
  <c r="D49" i="1"/>
  <c r="F32" i="1"/>
  <c r="C32" i="1"/>
  <c r="D32" i="1"/>
  <c r="F87" i="1"/>
  <c r="D87" i="1"/>
  <c r="C37" i="1"/>
  <c r="F37" i="1"/>
  <c r="D37" i="1"/>
  <c r="B37" i="1"/>
  <c r="F83" i="1"/>
  <c r="D83" i="1"/>
  <c r="F232" i="1"/>
  <c r="D232" i="1"/>
  <c r="F227" i="1"/>
  <c r="D227" i="1"/>
  <c r="F234" i="1"/>
  <c r="D234" i="1"/>
  <c r="F132" i="1"/>
  <c r="D132" i="1"/>
  <c r="C15" i="1"/>
  <c r="F15" i="1"/>
  <c r="D15" i="1"/>
  <c r="D239" i="1"/>
  <c r="F239" i="1"/>
  <c r="F163" i="1"/>
  <c r="D163" i="1"/>
  <c r="F229" i="1"/>
  <c r="D229" i="1"/>
  <c r="F109" i="1"/>
  <c r="D109" i="1"/>
  <c r="F129" i="1"/>
  <c r="D129" i="1"/>
  <c r="F212" i="1"/>
  <c r="D212" i="1"/>
  <c r="F116" i="1"/>
  <c r="D116" i="1"/>
  <c r="F197" i="1"/>
  <c r="D197" i="1"/>
  <c r="D173" i="1"/>
  <c r="F173" i="1"/>
  <c r="F214" i="1"/>
  <c r="D214" i="1"/>
  <c r="F45" i="1"/>
  <c r="D45" i="1"/>
  <c r="F60" i="1"/>
  <c r="D60" i="1"/>
  <c r="F160" i="1"/>
  <c r="D160" i="1"/>
  <c r="F43" i="1"/>
  <c r="D43" i="1"/>
  <c r="F76" i="1"/>
  <c r="D76" i="1"/>
  <c r="F126" i="1"/>
  <c r="D126" i="1"/>
  <c r="F107" i="1"/>
  <c r="D107" i="1"/>
  <c r="F111" i="1"/>
  <c r="D111" i="1"/>
  <c r="F191" i="1"/>
  <c r="D191" i="1"/>
  <c r="F73" i="1"/>
  <c r="D73" i="1"/>
  <c r="F153" i="1"/>
  <c r="D153" i="1"/>
  <c r="F65" i="1"/>
  <c r="D65" i="1"/>
  <c r="F68" i="1"/>
  <c r="D68" i="1"/>
  <c r="F52" i="1"/>
  <c r="D52" i="1"/>
  <c r="F137" i="1"/>
  <c r="D137" i="1"/>
  <c r="F118" i="1"/>
  <c r="D118" i="1"/>
  <c r="D58" i="1"/>
  <c r="F58" i="1"/>
  <c r="F200" i="1"/>
  <c r="D200" i="1"/>
  <c r="C25" i="1"/>
  <c r="F25" i="1"/>
  <c r="D25" i="1"/>
  <c r="D201" i="1"/>
  <c r="F201" i="1"/>
  <c r="C12" i="1"/>
  <c r="F12" i="1"/>
  <c r="D12" i="1"/>
  <c r="F80" i="1"/>
  <c r="D80" i="1"/>
  <c r="F121" i="1"/>
  <c r="D121" i="1"/>
  <c r="F39" i="1"/>
  <c r="D39" i="1"/>
  <c r="D139" i="1"/>
  <c r="F139" i="1"/>
  <c r="D161" i="1"/>
  <c r="F161" i="1"/>
  <c r="C19" i="1"/>
  <c r="F19" i="1"/>
  <c r="D19" i="1"/>
  <c r="F171" i="1"/>
  <c r="D171" i="1"/>
  <c r="F31" i="1"/>
  <c r="C31" i="1"/>
  <c r="D31" i="1"/>
  <c r="F113" i="1"/>
  <c r="D113" i="1"/>
  <c r="F244" i="1"/>
  <c r="D244" i="1"/>
  <c r="F16" i="1"/>
  <c r="C16" i="1"/>
  <c r="D16" i="1"/>
  <c r="F194" i="1"/>
  <c r="D194" i="1"/>
  <c r="F78" i="1"/>
  <c r="D78" i="1"/>
  <c r="F63" i="1"/>
  <c r="D63" i="1"/>
  <c r="F141" i="1"/>
  <c r="D141" i="1"/>
  <c r="D59" i="1"/>
  <c r="F59" i="1"/>
  <c r="F74" i="1"/>
  <c r="D74" i="1"/>
  <c r="F231" i="1"/>
  <c r="D231" i="1"/>
  <c r="F209" i="1"/>
  <c r="D209" i="1"/>
  <c r="F28" i="1"/>
  <c r="C28" i="1"/>
  <c r="D28" i="1"/>
  <c r="D20" i="1"/>
  <c r="C20" i="1"/>
  <c r="F20" i="1"/>
  <c r="F130" i="1"/>
  <c r="D130" i="1"/>
  <c r="F143" i="1"/>
  <c r="D143" i="1"/>
  <c r="D81" i="1"/>
  <c r="F81" i="1"/>
  <c r="F164" i="1"/>
  <c r="D164" i="1"/>
  <c r="F47" i="1"/>
  <c r="D47" i="1"/>
  <c r="F72" i="1"/>
  <c r="D72" i="1"/>
  <c r="C6" i="1"/>
  <c r="D6" i="1"/>
  <c r="F6" i="1"/>
  <c r="F243" i="1"/>
  <c r="D243" i="1"/>
  <c r="F224" i="1"/>
  <c r="D224" i="1"/>
  <c r="F122" i="1"/>
  <c r="D122" i="1"/>
  <c r="F84" i="1"/>
  <c r="D84" i="1"/>
  <c r="F101" i="1"/>
  <c r="D101" i="1"/>
  <c r="F177" i="1"/>
  <c r="D177" i="1"/>
  <c r="F208" i="1"/>
  <c r="D208" i="1"/>
  <c r="F196" i="1"/>
  <c r="D196" i="1"/>
  <c r="F51" i="1"/>
  <c r="D51" i="1"/>
  <c r="F140" i="1"/>
  <c r="D140" i="1"/>
  <c r="F218" i="1"/>
  <c r="D218" i="1"/>
  <c r="F89" i="1"/>
  <c r="D89" i="1"/>
  <c r="D240" i="1"/>
  <c r="F240" i="1"/>
  <c r="F123" i="1"/>
  <c r="D123" i="1"/>
  <c r="F187" i="1"/>
  <c r="D187" i="1"/>
  <c r="F223" i="1"/>
  <c r="D223" i="1"/>
  <c r="F175" i="1"/>
  <c r="D175" i="1"/>
  <c r="D202" i="1"/>
  <c r="F202" i="1"/>
  <c r="F134" i="1"/>
  <c r="D134" i="1"/>
  <c r="F66" i="1"/>
  <c r="D66" i="1"/>
  <c r="D199" i="1"/>
  <c r="F199" i="1"/>
  <c r="F127" i="1"/>
  <c r="D127" i="1"/>
  <c r="C26" i="1"/>
  <c r="F26" i="1"/>
  <c r="D26" i="1"/>
  <c r="F62" i="1"/>
  <c r="D62" i="1"/>
  <c r="C8" i="1"/>
  <c r="F8" i="1"/>
  <c r="D8" i="1"/>
  <c r="F53" i="1"/>
  <c r="D53" i="1"/>
  <c r="F213" i="1"/>
  <c r="D213" i="1"/>
  <c r="F46" i="1"/>
  <c r="D46" i="1"/>
  <c r="F182" i="1"/>
  <c r="D182" i="1"/>
  <c r="F56" i="1"/>
  <c r="D56" i="1"/>
  <c r="F115" i="1"/>
  <c r="D115" i="1"/>
  <c r="F54" i="1"/>
  <c r="D54" i="1"/>
  <c r="D9" i="1"/>
  <c r="C9" i="1"/>
  <c r="F9" i="1"/>
  <c r="F226" i="1"/>
  <c r="D226" i="1"/>
  <c r="F61" i="1"/>
  <c r="D61" i="1"/>
  <c r="F124" i="1"/>
  <c r="D124" i="1"/>
  <c r="D82" i="1"/>
  <c r="F82" i="1"/>
  <c r="F7" i="1"/>
  <c r="C7" i="1"/>
  <c r="D7" i="1"/>
  <c r="F233" i="1"/>
  <c r="D233" i="1"/>
  <c r="F91" i="1"/>
  <c r="D91" i="1"/>
  <c r="F92" i="1"/>
  <c r="D92" i="1"/>
  <c r="C10" i="1"/>
  <c r="F10" i="1"/>
  <c r="D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<sst xmlns="http://schemas.openxmlformats.org/spreadsheetml/2006/main" count="525" uniqueCount="525">
  <si>
    <r>
      <rPr>
        <rFont val="Century Gothic"/>
        <sz val="18.00"/>
        <b/>
        <color rgb="FFFF0000"/>
        <family val="2"/>
      </rPr>
      <t>INPUT IN YELLOW CELLS</t>
    </r>
  </si>
  <si>
    <r>
      <rPr>
        <rFont val="Century Gothic"/>
        <sz val="18.00"/>
        <b/>
        <color rgb="FFFF0000"/>
        <family val="2"/>
      </rPr>
      <t>MAIN CHANNELS</t>
    </r>
  </si>
  <si>
    <r>
      <rPr>
        <rFont val="Century Gothic"/>
        <sz val="18.00"/>
        <b/>
        <color rgb="FF000000"/>
        <family val="2"/>
      </rPr>
      <t>TOTAL</t>
    </r>
  </si>
  <si>
    <r>
      <rPr>
        <rFont val="Century Gothic"/>
        <sz val="12.00"/>
        <color rgb="FF000000"/>
        <family val="2"/>
      </rPr>
      <t>Country</t>
    </r>
  </si>
  <si>
    <r>
      <rPr>
        <rFont val="Century Gothic"/>
        <sz val="12.00"/>
        <color rgb="FF000000"/>
        <family val="2"/>
      </rPr>
      <t>INR</t>
    </r>
  </si>
  <si>
    <r>
      <rPr>
        <rFont val="Century Gothic"/>
        <sz val="12.00"/>
        <color rgb="FF000000"/>
        <family val="2"/>
      </rPr>
      <t>USD</t>
    </r>
  </si>
  <si>
    <r>
      <rPr>
        <rFont val="Century Gothic"/>
        <sz val="12.00"/>
        <color rgb="FF000000"/>
        <family val="2"/>
      </rPr>
      <t>Countries</t>
    </r>
  </si>
  <si>
    <r>
      <rPr>
        <rFont val="Century Gothic"/>
        <sz val="12.00"/>
        <color rgb="FF000000"/>
        <family val="2"/>
      </rPr>
      <t>Revenue</t>
    </r>
  </si>
  <si>
    <r>
      <rPr>
        <rFont val="Century Gothic"/>
        <sz val="12.00"/>
        <color rgb="FF000000"/>
        <family val="2"/>
      </rPr>
      <t>India</t>
    </r>
  </si>
  <si>
    <r>
      <rPr>
        <rFont val="Century Gothic"/>
        <sz val="12.00"/>
        <color rgb="FF000000"/>
        <family val="2"/>
      </rPr>
      <t>Afghanistan</t>
    </r>
  </si>
  <si>
    <t>TOP 1</t>
  </si>
  <si>
    <t>India</t>
  </si>
  <si>
    <r>
      <rPr>
        <rFont val="Century Gothic"/>
        <sz val="12.00"/>
        <color rgb="FF000000"/>
        <family val="2"/>
      </rPr>
      <t>United Kingdom</t>
    </r>
  </si>
  <si>
    <r>
      <rPr>
        <rFont val="Century Gothic"/>
        <sz val="12.00"/>
        <color rgb="FF000000"/>
        <family val="2"/>
      </rPr>
      <t>Albania</t>
    </r>
  </si>
  <si>
    <t>TOP 2</t>
  </si>
  <si>
    <t>United Kingdom</t>
  </si>
  <si>
    <r>
      <rPr>
        <rFont val="Century Gothic"/>
        <sz val="12.00"/>
        <color rgb="FF000000"/>
        <family val="2"/>
      </rPr>
      <t>Algeria</t>
    </r>
  </si>
  <si>
    <t>TOP 3</t>
  </si>
  <si>
    <t>Afghanistan</t>
  </si>
  <si>
    <r>
      <rPr>
        <rFont val="Century Gothic"/>
        <sz val="12.00"/>
        <color rgb="FF000000"/>
        <family val="2"/>
      </rPr>
      <t>American Samoa</t>
    </r>
  </si>
  <si>
    <t>TOP 4</t>
  </si>
  <si>
    <t>Albania</t>
  </si>
  <si>
    <r>
      <rPr>
        <rFont val="Century Gothic"/>
        <sz val="12.00"/>
        <color rgb="FF000000"/>
        <family val="2"/>
      </rPr>
      <t>Andorra</t>
    </r>
  </si>
  <si>
    <t>TOP 5</t>
  </si>
  <si>
    <t>Algeria</t>
  </si>
  <si>
    <r>
      <rPr>
        <rFont val="Century Gothic"/>
        <sz val="12.00"/>
        <color rgb="FF000000"/>
        <family val="2"/>
      </rPr>
      <t>Angola</t>
    </r>
  </si>
  <si>
    <t>TOP 6</t>
  </si>
  <si>
    <t>American Samoa</t>
  </si>
  <si>
    <r>
      <rPr>
        <rFont val="Century Gothic"/>
        <sz val="12.00"/>
        <color rgb="FF000000"/>
        <family val="2"/>
      </rPr>
      <t>Anguilla</t>
    </r>
  </si>
  <si>
    <t>TOP 7</t>
  </si>
  <si>
    <t>Andorra</t>
  </si>
  <si>
    <r>
      <rPr>
        <rFont val="Century Gothic"/>
        <sz val="12.00"/>
        <color rgb="FF000000"/>
        <family val="2"/>
      </rPr>
      <t>Antarctica</t>
    </r>
  </si>
  <si>
    <t>TOP 8</t>
  </si>
  <si>
    <t>Angola</t>
  </si>
  <si>
    <r>
      <rPr>
        <rFont val="Century Gothic"/>
        <sz val="12.00"/>
        <color rgb="FF000000"/>
        <family val="2"/>
      </rPr>
      <t>Antigua And Barbuda</t>
    </r>
  </si>
  <si>
    <t>TOP 9</t>
  </si>
  <si>
    <t>Anguilla</t>
  </si>
  <si>
    <r>
      <rPr>
        <rFont val="Century Gothic"/>
        <sz val="12.00"/>
        <color rgb="FF000000"/>
        <family val="2"/>
      </rPr>
      <t>Argentina</t>
    </r>
  </si>
  <si>
    <t>TOP 10</t>
  </si>
  <si>
    <t>Antarctica</t>
  </si>
  <si>
    <r>
      <rPr>
        <rFont val="Century Gothic"/>
        <sz val="12.00"/>
        <color rgb="FF000000"/>
        <family val="2"/>
      </rPr>
      <t>Armenia</t>
    </r>
  </si>
  <si>
    <t>TOP 11</t>
  </si>
  <si>
    <t>Antigua And Barbuda</t>
  </si>
  <si>
    <r>
      <rPr>
        <rFont val="Century Gothic"/>
        <sz val="12.00"/>
        <color rgb="FF000000"/>
        <family val="2"/>
      </rPr>
      <t>Aruba</t>
    </r>
  </si>
  <si>
    <t>TOP 12</t>
  </si>
  <si>
    <t>Argentina</t>
  </si>
  <si>
    <r>
      <rPr>
        <rFont val="Century Gothic"/>
        <sz val="12.00"/>
        <color rgb="FF000000"/>
        <family val="2"/>
      </rPr>
      <t>Australia</t>
    </r>
  </si>
  <si>
    <t>TOP 13</t>
  </si>
  <si>
    <t>Armenia</t>
  </si>
  <si>
    <r>
      <rPr>
        <rFont val="Century Gothic"/>
        <sz val="12.00"/>
        <color rgb="FF000000"/>
        <family val="2"/>
      </rPr>
      <t>Austria</t>
    </r>
  </si>
  <si>
    <t>TOP 14</t>
  </si>
  <si>
    <t>Aruba</t>
  </si>
  <si>
    <r>
      <rPr>
        <rFont val="Century Gothic"/>
        <sz val="12.00"/>
        <color rgb="FF000000"/>
        <family val="2"/>
      </rPr>
      <t>Azerbaijan</t>
    </r>
  </si>
  <si>
    <t>TOP 15</t>
  </si>
  <si>
    <t>Australia</t>
  </si>
  <si>
    <r>
      <rPr>
        <rFont val="Century Gothic"/>
        <sz val="12.00"/>
        <color rgb="FF000000"/>
        <family val="2"/>
      </rPr>
      <t>Bahamas</t>
    </r>
  </si>
  <si>
    <t>Austria</t>
  </si>
  <si>
    <r>
      <rPr>
        <rFont val="Century Gothic"/>
        <sz val="12.00"/>
        <color rgb="FF000000"/>
        <family val="2"/>
      </rPr>
      <t>Bahrain</t>
    </r>
  </si>
  <si>
    <t>Azerbaijan</t>
  </si>
  <si>
    <r>
      <rPr>
        <rFont val="Century Gothic"/>
        <sz val="12.00"/>
        <color rgb="FF000000"/>
        <family val="2"/>
      </rPr>
      <t>Bangladesh</t>
    </r>
  </si>
  <si>
    <t>Bahamas</t>
  </si>
  <si>
    <r>
      <rPr>
        <rFont val="Century Gothic"/>
        <sz val="12.00"/>
        <color rgb="FF000000"/>
        <family val="2"/>
      </rPr>
      <t>Barbados</t>
    </r>
  </si>
  <si>
    <t>Bahrain</t>
  </si>
  <si>
    <r>
      <rPr>
        <rFont val="Century Gothic"/>
        <sz val="12.00"/>
        <color rgb="FF000000"/>
        <family val="2"/>
      </rPr>
      <t>Belarus</t>
    </r>
  </si>
  <si>
    <t>Bangladesh</t>
  </si>
  <si>
    <r>
      <rPr>
        <rFont val="Century Gothic"/>
        <sz val="12.00"/>
        <color rgb="FF000000"/>
        <family val="2"/>
      </rPr>
      <t>Belgium</t>
    </r>
  </si>
  <si>
    <t>Barbados</t>
  </si>
  <si>
    <r>
      <rPr>
        <rFont val="Century Gothic"/>
        <sz val="12.00"/>
        <color rgb="FF000000"/>
        <family val="2"/>
      </rPr>
      <t>Belize</t>
    </r>
  </si>
  <si>
    <t>Belarus</t>
  </si>
  <si>
    <r>
      <rPr>
        <rFont val="Century Gothic"/>
        <sz val="12.00"/>
        <color rgb="FF000000"/>
        <family val="2"/>
      </rPr>
      <t>Benin</t>
    </r>
  </si>
  <si>
    <t>Belgium</t>
  </si>
  <si>
    <r>
      <rPr>
        <rFont val="Century Gothic"/>
        <sz val="12.00"/>
        <color rgb="FF000000"/>
        <family val="2"/>
      </rPr>
      <t>Bermuda</t>
    </r>
  </si>
  <si>
    <t>Belize</t>
  </si>
  <si>
    <r>
      <rPr>
        <rFont val="Century Gothic"/>
        <sz val="12.00"/>
        <color rgb="FF000000"/>
        <family val="2"/>
      </rPr>
      <t>Bhutan</t>
    </r>
  </si>
  <si>
    <t>Benin</t>
  </si>
  <si>
    <r>
      <rPr>
        <rFont val="Century Gothic"/>
        <sz val="12.00"/>
        <color rgb="FF000000"/>
        <family val="2"/>
      </rPr>
      <t>Bolivia</t>
    </r>
  </si>
  <si>
    <t>Bermuda</t>
  </si>
  <si>
    <r>
      <rPr>
        <rFont val="Century Gothic"/>
        <sz val="12.00"/>
        <color rgb="FF000000"/>
        <family val="2"/>
      </rPr>
      <t>Bosnia And Herzegowina</t>
    </r>
  </si>
  <si>
    <t>Bhutan</t>
  </si>
  <si>
    <r>
      <rPr>
        <rFont val="Century Gothic"/>
        <sz val="12.00"/>
        <color rgb="FF000000"/>
        <family val="2"/>
      </rPr>
      <t>Botswana</t>
    </r>
  </si>
  <si>
    <t>Bolivia</t>
  </si>
  <si>
    <r>
      <rPr>
        <rFont val="Century Gothic"/>
        <sz val="12.00"/>
        <color rgb="FF000000"/>
        <family val="2"/>
      </rPr>
      <t>Bouvet Island</t>
    </r>
  </si>
  <si>
    <t>Bosnia And Herzegowina</t>
  </si>
  <si>
    <r>
      <rPr>
        <rFont val="Century Gothic"/>
        <sz val="12.00"/>
        <color rgb="FF000000"/>
        <family val="2"/>
      </rPr>
      <t>Brazil</t>
    </r>
  </si>
  <si>
    <t>Botswana</t>
  </si>
  <si>
    <r>
      <rPr>
        <rFont val="Century Gothic"/>
        <sz val="12.00"/>
        <color rgb="FF000000"/>
        <family val="2"/>
      </rPr>
      <t>British Indian Ocean Territory</t>
    </r>
  </si>
  <si>
    <t>Bouvet Island</t>
  </si>
  <si>
    <r>
      <rPr>
        <rFont val="Century Gothic"/>
        <sz val="12.00"/>
        <color rgb="FF000000"/>
        <family val="2"/>
      </rPr>
      <t>Brunei Darussalam</t>
    </r>
  </si>
  <si>
    <t>Brazil</t>
  </si>
  <si>
    <r>
      <rPr>
        <rFont val="Century Gothic"/>
        <sz val="12.00"/>
        <color rgb="FF000000"/>
        <family val="2"/>
      </rPr>
      <t>Bulgaria</t>
    </r>
  </si>
  <si>
    <t>British Indian Ocean Territory</t>
  </si>
  <si>
    <r>
      <rPr>
        <rFont val="Century Gothic"/>
        <sz val="12.00"/>
        <color rgb="FF000000"/>
        <family val="2"/>
      </rPr>
      <t>Burkina Faso</t>
    </r>
  </si>
  <si>
    <t>Brunei Darussalam</t>
  </si>
  <si>
    <r>
      <rPr>
        <rFont val="Century Gothic"/>
        <sz val="12.00"/>
        <color rgb="FF000000"/>
        <family val="2"/>
      </rPr>
      <t>Burundi</t>
    </r>
  </si>
  <si>
    <t>Bulgaria</t>
  </si>
  <si>
    <r>
      <rPr>
        <rFont val="Century Gothic"/>
        <sz val="12.00"/>
        <color rgb="FF000000"/>
        <family val="2"/>
      </rPr>
      <t>Cambodia</t>
    </r>
  </si>
  <si>
    <t>Burkina Faso</t>
  </si>
  <si>
    <r>
      <rPr>
        <rFont val="Century Gothic"/>
        <sz val="12.00"/>
        <color rgb="FF000000"/>
        <family val="2"/>
      </rPr>
      <t>Cameroon</t>
    </r>
  </si>
  <si>
    <t>Burundi</t>
  </si>
  <si>
    <r>
      <rPr>
        <rFont val="Century Gothic"/>
        <sz val="12.00"/>
        <family val="2"/>
      </rPr>
      <t>Thailand</t>
    </r>
  </si>
  <si>
    <r>
      <rPr>
        <rFont val="Century Gothic"/>
        <sz val="12.00"/>
        <family val="2"/>
      </rPr>
      <t>THB</t>
    </r>
  </si>
  <si>
    <r>
      <rPr>
        <rFont val="Century Gothic"/>
        <sz val="12.00"/>
        <color rgb="FF000000"/>
        <family val="2"/>
      </rPr>
      <t>Canada</t>
    </r>
  </si>
  <si>
    <t>Cambodia</t>
  </si>
  <si>
    <r>
      <rPr>
        <rFont val="Century Gothic"/>
        <sz val="12.00"/>
        <family val="2"/>
      </rPr>
      <t>Vietnam</t>
    </r>
  </si>
  <si>
    <r>
      <rPr>
        <rFont val="Century Gothic"/>
        <sz val="12.00"/>
        <family val="2"/>
      </rPr>
      <t>VND</t>
    </r>
  </si>
  <si>
    <r>
      <rPr>
        <rFont val="Century Gothic"/>
        <sz val="12.00"/>
        <color rgb="FF000000"/>
        <family val="2"/>
      </rPr>
      <t>Cape Verde</t>
    </r>
  </si>
  <si>
    <t>Cameroon</t>
  </si>
  <si>
    <r>
      <rPr>
        <rFont val="Century Gothic"/>
        <sz val="12.00"/>
        <family val="2"/>
      </rPr>
      <t>India</t>
    </r>
  </si>
  <si>
    <r>
      <rPr>
        <rFont val="Century Gothic"/>
        <sz val="12.00"/>
        <family val="2"/>
      </rPr>
      <t>INR</t>
    </r>
  </si>
  <si>
    <r>
      <rPr>
        <rFont val="Century Gothic"/>
        <sz val="12.00"/>
        <color rgb="FF000000"/>
        <family val="2"/>
      </rPr>
      <t>Cayman Islands</t>
    </r>
  </si>
  <si>
    <t>Canada</t>
  </si>
  <si>
    <r>
      <rPr>
        <rFont val="Century Gothic"/>
        <sz val="12.00"/>
        <family val="2"/>
      </rPr>
      <t>Indonesia</t>
    </r>
  </si>
  <si>
    <r>
      <rPr>
        <rFont val="Century Gothic"/>
        <sz val="12.00"/>
        <family val="2"/>
      </rPr>
      <t>IDR</t>
    </r>
  </si>
  <si>
    <r>
      <rPr>
        <rFont val="Century Gothic"/>
        <sz val="12.00"/>
        <color rgb="FF000000"/>
        <family val="2"/>
      </rPr>
      <t>Central African Republic</t>
    </r>
  </si>
  <si>
    <t>Cape Verde</t>
  </si>
  <si>
    <r>
      <rPr>
        <rFont val="Century Gothic"/>
        <sz val="12.00"/>
        <family val="2"/>
      </rPr>
      <t>Hong Kong</t>
    </r>
  </si>
  <si>
    <r>
      <rPr>
        <rFont val="Century Gothic"/>
        <sz val="12.00"/>
        <family val="2"/>
      </rPr>
      <t>USD</t>
    </r>
  </si>
  <si>
    <r>
      <rPr>
        <rFont val="Century Gothic"/>
        <sz val="12.00"/>
        <color rgb="FF000000"/>
        <family val="2"/>
      </rPr>
      <t>Chad</t>
    </r>
  </si>
  <si>
    <t>Cayman Islands</t>
  </si>
  <si>
    <r>
      <rPr>
        <rFont val="Century Gothic"/>
        <sz val="12.00"/>
        <family val="2"/>
      </rPr>
      <t>Turkey</t>
    </r>
  </si>
  <si>
    <r>
      <rPr>
        <rFont val="Century Gothic"/>
        <sz val="12.00"/>
        <family val="2"/>
      </rPr>
      <t>USD</t>
    </r>
  </si>
  <si>
    <r>
      <rPr>
        <rFont val="Century Gothic"/>
        <sz val="12.00"/>
        <color rgb="FF000000"/>
        <family val="2"/>
      </rPr>
      <t>Chile</t>
    </r>
  </si>
  <si>
    <t>Central African Republic</t>
  </si>
  <si>
    <r>
      <rPr>
        <rFont val="Century Gothic"/>
        <sz val="12.00"/>
        <family val="2"/>
      </rPr>
      <t>Russia</t>
    </r>
  </si>
  <si>
    <r>
      <rPr>
        <rFont val="Century Gothic"/>
        <sz val="12.00"/>
        <family val="2"/>
      </rPr>
      <t>USD</t>
    </r>
  </si>
  <si>
    <r>
      <rPr>
        <rFont val="Century Gothic"/>
        <sz val="12.00"/>
        <color rgb="FF000000"/>
        <family val="2"/>
      </rPr>
      <t>China</t>
    </r>
  </si>
  <si>
    <t>Chad</t>
  </si>
  <si>
    <r>
      <rPr>
        <rFont val="Century Gothic"/>
        <sz val="12.00"/>
        <family val="2"/>
      </rPr>
      <t>Oman</t>
    </r>
  </si>
  <si>
    <r>
      <rPr>
        <rFont val="Century Gothic"/>
        <sz val="12.00"/>
        <family val="2"/>
      </rPr>
      <t>OMR</t>
    </r>
  </si>
  <si>
    <r>
      <rPr>
        <rFont val="Century Gothic"/>
        <sz val="12.00"/>
        <color rgb="FF000000"/>
        <family val="2"/>
      </rPr>
      <t>Christmas Island</t>
    </r>
  </si>
  <si>
    <t>Chile</t>
  </si>
  <si>
    <r>
      <rPr>
        <rFont val="Century Gothic"/>
        <sz val="12.00"/>
        <family val="2"/>
      </rPr>
      <t>Laos</t>
    </r>
  </si>
  <si>
    <r>
      <rPr>
        <rFont val="Century Gothic"/>
        <sz val="12.00"/>
        <family val="2"/>
      </rPr>
      <t>KIP</t>
    </r>
  </si>
  <si>
    <r>
      <rPr>
        <rFont val="Century Gothic"/>
        <sz val="12.00"/>
        <color rgb="FF000000"/>
        <family val="2"/>
      </rPr>
      <t>Cocos (Keeling) Islands</t>
    </r>
  </si>
  <si>
    <t>China</t>
  </si>
  <si>
    <r>
      <rPr>
        <rFont val="Century Gothic"/>
        <sz val="12.00"/>
        <color rgb="FF000000"/>
        <family val="2"/>
      </rPr>
      <t>Colombia</t>
    </r>
  </si>
  <si>
    <t>Christmas Island</t>
  </si>
  <si>
    <r>
      <rPr>
        <rFont val="Century Gothic"/>
        <sz val="12.00"/>
        <color rgb="FF000000"/>
        <family val="2"/>
      </rPr>
      <t>Comoros</t>
    </r>
  </si>
  <si>
    <t>Cocos (Keeling) Islands</t>
  </si>
  <si>
    <r>
      <rPr>
        <rFont val="Century Gothic"/>
        <sz val="12.00"/>
        <color rgb="FF000000"/>
        <family val="2"/>
      </rPr>
      <t>Congo</t>
    </r>
  </si>
  <si>
    <t>Colombia</t>
  </si>
  <si>
    <r>
      <rPr>
        <rFont val="Century Gothic"/>
        <sz val="12.00"/>
        <color rgb="FF000000"/>
        <family val="2"/>
      </rPr>
      <t>Congo, The Drc</t>
    </r>
  </si>
  <si>
    <t>Comoros</t>
  </si>
  <si>
    <r>
      <rPr>
        <rFont val="Century Gothic"/>
        <sz val="12.00"/>
        <color rgb="FF000000"/>
        <family val="2"/>
      </rPr>
      <t>Cook Islands</t>
    </r>
  </si>
  <si>
    <t>Congo</t>
  </si>
  <si>
    <r>
      <rPr>
        <rFont val="Century Gothic"/>
        <sz val="12.00"/>
        <color rgb="FF000000"/>
        <family val="2"/>
      </rPr>
      <t>Costa Rica</t>
    </r>
  </si>
  <si>
    <t>Congo, The Drc</t>
  </si>
  <si>
    <r>
      <rPr>
        <rFont val="Century Gothic"/>
        <sz val="12.00"/>
        <color rgb="FF000000"/>
        <family val="2"/>
      </rPr>
      <t>Cote D'Ivoire</t>
    </r>
  </si>
  <si>
    <t>Cook Islands</t>
  </si>
  <si>
    <r>
      <rPr>
        <rFont val="Century Gothic"/>
        <sz val="12.00"/>
        <color rgb="FF000000"/>
        <family val="2"/>
      </rPr>
      <t>Croatia (Local Name: Hrvatska)</t>
    </r>
  </si>
  <si>
    <t>Costa Rica</t>
  </si>
  <si>
    <r>
      <rPr>
        <rFont val="Century Gothic"/>
        <sz val="12.00"/>
        <color rgb="FF000000"/>
        <family val="2"/>
      </rPr>
      <t>Cuba</t>
    </r>
  </si>
  <si>
    <t>Cote D'Ivoire</t>
  </si>
  <si>
    <r>
      <rPr>
        <rFont val="Century Gothic"/>
        <sz val="12.00"/>
        <color rgb="FF000000"/>
        <family val="2"/>
      </rPr>
      <t>Cyprus</t>
    </r>
  </si>
  <si>
    <t>Croatia (Local Name: Hrvatska)</t>
  </si>
  <si>
    <r>
      <rPr>
        <rFont val="Century Gothic"/>
        <sz val="12.00"/>
        <color rgb="FF000000"/>
        <family val="2"/>
      </rPr>
      <t>Czech Republic</t>
    </r>
  </si>
  <si>
    <t>Cuba</t>
  </si>
  <si>
    <r>
      <rPr>
        <rFont val="Century Gothic"/>
        <sz val="12.00"/>
        <color rgb="FF000000"/>
        <family val="2"/>
      </rPr>
      <t>Denmark</t>
    </r>
  </si>
  <si>
    <t>Cyprus</t>
  </si>
  <si>
    <r>
      <rPr>
        <rFont val="Century Gothic"/>
        <sz val="12.00"/>
        <color rgb="FF000000"/>
        <family val="2"/>
      </rPr>
      <t>Djibouti</t>
    </r>
  </si>
  <si>
    <t>Czech Republic</t>
  </si>
  <si>
    <r>
      <rPr>
        <rFont val="Century Gothic"/>
        <sz val="12.00"/>
        <color rgb="FF000000"/>
        <family val="2"/>
      </rPr>
      <t>Dominica</t>
    </r>
  </si>
  <si>
    <t>Denmark</t>
  </si>
  <si>
    <r>
      <rPr>
        <rFont val="Century Gothic"/>
        <sz val="12.00"/>
        <color rgb="FF000000"/>
        <family val="2"/>
      </rPr>
      <t>Dominican Republic</t>
    </r>
  </si>
  <si>
    <t>Djibouti</t>
  </si>
  <si>
    <r>
      <rPr>
        <rFont val="Century Gothic"/>
        <sz val="12.00"/>
        <color rgb="FF000000"/>
        <family val="2"/>
      </rPr>
      <t>East Timor</t>
    </r>
  </si>
  <si>
    <t>Dominica</t>
  </si>
  <si>
    <r>
      <rPr>
        <rFont val="Century Gothic"/>
        <sz val="12.00"/>
        <color rgb="FF000000"/>
        <family val="2"/>
      </rPr>
      <t>Ecuador</t>
    </r>
  </si>
  <si>
    <t>Dominican Republic</t>
  </si>
  <si>
    <r>
      <rPr>
        <rFont val="Century Gothic"/>
        <sz val="12.00"/>
        <color rgb="FF000000"/>
        <family val="2"/>
      </rPr>
      <t>Egypt</t>
    </r>
  </si>
  <si>
    <t>East Timor</t>
  </si>
  <si>
    <r>
      <rPr>
        <rFont val="Century Gothic"/>
        <sz val="12.00"/>
        <color rgb="FF000000"/>
        <family val="2"/>
      </rPr>
      <t>El Salvador</t>
    </r>
  </si>
  <si>
    <t>Ecuador</t>
  </si>
  <si>
    <r>
      <rPr>
        <rFont val="Century Gothic"/>
        <sz val="12.00"/>
        <color rgb="FF000000"/>
        <family val="2"/>
      </rPr>
      <t>Equatorial Guinea</t>
    </r>
  </si>
  <si>
    <t>Egypt</t>
  </si>
  <si>
    <r>
      <rPr>
        <rFont val="Century Gothic"/>
        <sz val="12.00"/>
        <color rgb="FF000000"/>
        <family val="2"/>
      </rPr>
      <t>Eritrea</t>
    </r>
  </si>
  <si>
    <t>El Salvador</t>
  </si>
  <si>
    <r>
      <rPr>
        <rFont val="Century Gothic"/>
        <sz val="12.00"/>
        <color rgb="FF000000"/>
        <family val="2"/>
      </rPr>
      <t>Estonia</t>
    </r>
  </si>
  <si>
    <t>Equatorial Guinea</t>
  </si>
  <si>
    <r>
      <rPr>
        <rFont val="Century Gothic"/>
        <sz val="12.00"/>
        <color rgb="FF000000"/>
        <family val="2"/>
      </rPr>
      <t>Ethiopia</t>
    </r>
  </si>
  <si>
    <t>Eritrea</t>
  </si>
  <si>
    <r>
      <rPr>
        <rFont val="Century Gothic"/>
        <sz val="12.00"/>
        <color rgb="FF000000"/>
        <family val="2"/>
      </rPr>
      <t>Falkland Islands (Malvinas)</t>
    </r>
  </si>
  <si>
    <t>Estonia</t>
  </si>
  <si>
    <r>
      <rPr>
        <rFont val="Century Gothic"/>
        <sz val="12.00"/>
        <color rgb="FF000000"/>
        <family val="2"/>
      </rPr>
      <t>Faroe Islands</t>
    </r>
  </si>
  <si>
    <t>Ethiopia</t>
  </si>
  <si>
    <r>
      <rPr>
        <rFont val="Century Gothic"/>
        <sz val="12.00"/>
        <color rgb="FF000000"/>
        <family val="2"/>
      </rPr>
      <t>Fiji</t>
    </r>
  </si>
  <si>
    <t>Falkland Islands (Malvinas)</t>
  </si>
  <si>
    <r>
      <rPr>
        <rFont val="Century Gothic"/>
        <sz val="12.00"/>
        <color rgb="FF000000"/>
        <family val="2"/>
      </rPr>
      <t>Finland</t>
    </r>
  </si>
  <si>
    <t>Faroe Islands</t>
  </si>
  <si>
    <r>
      <rPr>
        <rFont val="Century Gothic"/>
        <sz val="12.00"/>
        <color rgb="FF000000"/>
        <family val="2"/>
      </rPr>
      <t>France</t>
    </r>
  </si>
  <si>
    <t>Fiji</t>
  </si>
  <si>
    <r>
      <rPr>
        <rFont val="Century Gothic"/>
        <sz val="12.00"/>
        <color rgb="FF000000"/>
        <family val="2"/>
      </rPr>
      <t>France, Metropolitan</t>
    </r>
  </si>
  <si>
    <t>Finland</t>
  </si>
  <si>
    <r>
      <rPr>
        <rFont val="Century Gothic"/>
        <sz val="12.00"/>
        <color rgb="FF000000"/>
        <family val="2"/>
      </rPr>
      <t>French Guiana</t>
    </r>
  </si>
  <si>
    <t>France</t>
  </si>
  <si>
    <r>
      <rPr>
        <rFont val="Century Gothic"/>
        <sz val="12.00"/>
        <color rgb="FF000000"/>
        <family val="2"/>
      </rPr>
      <t>French Polynesia</t>
    </r>
  </si>
  <si>
    <t>France, Metropolitan</t>
  </si>
  <si>
    <r>
      <rPr>
        <rFont val="Century Gothic"/>
        <sz val="12.00"/>
        <color rgb="FF000000"/>
        <family val="2"/>
      </rPr>
      <t>French Southern Territories</t>
    </r>
  </si>
  <si>
    <t>French Guiana</t>
  </si>
  <si>
    <r>
      <rPr>
        <rFont val="Century Gothic"/>
        <sz val="12.00"/>
        <color rgb="FF000000"/>
        <family val="2"/>
      </rPr>
      <t>Gabon</t>
    </r>
  </si>
  <si>
    <t>French Polynesia</t>
  </si>
  <si>
    <r>
      <rPr>
        <rFont val="Century Gothic"/>
        <sz val="12.00"/>
        <color rgb="FF000000"/>
        <family val="2"/>
      </rPr>
      <t>Gambia</t>
    </r>
  </si>
  <si>
    <t>French Southern Territories</t>
  </si>
  <si>
    <r>
      <rPr>
        <rFont val="Century Gothic"/>
        <sz val="12.00"/>
        <color rgb="FF000000"/>
        <family val="2"/>
      </rPr>
      <t>Georgia</t>
    </r>
  </si>
  <si>
    <t>Gabon</t>
  </si>
  <si>
    <r>
      <rPr>
        <rFont val="Century Gothic"/>
        <sz val="12.00"/>
        <color rgb="FF000000"/>
        <family val="2"/>
      </rPr>
      <t>Germany</t>
    </r>
  </si>
  <si>
    <t>Gambia</t>
  </si>
  <si>
    <r>
      <rPr>
        <rFont val="Century Gothic"/>
        <sz val="12.00"/>
        <color rgb="FF000000"/>
        <family val="2"/>
      </rPr>
      <t>Ghana</t>
    </r>
  </si>
  <si>
    <t>Georgia</t>
  </si>
  <si>
    <r>
      <rPr>
        <rFont val="Century Gothic"/>
        <sz val="12.00"/>
        <color rgb="FF000000"/>
        <family val="2"/>
      </rPr>
      <t>Gibraltar</t>
    </r>
  </si>
  <si>
    <t>Germany</t>
  </si>
  <si>
    <r>
      <rPr>
        <rFont val="Century Gothic"/>
        <sz val="12.00"/>
        <color rgb="FF000000"/>
        <family val="2"/>
      </rPr>
      <t>Greece</t>
    </r>
  </si>
  <si>
    <t>Ghana</t>
  </si>
  <si>
    <r>
      <rPr>
        <rFont val="Century Gothic"/>
        <sz val="12.00"/>
        <color rgb="FF000000"/>
        <family val="2"/>
      </rPr>
      <t>Greenland</t>
    </r>
  </si>
  <si>
    <t>Gibraltar</t>
  </si>
  <si>
    <r>
      <rPr>
        <rFont val="Century Gothic"/>
        <sz val="12.00"/>
        <color rgb="FF000000"/>
        <family val="2"/>
      </rPr>
      <t>Grenada</t>
    </r>
  </si>
  <si>
    <t>Greece</t>
  </si>
  <si>
    <r>
      <rPr>
        <rFont val="Century Gothic"/>
        <sz val="12.00"/>
        <color rgb="FF000000"/>
        <family val="2"/>
      </rPr>
      <t>Guadeloupe</t>
    </r>
  </si>
  <si>
    <t>Greenland</t>
  </si>
  <si>
    <r>
      <rPr>
        <rFont val="Century Gothic"/>
        <sz val="12.00"/>
        <color rgb="FF000000"/>
        <family val="2"/>
      </rPr>
      <t>Guam</t>
    </r>
  </si>
  <si>
    <t>Grenada</t>
  </si>
  <si>
    <r>
      <rPr>
        <rFont val="Century Gothic"/>
        <sz val="12.00"/>
        <color rgb="FF000000"/>
        <family val="2"/>
      </rPr>
      <t>Guatemala</t>
    </r>
  </si>
  <si>
    <t>Guadeloupe</t>
  </si>
  <si>
    <r>
      <rPr>
        <rFont val="Century Gothic"/>
        <sz val="12.00"/>
        <color rgb="FF000000"/>
        <family val="2"/>
      </rPr>
      <t>Guinea</t>
    </r>
  </si>
  <si>
    <t>Guam</t>
  </si>
  <si>
    <r>
      <rPr>
        <rFont val="Century Gothic"/>
        <sz val="12.00"/>
        <color rgb="FF000000"/>
        <family val="2"/>
      </rPr>
      <t>Guinea-Bissau</t>
    </r>
  </si>
  <si>
    <t>Guatemala</t>
  </si>
  <si>
    <r>
      <rPr>
        <rFont val="Century Gothic"/>
        <sz val="12.00"/>
        <color rgb="FF000000"/>
        <family val="2"/>
      </rPr>
      <t>Guyana</t>
    </r>
  </si>
  <si>
    <t>Guinea</t>
  </si>
  <si>
    <r>
      <rPr>
        <rFont val="Century Gothic"/>
        <sz val="12.00"/>
        <color rgb="FF000000"/>
        <family val="2"/>
      </rPr>
      <t>Haiti</t>
    </r>
  </si>
  <si>
    <t>Guinea-Bissau</t>
  </si>
  <si>
    <r>
      <rPr>
        <rFont val="Century Gothic"/>
        <sz val="12.00"/>
        <color rgb="FF000000"/>
        <family val="2"/>
      </rPr>
      <t>Heard And Mc Donald Islands</t>
    </r>
  </si>
  <si>
    <t>Guyana</t>
  </si>
  <si>
    <r>
      <rPr>
        <rFont val="Century Gothic"/>
        <sz val="12.00"/>
        <color rgb="FF000000"/>
        <family val="2"/>
      </rPr>
      <t>Holy See (Vatican City State)</t>
    </r>
  </si>
  <si>
    <t>Haiti</t>
  </si>
  <si>
    <r>
      <rPr>
        <rFont val="Century Gothic"/>
        <sz val="12.00"/>
        <color rgb="FF000000"/>
        <family val="2"/>
      </rPr>
      <t>Honduras</t>
    </r>
  </si>
  <si>
    <t>Heard And Mc Donald Islands</t>
  </si>
  <si>
    <r>
      <rPr>
        <rFont val="Century Gothic"/>
        <sz val="12.00"/>
        <color rgb="FF000000"/>
        <family val="2"/>
      </rPr>
      <t>Hong Kong</t>
    </r>
  </si>
  <si>
    <t>Holy See (Vatican City State)</t>
  </si>
  <si>
    <r>
      <rPr>
        <rFont val="Century Gothic"/>
        <sz val="12.00"/>
        <color rgb="FF000000"/>
        <family val="2"/>
      </rPr>
      <t>Hungary</t>
    </r>
  </si>
  <si>
    <t>Honduras</t>
  </si>
  <si>
    <r>
      <rPr>
        <rFont val="Century Gothic"/>
        <sz val="12.00"/>
        <color rgb="FF000000"/>
        <family val="2"/>
      </rPr>
      <t>Iceland</t>
    </r>
  </si>
  <si>
    <t>Hong Kong</t>
  </si>
  <si>
    <r>
      <rPr>
        <rFont val="Century Gothic"/>
        <sz val="12.00"/>
        <color rgb="FF000000"/>
        <family val="2"/>
      </rPr>
      <t>India</t>
    </r>
  </si>
  <si>
    <t>Hungary</t>
  </si>
  <si>
    <r>
      <rPr>
        <rFont val="Century Gothic"/>
        <sz val="12.00"/>
        <color rgb="FF000000"/>
        <family val="2"/>
      </rPr>
      <t>Indonesia</t>
    </r>
  </si>
  <si>
    <t>Iceland</t>
  </si>
  <si>
    <r>
      <rPr>
        <rFont val="Century Gothic"/>
        <sz val="12.00"/>
        <color rgb="FF000000"/>
        <family val="2"/>
      </rPr>
      <t>Iran (Islamic Republic Of)</t>
    </r>
  </si>
  <si>
    <t>Indonesia</t>
  </si>
  <si>
    <r>
      <rPr>
        <rFont val="Century Gothic"/>
        <sz val="12.00"/>
        <color rgb="FF000000"/>
        <family val="2"/>
      </rPr>
      <t>Iraq</t>
    </r>
  </si>
  <si>
    <t>Iran (Islamic Republic Of)</t>
  </si>
  <si>
    <r>
      <rPr>
        <rFont val="Century Gothic"/>
        <sz val="12.00"/>
        <color rgb="FF000000"/>
        <family val="2"/>
      </rPr>
      <t>Ireland</t>
    </r>
  </si>
  <si>
    <t>Iraq</t>
  </si>
  <si>
    <r>
      <rPr>
        <rFont val="Century Gothic"/>
        <sz val="12.00"/>
        <color rgb="FF000000"/>
        <family val="2"/>
      </rPr>
      <t>Israel</t>
    </r>
  </si>
  <si>
    <t>Ireland</t>
  </si>
  <si>
    <r>
      <rPr>
        <rFont val="Century Gothic"/>
        <sz val="12.00"/>
        <color rgb="FF000000"/>
        <family val="2"/>
      </rPr>
      <t>Italy</t>
    </r>
  </si>
  <si>
    <t>Israel</t>
  </si>
  <si>
    <r>
      <rPr>
        <rFont val="Century Gothic"/>
        <sz val="12.00"/>
        <color rgb="FF000000"/>
        <family val="2"/>
      </rPr>
      <t>Jamaica</t>
    </r>
  </si>
  <si>
    <t>Italy</t>
  </si>
  <si>
    <r>
      <rPr>
        <rFont val="Century Gothic"/>
        <sz val="12.00"/>
        <color rgb="FF000000"/>
        <family val="2"/>
      </rPr>
      <t>Japan</t>
    </r>
  </si>
  <si>
    <t>Jamaica</t>
  </si>
  <si>
    <r>
      <rPr>
        <rFont val="Century Gothic"/>
        <sz val="12.00"/>
        <color rgb="FF000000"/>
        <family val="2"/>
      </rPr>
      <t>Jordan</t>
    </r>
  </si>
  <si>
    <t>Japan</t>
  </si>
  <si>
    <r>
      <rPr>
        <rFont val="Century Gothic"/>
        <sz val="12.00"/>
        <color rgb="FF000000"/>
        <family val="2"/>
      </rPr>
      <t>Kazakhstan</t>
    </r>
  </si>
  <si>
    <t>Jordan</t>
  </si>
  <si>
    <r>
      <rPr>
        <rFont val="Century Gothic"/>
        <sz val="12.00"/>
        <color rgb="FF000000"/>
        <family val="2"/>
      </rPr>
      <t>Kenya</t>
    </r>
  </si>
  <si>
    <t>Kazakhstan</t>
  </si>
  <si>
    <r>
      <rPr>
        <rFont val="Century Gothic"/>
        <sz val="12.00"/>
        <color rgb="FF000000"/>
        <family val="2"/>
      </rPr>
      <t>Kiribati</t>
    </r>
  </si>
  <si>
    <t>Kenya</t>
  </si>
  <si>
    <r>
      <rPr>
        <rFont val="Century Gothic"/>
        <sz val="12.00"/>
        <color rgb="FF000000"/>
        <family val="2"/>
      </rPr>
      <t>Korea, D.P.R.O.</t>
    </r>
  </si>
  <si>
    <t>Kiribati</t>
  </si>
  <si>
    <r>
      <rPr>
        <rFont val="Century Gothic"/>
        <sz val="12.00"/>
        <color rgb="FF000000"/>
        <family val="2"/>
      </rPr>
      <t>Korea</t>
    </r>
  </si>
  <si>
    <t>Korea, D.P.R.O.</t>
  </si>
  <si>
    <r>
      <rPr>
        <rFont val="Century Gothic"/>
        <sz val="12.00"/>
        <color rgb="FF000000"/>
        <family val="2"/>
      </rPr>
      <t>Kossovo</t>
    </r>
  </si>
  <si>
    <t>Korea</t>
  </si>
  <si>
    <r>
      <rPr>
        <rFont val="Century Gothic"/>
        <sz val="12.00"/>
        <color rgb="FF000000"/>
        <family val="2"/>
      </rPr>
      <t>Kuwait</t>
    </r>
  </si>
  <si>
    <t>Kossovo</t>
  </si>
  <si>
    <r>
      <rPr>
        <rFont val="Century Gothic"/>
        <sz val="12.00"/>
        <color rgb="FF000000"/>
        <family val="2"/>
      </rPr>
      <t>Kyrgyzstan</t>
    </r>
  </si>
  <si>
    <t>Kuwait</t>
  </si>
  <si>
    <r>
      <rPr>
        <rFont val="Century Gothic"/>
        <sz val="12.00"/>
        <color rgb="FF000000"/>
        <family val="2"/>
      </rPr>
      <t xml:space="preserve">Laos </t>
    </r>
  </si>
  <si>
    <t>Kyrgyzstan</t>
  </si>
  <si>
    <r>
      <rPr>
        <rFont val="Century Gothic"/>
        <sz val="12.00"/>
        <color rgb="FF000000"/>
        <family val="2"/>
      </rPr>
      <t>Latvia</t>
    </r>
  </si>
  <si>
    <t>Laos </t>
  </si>
  <si>
    <r>
      <rPr>
        <rFont val="Century Gothic"/>
        <sz val="12.00"/>
        <color rgb="FF000000"/>
        <family val="2"/>
      </rPr>
      <t>Lebanon</t>
    </r>
  </si>
  <si>
    <t>Latvia</t>
  </si>
  <si>
    <r>
      <rPr>
        <rFont val="Century Gothic"/>
        <sz val="12.00"/>
        <color rgb="FF000000"/>
        <family val="2"/>
      </rPr>
      <t>Lesotho</t>
    </r>
  </si>
  <si>
    <t>Lebanon</t>
  </si>
  <si>
    <r>
      <rPr>
        <rFont val="Century Gothic"/>
        <sz val="12.00"/>
        <color rgb="FF000000"/>
        <family val="2"/>
      </rPr>
      <t>Liberia</t>
    </r>
  </si>
  <si>
    <t>Lesotho</t>
  </si>
  <si>
    <r>
      <rPr>
        <rFont val="Century Gothic"/>
        <sz val="12.00"/>
        <color rgb="FF000000"/>
        <family val="2"/>
      </rPr>
      <t>Libyan Arab Jamahiriya</t>
    </r>
  </si>
  <si>
    <t>Liberia</t>
  </si>
  <si>
    <r>
      <rPr>
        <rFont val="Century Gothic"/>
        <sz val="12.00"/>
        <color rgb="FF000000"/>
        <family val="2"/>
      </rPr>
      <t>Liechtenstein</t>
    </r>
  </si>
  <si>
    <t>Libyan Arab Jamahiriya</t>
  </si>
  <si>
    <r>
      <rPr>
        <rFont val="Century Gothic"/>
        <sz val="12.00"/>
        <color rgb="FF000000"/>
        <family val="2"/>
      </rPr>
      <t>Lithuania</t>
    </r>
  </si>
  <si>
    <t>Liechtenstein</t>
  </si>
  <si>
    <r>
      <rPr>
        <rFont val="Century Gothic"/>
        <sz val="12.00"/>
        <color rgb="FF000000"/>
        <family val="2"/>
      </rPr>
      <t>Luxembourg</t>
    </r>
  </si>
  <si>
    <t>Lithuania</t>
  </si>
  <si>
    <r>
      <rPr>
        <rFont val="Century Gothic"/>
        <sz val="12.00"/>
        <color rgb="FF000000"/>
        <family val="2"/>
      </rPr>
      <t>Macau</t>
    </r>
  </si>
  <si>
    <t>Luxembourg</t>
  </si>
  <si>
    <r>
      <rPr>
        <rFont val="Century Gothic"/>
        <sz val="12.00"/>
        <color rgb="FF000000"/>
        <family val="2"/>
      </rPr>
      <t>Macedonia</t>
    </r>
  </si>
  <si>
    <t>Macau</t>
  </si>
  <si>
    <r>
      <rPr>
        <rFont val="Century Gothic"/>
        <sz val="12.00"/>
        <color rgb="FF000000"/>
        <family val="2"/>
      </rPr>
      <t>Madagascar</t>
    </r>
  </si>
  <si>
    <t>Macedonia</t>
  </si>
  <si>
    <r>
      <rPr>
        <rFont val="Century Gothic"/>
        <sz val="12.00"/>
        <color rgb="FF000000"/>
        <family val="2"/>
      </rPr>
      <t>Malawi</t>
    </r>
  </si>
  <si>
    <t>Madagascar</t>
  </si>
  <si>
    <r>
      <rPr>
        <rFont val="Century Gothic"/>
        <sz val="12.00"/>
        <color rgb="FF000000"/>
        <family val="2"/>
      </rPr>
      <t>Malaysia</t>
    </r>
  </si>
  <si>
    <t>Malawi</t>
  </si>
  <si>
    <r>
      <rPr>
        <rFont val="Century Gothic"/>
        <sz val="12.00"/>
        <color rgb="FF000000"/>
        <family val="2"/>
      </rPr>
      <t>Maldives</t>
    </r>
  </si>
  <si>
    <t>Malaysia</t>
  </si>
  <si>
    <r>
      <rPr>
        <rFont val="Century Gothic"/>
        <sz val="12.00"/>
        <color rgb="FF000000"/>
        <family val="2"/>
      </rPr>
      <t>Mali</t>
    </r>
  </si>
  <si>
    <t>Maldives</t>
  </si>
  <si>
    <r>
      <rPr>
        <rFont val="Century Gothic"/>
        <sz val="12.00"/>
        <color rgb="FF000000"/>
        <family val="2"/>
      </rPr>
      <t>Malta</t>
    </r>
  </si>
  <si>
    <t>Mali</t>
  </si>
  <si>
    <r>
      <rPr>
        <rFont val="Century Gothic"/>
        <sz val="12.00"/>
        <color rgb="FF000000"/>
        <family val="2"/>
      </rPr>
      <t>Marshall Islands</t>
    </r>
  </si>
  <si>
    <t>Malta</t>
  </si>
  <si>
    <r>
      <rPr>
        <rFont val="Century Gothic"/>
        <sz val="12.00"/>
        <color rgb="FF000000"/>
        <family val="2"/>
      </rPr>
      <t>Martinique</t>
    </r>
  </si>
  <si>
    <t>Marshall Islands</t>
  </si>
  <si>
    <r>
      <rPr>
        <rFont val="Century Gothic"/>
        <sz val="12.00"/>
        <color rgb="FF000000"/>
        <family val="2"/>
      </rPr>
      <t>Mauritania</t>
    </r>
  </si>
  <si>
    <t>Martinique</t>
  </si>
  <si>
    <r>
      <rPr>
        <rFont val="Century Gothic"/>
        <sz val="12.00"/>
        <color rgb="FF000000"/>
        <family val="2"/>
      </rPr>
      <t>Mauritius</t>
    </r>
  </si>
  <si>
    <t>Mauritania</t>
  </si>
  <si>
    <r>
      <rPr>
        <rFont val="Century Gothic"/>
        <sz val="12.00"/>
        <color rgb="FF000000"/>
        <family val="2"/>
      </rPr>
      <t>Mayotte</t>
    </r>
  </si>
  <si>
    <t>Mauritius</t>
  </si>
  <si>
    <r>
      <rPr>
        <rFont val="Century Gothic"/>
        <sz val="12.00"/>
        <color rgb="FF000000"/>
        <family val="2"/>
      </rPr>
      <t>Mexico</t>
    </r>
  </si>
  <si>
    <t>Mayotte</t>
  </si>
  <si>
    <r>
      <rPr>
        <rFont val="Century Gothic"/>
        <sz val="12.00"/>
        <color rgb="FF000000"/>
        <family val="2"/>
      </rPr>
      <t>Micronesia, Federated States Of</t>
    </r>
  </si>
  <si>
    <t>Mexico</t>
  </si>
  <si>
    <r>
      <rPr>
        <rFont val="Century Gothic"/>
        <sz val="12.00"/>
        <color rgb="FF000000"/>
        <family val="2"/>
      </rPr>
      <t>Moldova, Republic Of</t>
    </r>
  </si>
  <si>
    <t>Micronesia, Federated States Of</t>
  </si>
  <si>
    <r>
      <rPr>
        <rFont val="Century Gothic"/>
        <sz val="12.00"/>
        <color rgb="FF000000"/>
        <family val="2"/>
      </rPr>
      <t>Monaco</t>
    </r>
  </si>
  <si>
    <t>Moldova, Republic Of</t>
  </si>
  <si>
    <r>
      <rPr>
        <rFont val="Century Gothic"/>
        <sz val="12.00"/>
        <color rgb="FF000000"/>
        <family val="2"/>
      </rPr>
      <t>Mongolia</t>
    </r>
  </si>
  <si>
    <t>Monaco</t>
  </si>
  <si>
    <r>
      <rPr>
        <rFont val="Century Gothic"/>
        <sz val="12.00"/>
        <color rgb="FF000000"/>
        <family val="2"/>
      </rPr>
      <t>Montenegro</t>
    </r>
  </si>
  <si>
    <t>Mongolia</t>
  </si>
  <si>
    <r>
      <rPr>
        <rFont val="Century Gothic"/>
        <sz val="12.00"/>
        <color rgb="FF000000"/>
        <family val="2"/>
      </rPr>
      <t>Montserrat</t>
    </r>
  </si>
  <si>
    <t>Montenegro</t>
  </si>
  <si>
    <r>
      <rPr>
        <rFont val="Century Gothic"/>
        <sz val="12.00"/>
        <color rgb="FF000000"/>
        <family val="2"/>
      </rPr>
      <t>Morocco</t>
    </r>
  </si>
  <si>
    <t>Montserrat</t>
  </si>
  <si>
    <r>
      <rPr>
        <rFont val="Century Gothic"/>
        <sz val="12.00"/>
        <color rgb="FF000000"/>
        <family val="2"/>
      </rPr>
      <t>Mozambique</t>
    </r>
  </si>
  <si>
    <t>Morocco</t>
  </si>
  <si>
    <r>
      <rPr>
        <rFont val="Century Gothic"/>
        <sz val="12.00"/>
        <color rgb="FF000000"/>
        <family val="2"/>
      </rPr>
      <t xml:space="preserve">Myanmar (Burma) </t>
    </r>
  </si>
  <si>
    <t>Mozambique</t>
  </si>
  <si>
    <r>
      <rPr>
        <rFont val="Century Gothic"/>
        <sz val="12.00"/>
        <color rgb="FF000000"/>
        <family val="2"/>
      </rPr>
      <t>Namibia</t>
    </r>
  </si>
  <si>
    <t>Myanmar (Burma) </t>
  </si>
  <si>
    <r>
      <rPr>
        <rFont val="Century Gothic"/>
        <sz val="12.00"/>
        <color rgb="FF000000"/>
        <family val="2"/>
      </rPr>
      <t>Nauru</t>
    </r>
  </si>
  <si>
    <t>Namibia</t>
  </si>
  <si>
    <r>
      <rPr>
        <rFont val="Century Gothic"/>
        <sz val="12.00"/>
        <color rgb="FF000000"/>
        <family val="2"/>
      </rPr>
      <t>Nepal</t>
    </r>
  </si>
  <si>
    <t>Nauru</t>
  </si>
  <si>
    <r>
      <rPr>
        <rFont val="Century Gothic"/>
        <sz val="12.00"/>
        <color rgb="FF000000"/>
        <family val="2"/>
      </rPr>
      <t>Netherlands</t>
    </r>
  </si>
  <si>
    <t>Nepal</t>
  </si>
  <si>
    <r>
      <rPr>
        <rFont val="Century Gothic"/>
        <sz val="12.00"/>
        <color rgb="FF000000"/>
        <family val="2"/>
      </rPr>
      <t>Netherlands Antilles</t>
    </r>
  </si>
  <si>
    <t>Netherlands</t>
  </si>
  <si>
    <r>
      <rPr>
        <rFont val="Century Gothic"/>
        <sz val="12.00"/>
        <color rgb="FF000000"/>
        <family val="2"/>
      </rPr>
      <t>New Caledonia</t>
    </r>
  </si>
  <si>
    <t>Netherlands Antilles</t>
  </si>
  <si>
    <r>
      <rPr>
        <rFont val="Century Gothic"/>
        <sz val="12.00"/>
        <color rgb="FF000000"/>
        <family val="2"/>
      </rPr>
      <t>New Zealand</t>
    </r>
  </si>
  <si>
    <t>New Caledonia</t>
  </si>
  <si>
    <r>
      <rPr>
        <rFont val="Century Gothic"/>
        <sz val="12.00"/>
        <color rgb="FF000000"/>
        <family val="2"/>
      </rPr>
      <t>Nicaragua</t>
    </r>
  </si>
  <si>
    <t>New Zealand</t>
  </si>
  <si>
    <r>
      <rPr>
        <rFont val="Century Gothic"/>
        <sz val="12.00"/>
        <color rgb="FF000000"/>
        <family val="2"/>
      </rPr>
      <t>Niger</t>
    </r>
  </si>
  <si>
    <t>Nicaragua</t>
  </si>
  <si>
    <r>
      <rPr>
        <rFont val="Century Gothic"/>
        <sz val="12.00"/>
        <color rgb="FF000000"/>
        <family val="2"/>
      </rPr>
      <t>Nigeria</t>
    </r>
  </si>
  <si>
    <t>Niger</t>
  </si>
  <si>
    <r>
      <rPr>
        <rFont val="Century Gothic"/>
        <sz val="12.00"/>
        <color rgb="FF000000"/>
        <family val="2"/>
      </rPr>
      <t>Niue</t>
    </r>
  </si>
  <si>
    <t>Nigeria</t>
  </si>
  <si>
    <r>
      <rPr>
        <rFont val="Century Gothic"/>
        <sz val="12.00"/>
        <color rgb="FF000000"/>
        <family val="2"/>
      </rPr>
      <t>Norfolk Island</t>
    </r>
  </si>
  <si>
    <t>Niue</t>
  </si>
  <si>
    <r>
      <rPr>
        <rFont val="Century Gothic"/>
        <sz val="12.00"/>
        <color rgb="FF000000"/>
        <family val="2"/>
      </rPr>
      <t>Northern Mariana Islands</t>
    </r>
  </si>
  <si>
    <t>Norfolk Island</t>
  </si>
  <si>
    <r>
      <rPr>
        <rFont val="Century Gothic"/>
        <sz val="12.00"/>
        <color rgb="FF000000"/>
        <family val="2"/>
      </rPr>
      <t>Norway</t>
    </r>
  </si>
  <si>
    <t>Northern Mariana Islands</t>
  </si>
  <si>
    <r>
      <rPr>
        <rFont val="Century Gothic"/>
        <sz val="12.00"/>
        <color rgb="FF000000"/>
        <family val="2"/>
      </rPr>
      <t>Oman</t>
    </r>
  </si>
  <si>
    <t>Norway</t>
  </si>
  <si>
    <r>
      <rPr>
        <rFont val="Century Gothic"/>
        <sz val="12.00"/>
        <color rgb="FF000000"/>
        <family val="2"/>
      </rPr>
      <t>Pakistan</t>
    </r>
  </si>
  <si>
    <t>Oman</t>
  </si>
  <si>
    <r>
      <rPr>
        <rFont val="Century Gothic"/>
        <sz val="12.00"/>
        <color rgb="FF000000"/>
        <family val="2"/>
      </rPr>
      <t>Palau</t>
    </r>
  </si>
  <si>
    <t>Pakistan</t>
  </si>
  <si>
    <r>
      <rPr>
        <rFont val="Century Gothic"/>
        <sz val="12.00"/>
        <color rgb="FF000000"/>
        <family val="2"/>
      </rPr>
      <t>Panama</t>
    </r>
  </si>
  <si>
    <t>Palau</t>
  </si>
  <si>
    <r>
      <rPr>
        <rFont val="Century Gothic"/>
        <sz val="12.00"/>
        <color rgb="FF000000"/>
        <family val="2"/>
      </rPr>
      <t>Papua New Guinea</t>
    </r>
  </si>
  <si>
    <t>Panama</t>
  </si>
  <si>
    <r>
      <rPr>
        <rFont val="Century Gothic"/>
        <sz val="12.00"/>
        <color rgb="FF000000"/>
        <family val="2"/>
      </rPr>
      <t>Paraguay</t>
    </r>
  </si>
  <si>
    <t>Papua New Guinea</t>
  </si>
  <si>
    <r>
      <rPr>
        <rFont val="Century Gothic"/>
        <sz val="12.00"/>
        <color rgb="FF000000"/>
        <family val="2"/>
      </rPr>
      <t>Peru</t>
    </r>
  </si>
  <si>
    <t>Paraguay</t>
  </si>
  <si>
    <r>
      <rPr>
        <rFont val="Century Gothic"/>
        <sz val="12.00"/>
        <color rgb="FF000000"/>
        <family val="2"/>
      </rPr>
      <t>Philippines</t>
    </r>
  </si>
  <si>
    <t>Peru</t>
  </si>
  <si>
    <r>
      <rPr>
        <rFont val="Century Gothic"/>
        <sz val="12.00"/>
        <color rgb="FF000000"/>
        <family val="2"/>
      </rPr>
      <t>Pitcairn</t>
    </r>
  </si>
  <si>
    <t>Philippines</t>
  </si>
  <si>
    <r>
      <rPr>
        <rFont val="Century Gothic"/>
        <sz val="12.00"/>
        <color rgb="FF000000"/>
        <family val="2"/>
      </rPr>
      <t>Poland</t>
    </r>
  </si>
  <si>
    <t>Pitcairn</t>
  </si>
  <si>
    <r>
      <rPr>
        <rFont val="Century Gothic"/>
        <sz val="12.00"/>
        <color rgb="FF000000"/>
        <family val="2"/>
      </rPr>
      <t>Portugal</t>
    </r>
  </si>
  <si>
    <t>Poland</t>
  </si>
  <si>
    <r>
      <rPr>
        <rFont val="Century Gothic"/>
        <sz val="12.00"/>
        <color rgb="FF000000"/>
        <family val="2"/>
      </rPr>
      <t>Puerto Rico</t>
    </r>
  </si>
  <si>
    <t>Portugal</t>
  </si>
  <si>
    <r>
      <rPr>
        <rFont val="Century Gothic"/>
        <sz val="12.00"/>
        <color rgb="FF000000"/>
        <family val="2"/>
      </rPr>
      <t>Qatar</t>
    </r>
  </si>
  <si>
    <t>Puerto Rico</t>
  </si>
  <si>
    <r>
      <rPr>
        <rFont val="Century Gothic"/>
        <sz val="12.00"/>
        <color rgb="FF000000"/>
        <family val="2"/>
      </rPr>
      <t>Reunion</t>
    </r>
  </si>
  <si>
    <t>Qatar</t>
  </si>
  <si>
    <r>
      <rPr>
        <rFont val="Century Gothic"/>
        <sz val="12.00"/>
        <color rgb="FF000000"/>
        <family val="2"/>
      </rPr>
      <t>Romania</t>
    </r>
  </si>
  <si>
    <t>Reunion</t>
  </si>
  <si>
    <r>
      <rPr>
        <rFont val="Century Gothic"/>
        <sz val="12.00"/>
        <color rgb="FF000000"/>
        <family val="2"/>
      </rPr>
      <t>Russian Federation</t>
    </r>
  </si>
  <si>
    <t>Romania</t>
  </si>
  <si>
    <r>
      <rPr>
        <rFont val="Century Gothic"/>
        <sz val="12.00"/>
        <color rgb="FF000000"/>
        <family val="2"/>
      </rPr>
      <t>Rwanda</t>
    </r>
  </si>
  <si>
    <t>Russian Federation</t>
  </si>
  <si>
    <r>
      <rPr>
        <rFont val="Century Gothic"/>
        <sz val="12.00"/>
        <color rgb="FF000000"/>
        <family val="2"/>
      </rPr>
      <t>Saint Kitts And Nevis</t>
    </r>
  </si>
  <si>
    <t>Rwanda</t>
  </si>
  <si>
    <r>
      <rPr>
        <rFont val="Century Gothic"/>
        <sz val="12.00"/>
        <color rgb="FF000000"/>
        <family val="2"/>
      </rPr>
      <t>Saint Lucia</t>
    </r>
  </si>
  <si>
    <t>Saint Kitts And Nevis</t>
  </si>
  <si>
    <r>
      <rPr>
        <rFont val="Century Gothic"/>
        <sz val="12.00"/>
        <color rgb="FF000000"/>
        <family val="2"/>
      </rPr>
      <t>Saint Vincent And The Grenadines</t>
    </r>
  </si>
  <si>
    <t>Saint Lucia</t>
  </si>
  <si>
    <r>
      <rPr>
        <rFont val="Century Gothic"/>
        <sz val="12.00"/>
        <color rgb="FF000000"/>
        <family val="2"/>
      </rPr>
      <t>Samoa</t>
    </r>
  </si>
  <si>
    <t>Saint Vincent And The Grenadines</t>
  </si>
  <si>
    <r>
      <rPr>
        <rFont val="Century Gothic"/>
        <sz val="12.00"/>
        <color rgb="FF000000"/>
        <family val="2"/>
      </rPr>
      <t>San Marino</t>
    </r>
  </si>
  <si>
    <t>Samoa</t>
  </si>
  <si>
    <r>
      <rPr>
        <rFont val="Century Gothic"/>
        <sz val="12.00"/>
        <color rgb="FF000000"/>
        <family val="2"/>
      </rPr>
      <t>Sao Tome And Principe</t>
    </r>
  </si>
  <si>
    <t>San Marino</t>
  </si>
  <si>
    <r>
      <rPr>
        <rFont val="Century Gothic"/>
        <sz val="12.00"/>
        <color rgb="FF000000"/>
        <family val="2"/>
      </rPr>
      <t>Saudi Arabia</t>
    </r>
  </si>
  <si>
    <t>Sao Tome And Principe</t>
  </si>
  <si>
    <r>
      <rPr>
        <rFont val="Century Gothic"/>
        <sz val="12.00"/>
        <color rgb="FF000000"/>
        <family val="2"/>
      </rPr>
      <t>Senegal</t>
    </r>
  </si>
  <si>
    <t>Saudi Arabia</t>
  </si>
  <si>
    <r>
      <rPr>
        <rFont val="Century Gothic"/>
        <sz val="12.00"/>
        <color rgb="FF000000"/>
        <family val="2"/>
      </rPr>
      <t>Seychelles</t>
    </r>
  </si>
  <si>
    <t>Senegal</t>
  </si>
  <si>
    <r>
      <rPr>
        <rFont val="Century Gothic"/>
        <sz val="12.00"/>
        <color rgb="FF000000"/>
        <family val="2"/>
      </rPr>
      <t>Sierra Leone</t>
    </r>
  </si>
  <si>
    <t>Seychelles</t>
  </si>
  <si>
    <r>
      <rPr>
        <rFont val="Century Gothic"/>
        <sz val="12.00"/>
        <color rgb="FF000000"/>
        <family val="2"/>
      </rPr>
      <t>Singapore</t>
    </r>
  </si>
  <si>
    <t>Sierra Leone</t>
  </si>
  <si>
    <r>
      <rPr>
        <rFont val="Century Gothic"/>
        <sz val="12.00"/>
        <color rgb="FF000000"/>
        <family val="2"/>
      </rPr>
      <t>Slovakia (Slovak Republic)</t>
    </r>
  </si>
  <si>
    <t>Singapore</t>
  </si>
  <si>
    <r>
      <rPr>
        <rFont val="Century Gothic"/>
        <sz val="12.00"/>
        <color rgb="FF000000"/>
        <family val="2"/>
      </rPr>
      <t>Slovenia</t>
    </r>
  </si>
  <si>
    <t>Slovakia (Slovak Republic)</t>
  </si>
  <si>
    <r>
      <rPr>
        <rFont val="Century Gothic"/>
        <sz val="12.00"/>
        <color rgb="FF000000"/>
        <family val="2"/>
      </rPr>
      <t>Solomon Islands</t>
    </r>
  </si>
  <si>
    <t>Slovenia</t>
  </si>
  <si>
    <r>
      <rPr>
        <rFont val="Century Gothic"/>
        <sz val="12.00"/>
        <color rgb="FF000000"/>
        <family val="2"/>
      </rPr>
      <t>Somalia</t>
    </r>
  </si>
  <si>
    <t>Solomon Islands</t>
  </si>
  <si>
    <r>
      <rPr>
        <rFont val="Century Gothic"/>
        <sz val="12.00"/>
        <color rgb="FF000000"/>
        <family val="2"/>
      </rPr>
      <t>South Africa</t>
    </r>
  </si>
  <si>
    <t>Somalia</t>
  </si>
  <si>
    <r>
      <rPr>
        <rFont val="Century Gothic"/>
        <sz val="12.00"/>
        <color rgb="FF000000"/>
        <family val="2"/>
      </rPr>
      <t>South Georgia And South S.S.</t>
    </r>
  </si>
  <si>
    <t>South Africa</t>
  </si>
  <si>
    <r>
      <rPr>
        <rFont val="Century Gothic"/>
        <sz val="12.00"/>
        <color rgb="FF000000"/>
        <family val="2"/>
      </rPr>
      <t>Spain</t>
    </r>
  </si>
  <si>
    <t>South Georgia And South S.S.</t>
  </si>
  <si>
    <r>
      <rPr>
        <rFont val="Century Gothic"/>
        <sz val="12.00"/>
        <color rgb="FF000000"/>
        <family val="2"/>
      </rPr>
      <t>Sri Lanka</t>
    </r>
  </si>
  <si>
    <t>Spain</t>
  </si>
  <si>
    <r>
      <rPr>
        <rFont val="Century Gothic"/>
        <sz val="12.00"/>
        <color rgb="FF000000"/>
        <family val="2"/>
      </rPr>
      <t>St. Helena</t>
    </r>
  </si>
  <si>
    <t>Sri Lanka</t>
  </si>
  <si>
    <r>
      <rPr>
        <rFont val="Century Gothic"/>
        <sz val="12.00"/>
        <color rgb="FF000000"/>
        <family val="2"/>
      </rPr>
      <t>St. Pierre And Miquelon</t>
    </r>
  </si>
  <si>
    <t>St. Helena</t>
  </si>
  <si>
    <r>
      <rPr>
        <rFont val="Century Gothic"/>
        <sz val="12.00"/>
        <color rgb="FF000000"/>
        <family val="2"/>
      </rPr>
      <t>Sudan</t>
    </r>
  </si>
  <si>
    <t>St. Pierre And Miquelon</t>
  </si>
  <si>
    <r>
      <rPr>
        <rFont val="Century Gothic"/>
        <sz val="12.00"/>
        <color rgb="FF000000"/>
        <family val="2"/>
      </rPr>
      <t>Suriname</t>
    </r>
  </si>
  <si>
    <t>Sudan</t>
  </si>
  <si>
    <r>
      <rPr>
        <rFont val="Century Gothic"/>
        <sz val="12.00"/>
        <color rgb="FF000000"/>
        <family val="2"/>
      </rPr>
      <t>Svalbard And Jan Mayen Islands</t>
    </r>
  </si>
  <si>
    <t>Suriname</t>
  </si>
  <si>
    <r>
      <rPr>
        <rFont val="Century Gothic"/>
        <sz val="12.00"/>
        <color rgb="FF000000"/>
        <family val="2"/>
      </rPr>
      <t>Swaziland</t>
    </r>
  </si>
  <si>
    <t>Svalbard And Jan Mayen Islands</t>
  </si>
  <si>
    <r>
      <rPr>
        <rFont val="Century Gothic"/>
        <sz val="12.00"/>
        <color rgb="FF000000"/>
        <family val="2"/>
      </rPr>
      <t>Sweden</t>
    </r>
  </si>
  <si>
    <t>Swaziland</t>
  </si>
  <si>
    <r>
      <rPr>
        <rFont val="Century Gothic"/>
        <sz val="12.00"/>
        <color rgb="FF000000"/>
        <family val="2"/>
      </rPr>
      <t>Switzerland</t>
    </r>
  </si>
  <si>
    <t>Sweden</t>
  </si>
  <si>
    <r>
      <rPr>
        <rFont val="Century Gothic"/>
        <sz val="12.00"/>
        <color rgb="FF000000"/>
        <family val="2"/>
      </rPr>
      <t>Syrian Arab Republic</t>
    </r>
  </si>
  <si>
    <t>Switzerland</t>
  </si>
  <si>
    <r>
      <rPr>
        <rFont val="Century Gothic"/>
        <sz val="12.00"/>
        <color rgb="FF000000"/>
        <family val="2"/>
      </rPr>
      <t>Taiwan, Province Of China</t>
    </r>
  </si>
  <si>
    <t>Syrian Arab Republic</t>
  </si>
  <si>
    <r>
      <rPr>
        <rFont val="Century Gothic"/>
        <sz val="12.00"/>
        <color rgb="FF000000"/>
        <family val="2"/>
      </rPr>
      <t>Tajikistan</t>
    </r>
  </si>
  <si>
    <t>Taiwan, Province Of China</t>
  </si>
  <si>
    <r>
      <rPr>
        <rFont val="Century Gothic"/>
        <sz val="12.00"/>
        <color rgb="FF000000"/>
        <family val="2"/>
      </rPr>
      <t>Tanzania, United Republic Of</t>
    </r>
  </si>
  <si>
    <t>Tajikistan</t>
  </si>
  <si>
    <r>
      <rPr>
        <rFont val="Century Gothic"/>
        <sz val="12.00"/>
        <color rgb="FF000000"/>
        <family val="2"/>
      </rPr>
      <t>Thailand</t>
    </r>
  </si>
  <si>
    <t>Tanzania, United Republic Of</t>
  </si>
  <si>
    <r>
      <rPr>
        <rFont val="Century Gothic"/>
        <sz val="12.00"/>
        <color rgb="FF000000"/>
        <family val="2"/>
      </rPr>
      <t>Togo</t>
    </r>
  </si>
  <si>
    <t>Thailand</t>
  </si>
  <si>
    <r>
      <rPr>
        <rFont val="Century Gothic"/>
        <sz val="12.00"/>
        <color rgb="FF000000"/>
        <family val="2"/>
      </rPr>
      <t>Tokelau</t>
    </r>
  </si>
  <si>
    <t>Togo</t>
  </si>
  <si>
    <r>
      <rPr>
        <rFont val="Century Gothic"/>
        <sz val="12.00"/>
        <color rgb="FF000000"/>
        <family val="2"/>
      </rPr>
      <t>Tonga</t>
    </r>
  </si>
  <si>
    <t>Tokelau</t>
  </si>
  <si>
    <r>
      <rPr>
        <rFont val="Century Gothic"/>
        <sz val="12.00"/>
        <color rgb="FF000000"/>
        <family val="2"/>
      </rPr>
      <t>Trinidad And Tobago</t>
    </r>
  </si>
  <si>
    <t>Tonga</t>
  </si>
  <si>
    <r>
      <rPr>
        <rFont val="Century Gothic"/>
        <sz val="12.00"/>
        <color rgb="FF000000"/>
        <family val="2"/>
      </rPr>
      <t>Tunisia</t>
    </r>
  </si>
  <si>
    <t>Trinidad And Tobago</t>
  </si>
  <si>
    <r>
      <rPr>
        <rFont val="Century Gothic"/>
        <sz val="12.00"/>
        <color rgb="FF000000"/>
        <family val="2"/>
      </rPr>
      <t>Turkey</t>
    </r>
  </si>
  <si>
    <t>Tunisia</t>
  </si>
  <si>
    <r>
      <rPr>
        <rFont val="Century Gothic"/>
        <sz val="12.00"/>
        <color rgb="FF000000"/>
        <family val="2"/>
      </rPr>
      <t>Turkmenistan</t>
    </r>
  </si>
  <si>
    <t>Turkey</t>
  </si>
  <si>
    <r>
      <rPr>
        <rFont val="Century Gothic"/>
        <sz val="12.00"/>
        <color rgb="FF000000"/>
        <family val="2"/>
      </rPr>
      <t>Turks And Caicos Islands</t>
    </r>
  </si>
  <si>
    <t>Turkmenistan</t>
  </si>
  <si>
    <r>
      <rPr>
        <rFont val="Century Gothic"/>
        <sz val="12.00"/>
        <color rgb="FF000000"/>
        <family val="2"/>
      </rPr>
      <t>Tuvalu</t>
    </r>
  </si>
  <si>
    <t>Turks And Caicos Islands</t>
  </si>
  <si>
    <r>
      <rPr>
        <rFont val="Century Gothic"/>
        <sz val="12.00"/>
        <color rgb="FF000000"/>
        <family val="2"/>
      </rPr>
      <t>Uganda</t>
    </r>
  </si>
  <si>
    <t>Tuvalu</t>
  </si>
  <si>
    <r>
      <rPr>
        <rFont val="Century Gothic"/>
        <sz val="12.00"/>
        <color rgb="FF000000"/>
        <family val="2"/>
      </rPr>
      <t>Ukraine</t>
    </r>
  </si>
  <si>
    <t>Uganda</t>
  </si>
  <si>
    <r>
      <rPr>
        <rFont val="Century Gothic"/>
        <sz val="12.00"/>
        <color rgb="FF000000"/>
        <family val="2"/>
      </rPr>
      <t>United Arab Emirates</t>
    </r>
  </si>
  <si>
    <t>Ukraine</t>
  </si>
  <si>
    <r>
      <rPr>
        <rFont val="Century Gothic"/>
        <sz val="12.00"/>
        <color rgb="FF000000"/>
        <family val="2"/>
      </rPr>
      <t>United Kingdom</t>
    </r>
  </si>
  <si>
    <t>United Arab Emirates</t>
  </si>
  <si>
    <r>
      <rPr>
        <rFont val="Century Gothic"/>
        <sz val="12.00"/>
        <color rgb="FF000000"/>
        <family val="2"/>
      </rPr>
      <t>United States</t>
    </r>
  </si>
  <si>
    <t>United States</t>
  </si>
  <si>
    <r>
      <rPr>
        <rFont val="Century Gothic"/>
        <sz val="12.00"/>
        <color rgb="FF000000"/>
        <family val="2"/>
      </rPr>
      <t>U.S. Minor Islands</t>
    </r>
  </si>
  <si>
    <t>U.S. Minor Islands</t>
  </si>
  <si>
    <r>
      <rPr>
        <rFont val="Century Gothic"/>
        <sz val="12.00"/>
        <color rgb="FF000000"/>
        <family val="2"/>
      </rPr>
      <t>Uruguay</t>
    </r>
  </si>
  <si>
    <t>Uruguay</t>
  </si>
  <si>
    <r>
      <rPr>
        <rFont val="Century Gothic"/>
        <sz val="12.00"/>
        <color rgb="FF000000"/>
        <family val="2"/>
      </rPr>
      <t>Uzbekistan</t>
    </r>
  </si>
  <si>
    <t>Uzbekistan</t>
  </si>
  <si>
    <r>
      <rPr>
        <rFont val="Century Gothic"/>
        <sz val="12.00"/>
        <color rgb="FF000000"/>
        <family val="2"/>
      </rPr>
      <t>Vanuatu</t>
    </r>
  </si>
  <si>
    <t>Vanuatu</t>
  </si>
  <si>
    <r>
      <rPr>
        <rFont val="Century Gothic"/>
        <sz val="12.00"/>
        <color rgb="FF000000"/>
        <family val="2"/>
      </rPr>
      <t>Venezuela</t>
    </r>
  </si>
  <si>
    <t>Venezuela</t>
  </si>
  <si>
    <r>
      <rPr>
        <rFont val="Century Gothic"/>
        <sz val="12.00"/>
        <color rgb="FF000000"/>
        <family val="2"/>
      </rPr>
      <t>VietNam</t>
    </r>
  </si>
  <si>
    <t>VietNam</t>
  </si>
  <si>
    <r>
      <rPr>
        <rFont val="Century Gothic"/>
        <sz val="12.00"/>
        <color rgb="FF000000"/>
        <family val="2"/>
      </rPr>
      <t>Virgin Islands (British)</t>
    </r>
  </si>
  <si>
    <t>Virgin Islands (British)</t>
  </si>
  <si>
    <r>
      <rPr>
        <rFont val="Century Gothic"/>
        <sz val="12.00"/>
        <color rgb="FF000000"/>
        <family val="2"/>
      </rPr>
      <t>Virgin Islands (U.S.)</t>
    </r>
  </si>
  <si>
    <t>Virgin Islands (U.S.)</t>
  </si>
  <si>
    <r>
      <rPr>
        <rFont val="Century Gothic"/>
        <sz val="12.00"/>
        <color rgb="FF000000"/>
        <family val="2"/>
      </rPr>
      <t>Wallis And Futuna Islands</t>
    </r>
  </si>
  <si>
    <t>Wallis And Futuna Islands</t>
  </si>
  <si>
    <r>
      <rPr>
        <rFont val="Century Gothic"/>
        <sz val="12.00"/>
        <color rgb="FF000000"/>
        <family val="2"/>
      </rPr>
      <t>Western Sahara</t>
    </r>
  </si>
  <si>
    <t>Western Sahara</t>
  </si>
  <si>
    <r>
      <rPr>
        <rFont val="Century Gothic"/>
        <sz val="12.00"/>
        <color rgb="FF000000"/>
        <family val="2"/>
      </rPr>
      <t>Yemen</t>
    </r>
  </si>
  <si>
    <t>Yemen</t>
  </si>
  <si>
    <r>
      <rPr>
        <rFont val="Century Gothic"/>
        <sz val="12.00"/>
        <color rgb="FF000000"/>
        <family val="2"/>
      </rPr>
      <t>Zambia</t>
    </r>
  </si>
  <si>
    <t>Zambia</t>
  </si>
  <si>
    <r>
      <rPr>
        <rFont val="Century Gothic"/>
        <sz val="12.00"/>
        <color rgb="FF000000"/>
        <family val="2"/>
      </rPr>
      <t xml:space="preserve">Zimbabwe </t>
    </r>
  </si>
  <si>
    <t>Zimbabwe </t>
  </si>
  <si>
    <r>
      <rPr>
        <rFont val="Century Gothic"/>
        <sz val="12.00"/>
        <color rgb="FF000000"/>
        <family val="2"/>
      </rPr>
      <t>Other</t>
    </r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</si>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</sst>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_(* #,##0_);_(* \(#,##0\);_(* &quot;-&quot;??_);_(@_)"/>
    <numFmt numFmtId="2" formatCode="General"/>
    <numFmt numFmtId="3" formatCode="#,##0 ;[Red](#,##0)"/>
    <numFmt numFmtId="4" formatCode="#,##0"/>
  </numFmts>
  <fonts count="13">
    <font>
      <sz val="11"/>
      <color theme="1"/>
      <name val="Arial"/>
      <family val="2"/>
      <scheme val="minor"/>
    </font>
    <font>
      <name val="Century Gothic"/>
      <sz val="12.00"/>
      <color rgb="FF000000"/>
      <family val="2"/>
    </font>
    <font>
      <name val="Century Gothic"/>
      <sz val="12.00"/>
      <family val="2"/>
    </font>
    <font>
      <name val="等线"/>
      <sz val="12.00"/>
      <color rgb="FF006100"/>
      <family val="2"/>
    </font>
    <font>
      <name val="Century Gothic"/>
      <sz val="14.00"/>
      <i/>
      <color rgb="FFa6a6a6"/>
      <family val="2"/>
    </font>
    <font>
      <name val="等线"/>
      <sz val="12.00"/>
      <color rgb="FF9C0006"/>
      <family val="2"/>
    </font>
    <font>
      <name val="Century Gothic"/>
      <sz val="12.00"/>
      <b/>
      <color rgb="FF000000"/>
      <family val="2"/>
    </font>
    <font>
      <name val="Century Gothic"/>
      <sz val="12.00"/>
      <color rgb="FFd9d9d9"/>
      <family val="2"/>
    </font>
    <font>
      <name val="Century Gothic"/>
      <sz val="18.00"/>
      <b/>
      <color rgb="FFFF0000"/>
      <family val="2"/>
    </font>
    <font>
      <name val="Century Gothic"/>
      <sz val="14.00"/>
      <b/>
      <color rgb="FF000000"/>
      <family val="2"/>
    </font>
    <font>
      <name val="等线"/>
      <sz val="12.00"/>
      <color rgb="FF000000"/>
      <family val="2"/>
    </font>
    <font>
      <name val="等线"/>
      <sz val="12.00"/>
      <color rgb="FF9C5700"/>
      <family val="2"/>
    </font>
    <font>
      <name val="Century Gothic"/>
      <sz val="18.00"/>
      <b/>
      <color rgb="FF000000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8F2A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8"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/>
      <right/>
      <top/>
      <bottom style="thin">
        <color rgb="FF5B9BD5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</borders>
  <cellStyleXfs count="39">
    <xf numFmtId="0" fontId="0" fillId="0" borderId="0"/>
    <xf numFmtId="1" applyNumberFormat="1" fontId="1" applyFont="1" fillId="2" applyFill="1" borderId="1" applyBorder="1" applyAlignment="1">
      <alignment horizontal="right"/>
    </xf>
    <xf numFmtId="2" applyNumberFormat="1" fontId="1" applyFont="1" fillId="3" applyFill="1" borderId="2" applyBorder="1" applyAlignment="1">
      <alignment horizontal="left"/>
    </xf>
    <xf numFmtId="3" applyNumberFormat="1" fontId="1" applyFont="1" applyAlignment="1">
      <alignment/>
    </xf>
    <xf numFmtId="2" applyNumberFormat="1" fontId="2" applyFont="1" fillId="4" applyFill="1" borderId="3" applyBorder="1" applyAlignment="1">
      <alignment wrapText="1"/>
    </xf>
    <xf numFmtId="2" applyNumberFormat="1" fontId="1" applyFont="1" fillId="5" applyFill="1" applyAlignment="1">
      <alignment horizontal="center" wrapText="1"/>
    </xf>
    <xf numFmtId="2" applyNumberFormat="1" fontId="2" applyFont="1" applyAlignment="1">
      <alignment wrapText="1"/>
    </xf>
    <xf numFmtId="2" applyNumberFormat="1" fontId="3" applyFont="1" fillId="2" applyFill="1" applyAlignment="1">
      <alignment/>
    </xf>
    <xf numFmtId="2" applyNumberFormat="1" fontId="4" applyFont="1" applyAlignment="1">
      <alignment vertical="center"/>
    </xf>
    <xf numFmtId="1" applyNumberFormat="1" fontId="1" applyFont="1" fillId="3" applyFill="1" borderId="1" applyBorder="1" applyAlignment="1">
      <alignment horizontal="right"/>
    </xf>
    <xf numFmtId="3" applyNumberFormat="1" fontId="5" applyFont="1" fillId="6" applyFill="1" borderId="1" applyBorder="1" applyAlignment="1">
      <alignment horizontal="right"/>
    </xf>
    <xf numFmtId="2" applyNumberFormat="1" fontId="1" applyFont="1" fillId="3" applyFill="1" borderId="2" applyBorder="1" applyAlignment="1">
      <alignment vertical="center" horizontal="left" wrapText="1"/>
    </xf>
    <xf numFmtId="1" applyNumberFormat="1" fontId="1" applyFont="1" fillId="2" applyFill="1" borderId="4" applyBorder="1" applyAlignment="1">
      <alignment horizontal="right"/>
    </xf>
    <xf numFmtId="3" applyNumberFormat="1" fontId="6" applyFont="1" applyAlignment="1">
      <alignment horizontal="right"/>
    </xf>
    <xf numFmtId="4" applyNumberFormat="1" fontId="7" applyFont="1" applyAlignment="1">
      <alignment/>
    </xf>
    <xf numFmtId="2" applyNumberFormat="1" fontId="1" applyFont="1" fillId="2" applyFill="1" borderId="2" applyBorder="1" applyAlignment="1">
      <alignment vertical="center" horizontal="left" wrapText="1"/>
    </xf>
    <xf numFmtId="2" applyNumberFormat="1" fontId="8" applyFont="1" fillId="2" applyFill="1" applyAlignment="1">
      <alignment vertical="center" wrapText="1"/>
    </xf>
    <xf numFmtId="3" applyNumberFormat="1" fontId="1" applyFont="1" fillId="2" applyFill="1" borderId="4" applyBorder="1" applyAlignment="1">
      <alignment horizontal="right"/>
    </xf>
    <xf numFmtId="1" applyNumberFormat="1" fontId="1" applyFont="1" fillId="3" applyFill="1" borderId="4" applyBorder="1" applyAlignment="1">
      <alignment vertical="center" horizontal="right"/>
    </xf>
    <xf numFmtId="4" applyNumberFormat="1" fontId="1" applyFont="1" applyAlignment="1">
      <alignment/>
    </xf>
    <xf numFmtId="3" applyNumberFormat="1" fontId="9" applyFont="1" fillId="2" applyFill="1" applyAlignment="1">
      <alignment vertical="center"/>
    </xf>
    <xf numFmtId="2" applyNumberFormat="1" fontId="1" applyFont="1" applyAlignment="1">
      <alignment horizontal="center" wrapText="1"/>
    </xf>
    <xf numFmtId="2" applyNumberFormat="1" fontId="2" applyFont="1" fillId="4" applyFill="1" applyAlignment="1">
      <alignment wrapText="1"/>
    </xf>
    <xf numFmtId="2" applyNumberFormat="1" fontId="8" applyFont="1" applyAlignment="1">
      <alignment vertical="center" wrapText="1"/>
    </xf>
    <xf numFmtId="2" applyNumberFormat="1" fontId="1" applyFont="1" fillId="2" applyFill="1" borderId="5" applyBorder="1" applyAlignment="1">
      <alignment vertical="center" horizontal="left" wrapText="1"/>
    </xf>
    <xf numFmtId="1" applyNumberFormat="1" fontId="1" applyFont="1" fillId="3" applyFill="1" borderId="4" applyBorder="1" applyAlignment="1">
      <alignment horizontal="right"/>
    </xf>
    <xf numFmtId="3" applyNumberFormat="1" fontId="1" applyFont="1" fillId="2" applyFill="1" borderId="4" applyBorder="1" applyAlignment="1">
      <alignment vertical="center" horizontal="right"/>
    </xf>
    <xf numFmtId="1" applyNumberFormat="1" fontId="1" applyFont="1" fillId="3" applyFill="1" borderId="6" applyBorder="1" applyAlignment="1">
      <alignment horizontal="right"/>
    </xf>
    <xf numFmtId="2" applyNumberFormat="1" fontId="1" applyFont="1" fillId="3" applyFill="1" borderId="7" applyBorder="1" applyAlignment="1">
      <alignment horizontal="left"/>
    </xf>
    <xf numFmtId="1" applyNumberFormat="1" fontId="1" applyFont="1" fillId="2" applyFill="1" borderId="6" applyBorder="1" applyAlignment="1">
      <alignment horizontal="right"/>
    </xf>
    <xf numFmtId="2" applyNumberFormat="1" fontId="10" applyFont="1" fillId="2" applyFill="1" applyAlignment="1">
      <alignment/>
    </xf>
    <xf numFmtId="2" applyNumberFormat="1" fontId="1" applyFont="1" applyAlignment="1">
      <alignment wrapText="1"/>
    </xf>
    <xf numFmtId="2" applyNumberFormat="1" fontId="1" applyFont="1" fillId="3" applyFill="1" borderId="5" applyBorder="1" applyAlignment="1">
      <alignment horizontal="left" wrapText="1"/>
    </xf>
    <xf numFmtId="3" applyNumberFormat="1" fontId="3" applyFont="1" fillId="7" applyFill="1" borderId="4" applyBorder="1" applyAlignment="1">
      <alignment horizontal="right"/>
    </xf>
    <xf numFmtId="2" applyNumberFormat="1" fontId="11" applyFont="1" fillId="2" applyFill="1" applyAlignment="1">
      <alignment/>
    </xf>
    <xf numFmtId="2" applyNumberFormat="1" fontId="12" applyFont="1" fillId="2" applyFill="1" applyAlignment="1">
      <alignment vertical="center" wrapText="1"/>
    </xf>
    <xf numFmtId="2" applyNumberFormat="1" fontId="7" applyFont="1" applyAlignment="1">
      <alignment/>
    </xf>
    <xf numFmtId="1" applyNumberFormat="1" fontId="1" applyFont="1" fillId="2" applyFill="1" borderId="4" applyBorder="1" applyAlignment="1">
      <alignment vertical="center" horizontal="right"/>
    </xf>
    <xf numFmtId="2" applyNumberFormat="1" fontId="5" applyFont="1" fillId="2" applyFill="1" applyAlignment="1">
      <alignment/>
    </xf>
  </cellStyleXfs>
  <cellXfs count="46">
    <xf numFmtId="0" fontId="0" fillId="0" borderId="0" xfId="0"/>
    <xf xfId="23" quotePrefix="0" pivotButton="0" numFmtId="2" applyNumberFormat="1" fontId="8" applyFont="1" applyAlignment="1">
      <alignment vertical="center" wrapText="1"/>
    </xf>
    <xf xfId="23" quotePrefix="0" pivotButton="0" numFmtId="2" applyNumberFormat="1" fontId="8" applyFont="1" applyAlignment="1">
      <alignment vertical="center" wrapText="1"/>
    </xf>
    <xf xfId="36" quotePrefix="0" pivotButton="0" numFmtId="2" applyNumberFormat="1" fontId="7" applyFont="1" applyAlignment="1">
      <alignment/>
    </xf>
    <xf xfId="16" quotePrefix="0" pivotButton="0" numFmtId="2" applyNumberFormat="1" fontId="8" applyFont="1" fillId="2" applyFill="1" applyAlignment="1">
      <alignment vertical="center" wrapText="1"/>
    </xf>
    <xf xfId="16" quotePrefix="0" pivotButton="0" numFmtId="2" applyNumberFormat="1" fontId="8" applyFont="1" fillId="2" applyFill="1" applyAlignment="1">
      <alignment vertical="center" wrapText="1"/>
    </xf>
    <xf xfId="8" quotePrefix="0" pivotButton="0" numFmtId="2" applyNumberFormat="1" fontId="4" applyFont="1" applyAlignment="1">
      <alignment vertical="center"/>
    </xf>
    <xf xfId="35" quotePrefix="0" pivotButton="0" numFmtId="2" applyNumberFormat="1" fontId="12" applyFont="1" fillId="2" applyFill="1" applyAlignment="1">
      <alignment vertical="center" wrapText="1"/>
    </xf>
    <xf xfId="20" quotePrefix="0" pivotButton="0" numFmtId="3" applyNumberFormat="1" fontId="9" applyFont="1" fillId="2" applyFill="1" applyAlignment="1">
      <alignment vertical="center"/>
    </xf>
    <xf xfId="31" quotePrefix="0" pivotButton="0" numFmtId="2" applyNumberFormat="1" fontId="1" applyFont="1" applyAlignment="1">
      <alignment wrapText="1"/>
    </xf>
    <xf xfId="5" quotePrefix="0" pivotButton="0" numFmtId="2" applyNumberFormat="1" fontId="1" applyFont="1" fillId="5" applyFill="1" applyAlignment="1">
      <alignment horizontal="center" wrapText="1"/>
    </xf>
    <xf xfId="21" quotePrefix="0" pivotButton="0" numFmtId="2" applyNumberFormat="1" fontId="1" applyFont="1" applyAlignment="1">
      <alignment horizontal="center" wrapText="1"/>
    </xf>
    <xf xfId="32" quotePrefix="0" pivotButton="0" numFmtId="2" applyNumberFormat="1" fontId="1" applyFont="1" fillId="3" applyFill="1" borderId="5" applyBorder="1" applyAlignment="1">
      <alignment horizontal="left" wrapText="1"/>
    </xf>
    <xf xfId="9" quotePrefix="0" pivotButton="0" numFmtId="1" applyNumberFormat="1" fontId="1" applyFont="1" fillId="3" applyFill="1" borderId="1" applyBorder="1" applyAlignment="1">
      <alignment horizontal="right"/>
    </xf>
    <xf xfId="1" quotePrefix="0" pivotButton="0" numFmtId="1" applyNumberFormat="1" fontId="1" applyFont="1" fillId="2" applyFill="1" borderId="1" applyBorder="1" applyAlignment="1">
      <alignment horizontal="right"/>
    </xf>
    <xf xfId="14" quotePrefix="0" pivotButton="0" numFmtId="4" applyNumberFormat="1" fontId="7" applyFont="1" applyAlignment="1">
      <alignment/>
    </xf>
    <xf xfId="24" quotePrefix="0" pivotButton="0" numFmtId="2" applyNumberFormat="1" fontId="1" applyFont="1" fillId="2" applyFill="1" borderId="5" applyBorder="1" applyAlignment="1">
      <alignment vertical="center" horizontal="left" wrapText="1"/>
    </xf>
    <xf xfId="10" quotePrefix="0" pivotButton="0" numFmtId="3" applyNumberFormat="1" fontId="5" applyFont="1" fillId="6" applyFill="1" borderId="1" applyBorder="1" applyAlignment="1">
      <alignment horizontal="right"/>
    </xf>
    <xf xfId="7" quotePrefix="0" pivotButton="0" numFmtId="2" applyNumberFormat="1" fontId="3" applyFont="1" fillId="2" applyFill="1" applyAlignment="1">
      <alignment/>
    </xf>
    <xf xfId="31" quotePrefix="0" pivotButton="0" numFmtId="2" applyNumberFormat="1" fontId="1" applyFont="1" applyAlignment="1">
      <alignment wrapText="1"/>
    </xf>
    <xf xfId="19" quotePrefix="0" pivotButton="0" numFmtId="4" applyNumberFormat="1" fontId="1" applyFont="1" applyAlignment="1">
      <alignment/>
    </xf>
    <xf xfId="11" quotePrefix="0" pivotButton="0" numFmtId="2" applyNumberFormat="1" fontId="1" applyFont="1" fillId="3" applyFill="1" borderId="2" applyBorder="1" applyAlignment="1">
      <alignment vertical="center" horizontal="left" wrapText="1"/>
    </xf>
    <xf xfId="25" quotePrefix="0" pivotButton="0" numFmtId="1" applyNumberFormat="1" fontId="1" applyFont="1" fillId="3" applyFill="1" borderId="4" applyBorder="1" applyAlignment="1">
      <alignment horizontal="right"/>
    </xf>
    <xf xfId="12" quotePrefix="0" pivotButton="0" numFmtId="1" applyNumberFormat="1" fontId="1" applyFont="1" fillId="2" applyFill="1" borderId="4" applyBorder="1" applyAlignment="1">
      <alignment horizontal="right"/>
    </xf>
    <xf xfId="15" quotePrefix="0" pivotButton="0" numFmtId="2" applyNumberFormat="1" fontId="1" applyFont="1" fillId="2" applyFill="1" borderId="2" applyBorder="1" applyAlignment="1">
      <alignment vertical="center" horizontal="left" wrapText="1"/>
    </xf>
    <xf xfId="33" quotePrefix="0" pivotButton="0" numFmtId="3" applyNumberFormat="1" fontId="3" applyFont="1" fillId="7" applyFill="1" borderId="4" applyBorder="1" applyAlignment="1">
      <alignment horizontal="right"/>
    </xf>
    <xf xfId="11" quotePrefix="0" pivotButton="0" numFmtId="2" applyNumberFormat="1" fontId="1" applyFont="1" fillId="3" applyFill="1" borderId="2" applyBorder="1" applyAlignment="1">
      <alignment vertical="center" horizontal="left" wrapText="1"/>
    </xf>
    <xf xfId="17" quotePrefix="0" pivotButton="0" numFmtId="3" applyNumberFormat="1" fontId="1" applyFont="1" fillId="2" applyFill="1" borderId="4" applyBorder="1" applyAlignment="1">
      <alignment horizontal="right"/>
    </xf>
    <xf xfId="34" quotePrefix="0" pivotButton="0" numFmtId="2" applyNumberFormat="1" fontId="11" applyFont="1" fillId="2" applyFill="1" applyAlignment="1">
      <alignment/>
    </xf>
    <xf xfId="18" quotePrefix="0" pivotButton="0" numFmtId="1" applyNumberFormat="1" fontId="1" applyFont="1" fillId="3" applyFill="1" borderId="4" applyBorder="1" applyAlignment="1">
      <alignment vertical="center" horizontal="right"/>
    </xf>
    <xf xfId="37" quotePrefix="0" pivotButton="0" numFmtId="1" applyNumberFormat="1" fontId="1" applyFont="1" fillId="2" applyFill="1" borderId="4" applyBorder="1" applyAlignment="1">
      <alignment vertical="center" horizontal="right"/>
    </xf>
    <xf xfId="26" quotePrefix="0" pivotButton="0" numFmtId="3" applyNumberFormat="1" fontId="1" applyFont="1" fillId="2" applyFill="1" borderId="4" applyBorder="1" applyAlignment="1">
      <alignment vertical="center" horizontal="right"/>
    </xf>
    <xf xfId="38" quotePrefix="0" pivotButton="0" numFmtId="2" applyNumberFormat="1" fontId="5" applyFont="1" fillId="2" applyFill="1" applyAlignment="1">
      <alignment/>
    </xf>
    <xf xfId="2" quotePrefix="0" pivotButton="0" numFmtId="2" applyNumberFormat="1" fontId="1" applyFont="1" fillId="3" applyFill="1" borderId="2" applyBorder="1" applyAlignment="1">
      <alignment horizontal="left"/>
    </xf>
    <xf xfId="30" quotePrefix="0" pivotButton="0" numFmtId="2" applyNumberFormat="1" fontId="10" applyFont="1" fillId="2" applyFill="1" applyAlignment="1">
      <alignment/>
    </xf>
    <xf xfId="28" quotePrefix="0" pivotButton="0" numFmtId="2" applyNumberFormat="1" fontId="1" applyFont="1" fillId="3" applyFill="1" borderId="7" applyBorder="1" applyAlignment="1">
      <alignment horizontal="left"/>
    </xf>
    <xf xfId="27" quotePrefix="0" pivotButton="0" numFmtId="1" applyNumberFormat="1" fontId="1" applyFont="1" fillId="3" applyFill="1" borderId="6" applyBorder="1" applyAlignment="1">
      <alignment horizontal="right"/>
    </xf>
    <xf xfId="29" quotePrefix="0" pivotButton="0" numFmtId="1" applyNumberFormat="1" fontId="1" applyFont="1" fillId="2" applyFill="1" borderId="6" applyBorder="1" applyAlignment="1">
      <alignment horizontal="right"/>
    </xf>
    <xf xfId="13" quotePrefix="0" pivotButton="0" numFmtId="3" applyNumberFormat="1" fontId="6" applyFont="1" applyAlignment="1">
      <alignment horizontal="right"/>
    </xf>
    <xf xfId="3" quotePrefix="0" pivotButton="0" numFmtId="3" applyNumberFormat="1" fontId="1" applyFont="1" applyAlignment="1">
      <alignment/>
    </xf>
    <xf xfId="22" quotePrefix="0" pivotButton="0" numFmtId="2" applyNumberFormat="1" fontId="2" applyFont="1" fillId="4" applyFill="1" applyAlignment="1">
      <alignment wrapText="1"/>
    </xf>
    <xf xfId="22" quotePrefix="0" pivotButton="0" numFmtId="2" applyNumberFormat="1" fontId="2" applyFont="1" fillId="4" applyFill="1" applyAlignment="1">
      <alignment wrapText="1"/>
    </xf>
    <xf xfId="6" quotePrefix="0" pivotButton="0" numFmtId="2" applyNumberFormat="1" fontId="2" applyFont="1" applyAlignment="1">
      <alignment wrapText="1"/>
    </xf>
    <xf xfId="6" quotePrefix="0" pivotButton="0" numFmtId="2" applyNumberFormat="1" fontId="2" applyFont="1" applyAlignment="1">
      <alignment wrapText="1"/>
    </xf>
    <xf xfId="4" quotePrefix="0" pivotButton="0" numFmtId="2" applyNumberFormat="1" fontId="2" applyFont="1" fillId="4" applyFill="1" borderId="3" applyBorder="1" applyAlignment="1">
      <alignment wrapText="1"/>
    </xf>
    <xf xfId="4" quotePrefix="0" pivotButton="0" numFmtId="2" applyNumberFormat="1" fontId="2" applyFont="1" fillId="4" applyFill="1" borderId="3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6.00" customHeight="1" defaultColWidth="11.69"/>
  <cols>
    <col min="2" max="2" width="35.25" customWidth="1" hidden="0"/>
    <col min="3" max="3" width="18.78" customWidth="1" hidden="0"/>
    <col min="4" max="4" width="17.01" customWidth="1" hidden="0"/>
    <col min="6" max="6" width="36.14" customWidth="1" hidden="0"/>
    <col min="7" max="7" width="20.02" customWidth="1" hidden="0"/>
    <col min="10" max="10" width="23.39" customWidth="1" hidden="0"/>
    <col min="11" max="11" width="16.48" customWidth="1" hidden="0"/>
  </cols>
  <sheetData>
    <row r="1" ht="23.00" customHeight="true">
      <c r="A1" t="s" s="1">
        <v>0</v>
      </c>
      <c r="B1" s="2"/>
      <c r="C1" s="2"/>
      <c r="D1" s="3"/>
      <c r="E1" t="s" s="4">
        <v>1</v>
      </c>
      <c r="F1" s="5"/>
    </row>
    <row r="2" ht="23.00" customHeight="true">
      <c r="A2" s="2"/>
      <c r="B2" s="6">
        <f>_xlfn.XLOOKUP(B3,B41:B49,C41:C49)</f>
        <v>70</v>
      </c>
      <c r="C2" s="2"/>
      <c r="D2" s="3"/>
      <c r="E2" t="s" s="7">
        <v>2</v>
      </c>
      <c r="F2" s="8">
        <f>SUM(F4:F83)</f>
        <v>0</v>
      </c>
    </row>
    <row r="3" ht="16.00" customHeight="true">
      <c r="A3" t="s" s="9">
        <v>3</v>
      </c>
      <c r="B3" t="s" s="10">
        <v>4</v>
      </c>
      <c r="C3" t="s" s="11">
        <v>5</v>
      </c>
      <c r="D3" s="3"/>
      <c r="E3" t="s" s="9">
        <v>6</v>
      </c>
      <c r="F3" t="s" s="9">
        <v>7</v>
      </c>
    </row>
    <row r="4" ht="16.00" customHeight="true">
      <c r="A4" t="s" s="12">
        <v>8</v>
      </c>
      <c r="B4" s="13">
        <v>236681.49</v>
      </c>
      <c r="C4" s="14">
        <f>IF(B4="","",IFERROR(B4/$B$2,0))</f>
        <v>3381.164142857143</v>
      </c>
      <c r="D4" s="15">
        <v>1</v>
      </c>
      <c r="E4" t="s" s="16">
        <v>9</v>
      </c>
      <c r="F4" cm="1" s="17">
        <f t="array" ref="F4">SUMPRODUCT(ISNUMBER(SEARCH(E4,$A$4:$A$36))*N($C$4:$C$36))</f>
        <v>0</v>
      </c>
      <c r="H4" t="s" s="18">
        <v>10</v>
      </c>
      <c r="I4" cm="1" s="19" t="s">
        <f t="array" ref="I4:J244">_xlfn.SORTBY(E4:F244,F4:F244,-1)</f>
        <v>11</v>
      </c>
      <c r="J4" s="20">
        <v>3381.164142857143</v>
      </c>
    </row>
    <row r="5" ht="16.00" customHeight="true">
      <c r="A5" t="s" s="21">
        <v>12</v>
      </c>
      <c r="B5" s="22">
        <v>5489.16</v>
      </c>
      <c r="C5" s="23">
        <f>IF(B5="","",IFERROR(B5/$B$2,0))</f>
        <v>78.41657142857143</v>
      </c>
      <c r="D5" s="15">
        <f>D4+1</f>
        <v>2</v>
      </c>
      <c r="E5" t="s" s="24">
        <v>13</v>
      </c>
      <c r="F5" cm="1" s="25">
        <f t="array" ref="F5">SUMPRODUCT(ISNUMBER(SEARCH(E5,$A$4:$A$36))*N($C$4:$C$36))</f>
        <v>0</v>
      </c>
      <c r="H5" t="s" s="18">
        <v>14</v>
      </c>
      <c r="I5" t="s" s="19">
        <v>15</v>
      </c>
      <c r="J5" s="20">
        <v>3381.164142857143</v>
      </c>
    </row>
    <row r="6" ht="16.00" customHeight="true">
      <c r="A6" s="26"/>
      <c r="B6" s="22"/>
      <c r="C6" s="23" t="s">
        <f>IF(B6="","",IFERROR(B6/$B$2,0))</f>
      </c>
      <c r="D6" s="15">
        <f ref="D6:D10" t="shared" si="1">D5+1</f>
        <v>3</v>
      </c>
      <c r="E6" t="s" s="24">
        <v>16</v>
      </c>
      <c r="F6" cm="1" s="27">
        <f t="array" ref="F6">SUMPRODUCT(ISNUMBER(SEARCH(E6,$A$4:$A$36))*N($C$4:$C$36))</f>
        <v>0</v>
      </c>
      <c r="H6" t="s" s="18">
        <v>17</v>
      </c>
      <c r="I6" t="s" s="19">
        <v>18</v>
      </c>
      <c r="J6" s="20">
        <v>0</v>
      </c>
    </row>
    <row r="7" ht="16.00" customHeight="true">
      <c r="A7" s="26"/>
      <c r="B7" s="22"/>
      <c r="C7" s="23" t="s">
        <f>IF(B7="","",IFERROR(B7/$B$2,0))</f>
      </c>
      <c r="D7" s="15">
        <f t="shared" si="1"/>
        <v>4</v>
      </c>
      <c r="E7" t="s" s="24">
        <v>19</v>
      </c>
      <c r="F7" cm="1" s="27">
        <f t="array" ref="F7">SUMPRODUCT(ISNUMBER(SEARCH(E7,$A$4:$A$36))*N($C$4:$C$36))</f>
        <v>0</v>
      </c>
      <c r="H7" t="s" s="18">
        <v>20</v>
      </c>
      <c r="I7" t="s" s="19">
        <v>21</v>
      </c>
      <c r="J7" s="20">
        <v>0</v>
      </c>
    </row>
    <row r="8" ht="16.00" customHeight="true">
      <c r="A8" s="26"/>
      <c r="B8" s="22"/>
      <c r="C8" s="23" t="s">
        <f>IF(B8="","",IFERROR(B8/$B$2,0))</f>
      </c>
      <c r="D8" s="15">
        <f t="shared" si="1"/>
        <v>5</v>
      </c>
      <c r="E8" t="s" s="24">
        <v>22</v>
      </c>
      <c r="F8" cm="1" s="27">
        <f t="array" ref="F8">SUMPRODUCT(ISNUMBER(SEARCH(E8,$A$4:$A$36))*N($C$4:$C$36))</f>
        <v>0</v>
      </c>
      <c r="H8" t="s" s="18">
        <v>23</v>
      </c>
      <c r="I8" t="s" s="19">
        <v>24</v>
      </c>
      <c r="J8" s="20">
        <v>0</v>
      </c>
    </row>
    <row r="9" ht="16.00" customHeight="true">
      <c r="A9" s="26"/>
      <c r="B9" s="22"/>
      <c r="C9" s="23" t="s">
        <f>IF(B9="","",IFERROR(B9/$B$2,0))</f>
      </c>
      <c r="D9" s="15">
        <f t="shared" si="1"/>
        <v>6</v>
      </c>
      <c r="E9" t="s" s="24">
        <v>25</v>
      </c>
      <c r="F9" cm="1" s="27">
        <f t="array" ref="F9">SUMPRODUCT(ISNUMBER(SEARCH(E9,$A$4:$A$36))*N($C$4:$C$36))</f>
        <v>0</v>
      </c>
      <c r="H9" t="s" s="28">
        <v>26</v>
      </c>
      <c r="I9" t="s" s="19">
        <v>27</v>
      </c>
      <c r="J9" s="20">
        <v>0</v>
      </c>
    </row>
    <row r="10" ht="16.00" customHeight="true">
      <c r="A10" s="26"/>
      <c r="B10" s="29"/>
      <c r="C10" s="30" t="s">
        <f>IF(B10="","",IFERROR(B10/$B$2,0))</f>
      </c>
      <c r="D10" s="15">
        <f t="shared" si="1"/>
        <v>7</v>
      </c>
      <c r="E10" t="s" s="24">
        <v>28</v>
      </c>
      <c r="F10" cm="1" s="31">
        <f t="array" ref="F10">SUMPRODUCT(ISNUMBER(SEARCH(E10,$A$4:$A$36))*N($C$4:$C$36))</f>
        <v>0</v>
      </c>
      <c r="H10" t="s" s="28">
        <v>29</v>
      </c>
      <c r="I10" t="s" s="19">
        <v>30</v>
      </c>
      <c r="J10" s="20">
        <v>0</v>
      </c>
    </row>
    <row r="11" ht="16.00" customHeight="true">
      <c r="A11" s="26"/>
      <c r="B11" s="29"/>
      <c r="C11" s="30" t="s">
        <f>IF(B11="","",IFERROR(B11/$B$2,0))</f>
      </c>
      <c r="D11" s="15">
        <f ref="D11:D74" t="shared" si="2">D10+1</f>
        <v>8</v>
      </c>
      <c r="E11" t="s" s="24">
        <v>31</v>
      </c>
      <c r="F11" cm="1" s="31">
        <f t="array" ref="F11">SUMPRODUCT(ISNUMBER(SEARCH(E11,$A$4:$A$36))*N($C$4:$C$36))</f>
        <v>0</v>
      </c>
      <c r="H11" t="s" s="28">
        <v>32</v>
      </c>
      <c r="I11" t="s" s="19">
        <v>33</v>
      </c>
      <c r="J11" s="20">
        <v>0</v>
      </c>
    </row>
    <row r="12" ht="16.00" customHeight="true">
      <c r="A12" s="26"/>
      <c r="B12" s="29"/>
      <c r="C12" s="30" t="s">
        <f>IF(B12="","",IFERROR(B12/$B$2,0))</f>
      </c>
      <c r="D12" s="15">
        <f t="shared" si="2"/>
        <v>9</v>
      </c>
      <c r="E12" t="s" s="24">
        <v>34</v>
      </c>
      <c r="F12" cm="1" s="31">
        <f t="array" ref="F12">SUMPRODUCT(ISNUMBER(SEARCH(E12,$A$4:$A$36))*N($C$4:$C$36))</f>
        <v>0</v>
      </c>
      <c r="H12" t="s" s="28">
        <v>35</v>
      </c>
      <c r="I12" t="s" s="19">
        <v>36</v>
      </c>
      <c r="J12" s="20">
        <v>0</v>
      </c>
    </row>
    <row r="13" ht="16.00" customHeight="true">
      <c r="A13" s="26"/>
      <c r="B13" s="22"/>
      <c r="C13" s="23" t="s">
        <f>IF(B13="","",IFERROR(B13/$B$2,0))</f>
      </c>
      <c r="D13" s="15">
        <f t="shared" si="2"/>
        <v>10</v>
      </c>
      <c r="E13" t="s" s="24">
        <v>37</v>
      </c>
      <c r="F13" cm="1" s="27">
        <f t="array" ref="F13">SUMPRODUCT(ISNUMBER(SEARCH(E13,$A$4:$A$36))*N($C$4:$C$36))</f>
        <v>0</v>
      </c>
      <c r="H13" t="s" s="28">
        <v>38</v>
      </c>
      <c r="I13" t="s" s="19">
        <v>39</v>
      </c>
      <c r="J13" s="20">
        <v>0</v>
      </c>
    </row>
    <row r="14" ht="16.00" customHeight="true">
      <c r="A14" s="26"/>
      <c r="B14" s="22"/>
      <c r="C14" s="23" t="s">
        <f>IF(B14="","",IFERROR(B14/$B$2,0))</f>
      </c>
      <c r="D14" s="15">
        <f t="shared" si="2"/>
        <v>11</v>
      </c>
      <c r="E14" t="s" s="24">
        <v>40</v>
      </c>
      <c r="F14" cm="1" s="27">
        <f t="array" ref="F14">SUMPRODUCT(ISNUMBER(SEARCH(E14,$A$4:$A$36))*N($C$4:$C$36))</f>
        <v>0</v>
      </c>
      <c r="H14" t="s" s="32">
        <v>41</v>
      </c>
      <c r="I14" t="s" s="19">
        <v>42</v>
      </c>
      <c r="J14" s="20">
        <v>0</v>
      </c>
    </row>
    <row r="15" ht="16.00" customHeight="true">
      <c r="A15" s="26"/>
      <c r="B15" s="22"/>
      <c r="C15" s="23" t="s">
        <f>IF(B15="","",IFERROR(B15/$B$2,0))</f>
      </c>
      <c r="D15" s="15">
        <f t="shared" si="2"/>
        <v>12</v>
      </c>
      <c r="E15" t="s" s="24">
        <v>43</v>
      </c>
      <c r="F15" cm="1" s="27">
        <f t="array" ref="F15">SUMPRODUCT(ISNUMBER(SEARCH(E15,$A$4:$A$36))*N($C$4:$C$36))</f>
        <v>0</v>
      </c>
      <c r="H15" t="s" s="32">
        <v>44</v>
      </c>
      <c r="I15" t="s" s="19">
        <v>45</v>
      </c>
      <c r="J15" s="20">
        <v>0</v>
      </c>
    </row>
    <row r="16" ht="16.00" customHeight="true">
      <c r="A16" s="26"/>
      <c r="B16" s="22"/>
      <c r="C16" s="23" t="s">
        <f>IF(B16="","",IFERROR(B16/$B$2,0))</f>
      </c>
      <c r="D16" s="15">
        <f t="shared" si="2"/>
        <v>13</v>
      </c>
      <c r="E16" t="s" s="24">
        <v>46</v>
      </c>
      <c r="F16" cm="1" s="27">
        <f t="array" ref="F16">SUMPRODUCT(ISNUMBER(SEARCH(E16,$A$4:$A$36))*N($C$4:$C$36))</f>
        <v>0</v>
      </c>
      <c r="H16" t="s" s="32">
        <v>47</v>
      </c>
      <c r="I16" t="s" s="19">
        <v>48</v>
      </c>
      <c r="J16" s="20">
        <v>0</v>
      </c>
    </row>
    <row r="17" ht="16.00" customHeight="true">
      <c r="A17" s="26"/>
      <c r="B17" s="22"/>
      <c r="C17" s="23" t="s">
        <f>IF(B17="","",IFERROR(B17/$B$2,0))</f>
      </c>
      <c r="D17" s="15">
        <f t="shared" si="2"/>
        <v>14</v>
      </c>
      <c r="E17" t="s" s="24">
        <v>49</v>
      </c>
      <c r="F17" cm="1" s="27">
        <f t="array" ref="F17">SUMPRODUCT(ISNUMBER(SEARCH(E17,$A$4:$A$36))*N($C$4:$C$36))</f>
        <v>0</v>
      </c>
      <c r="H17" t="s" s="32">
        <v>50</v>
      </c>
      <c r="I17" t="s" s="19">
        <v>51</v>
      </c>
      <c r="J17" s="20">
        <v>0</v>
      </c>
    </row>
    <row r="18" ht="16.00" customHeight="true">
      <c r="A18" s="26"/>
      <c r="B18" s="22"/>
      <c r="C18" s="23" t="s">
        <f>IF(B18="","",IFERROR(B18/$B$2,0))</f>
      </c>
      <c r="D18" s="15">
        <f t="shared" si="2"/>
        <v>15</v>
      </c>
      <c r="E18" t="s" s="24">
        <v>52</v>
      </c>
      <c r="F18" cm="1" s="27">
        <f t="array" ref="F18">SUMPRODUCT(ISNUMBER(SEARCH(E18,$A$4:$A$36))*N($C$4:$C$36))</f>
        <v>0</v>
      </c>
      <c r="H18" t="s" s="32">
        <v>53</v>
      </c>
      <c r="I18" t="s" s="19">
        <v>54</v>
      </c>
      <c r="J18" s="20">
        <v>0</v>
      </c>
    </row>
    <row r="19" ht="16.00" customHeight="true">
      <c r="A19" s="33"/>
      <c r="B19" s="22"/>
      <c r="C19" s="23" t="s">
        <f>IF(B19="","",IFERROR(B19/$B$2,0))</f>
      </c>
      <c r="D19" s="15">
        <f t="shared" si="2"/>
        <v>16</v>
      </c>
      <c r="E19" t="s" s="24">
        <v>55</v>
      </c>
      <c r="F19" cm="1" s="27">
        <f t="array" ref="F19">SUMPRODUCT(ISNUMBER(SEARCH(E19,$A$4:$A$36))*N($C$4:$C$36))</f>
        <v>0</v>
      </c>
      <c r="H19" s="34"/>
      <c r="I19" t="s" s="19">
        <v>56</v>
      </c>
      <c r="J19" s="20">
        <v>0</v>
      </c>
    </row>
    <row r="20" ht="16.00" customHeight="true">
      <c r="A20" s="33"/>
      <c r="B20" s="22"/>
      <c r="C20" s="23" t="s">
        <f>IF(B20="","",IFERROR(B20/$B$2,0))</f>
      </c>
      <c r="D20" s="15">
        <f t="shared" si="2"/>
        <v>17</v>
      </c>
      <c r="E20" t="s" s="24">
        <v>57</v>
      </c>
      <c r="F20" cm="1" s="27">
        <f t="array" ref="F20">SUMPRODUCT(ISNUMBER(SEARCH(E20,$A$4:$A$36))*N($C$4:$C$36))</f>
        <v>0</v>
      </c>
      <c r="I20" t="s" s="19">
        <v>58</v>
      </c>
      <c r="J20" s="20">
        <v>0</v>
      </c>
    </row>
    <row r="21" ht="16.00" customHeight="true">
      <c r="A21" s="33"/>
      <c r="B21" s="22"/>
      <c r="C21" s="23" t="s">
        <f>IF(B21="","",IFERROR(B21/$B$2,0))</f>
      </c>
      <c r="D21" s="15">
        <f t="shared" si="2"/>
        <v>18</v>
      </c>
      <c r="E21" t="s" s="24">
        <v>59</v>
      </c>
      <c r="F21" cm="1" s="27">
        <f t="array" ref="F21">SUMPRODUCT(ISNUMBER(SEARCH(E21,$A$4:$A$36))*N($C$4:$C$36))</f>
        <v>0</v>
      </c>
      <c r="I21" t="s" s="19">
        <v>60</v>
      </c>
      <c r="J21" s="20">
        <v>0</v>
      </c>
    </row>
    <row r="22" ht="16.00" customHeight="true">
      <c r="A22" s="33"/>
      <c r="B22" s="22"/>
      <c r="C22" s="23" t="s">
        <f>IF(B22="","",IFERROR(B22/$B$2,0))</f>
      </c>
      <c r="D22" s="15">
        <f t="shared" si="2"/>
        <v>19</v>
      </c>
      <c r="E22" t="s" s="24">
        <v>61</v>
      </c>
      <c r="F22" cm="1" s="27">
        <f t="array" ref="F22">SUMPRODUCT(ISNUMBER(SEARCH(E22,$A$4:$A$36))*N($C$4:$C$36))</f>
        <v>0</v>
      </c>
      <c r="I22" t="s" s="19">
        <v>62</v>
      </c>
      <c r="J22" s="20">
        <v>0</v>
      </c>
    </row>
    <row r="23" ht="16.00" customHeight="true">
      <c r="A23" s="33"/>
      <c r="B23" s="22"/>
      <c r="C23" s="23" t="s">
        <f>IF(B23="","",IFERROR(B23/$B$2,0))</f>
      </c>
      <c r="D23" s="15">
        <f t="shared" si="2"/>
        <v>20</v>
      </c>
      <c r="E23" t="s" s="24">
        <v>63</v>
      </c>
      <c r="F23" cm="1" s="27">
        <f t="array" ref="F23">SUMPRODUCT(ISNUMBER(SEARCH(E23,$A$4:$A$36))*N($C$4:$C$36))</f>
        <v>0</v>
      </c>
      <c r="I23" t="s" s="19">
        <v>64</v>
      </c>
      <c r="J23" s="20">
        <v>0</v>
      </c>
    </row>
    <row r="24" ht="16.00" customHeight="true">
      <c r="A24" s="33"/>
      <c r="B24" s="22"/>
      <c r="C24" s="23" t="s">
        <f>IF(B24="","",IFERROR(B24/$B$2,0))</f>
      </c>
      <c r="D24" s="15">
        <f t="shared" si="2"/>
        <v>21</v>
      </c>
      <c r="E24" t="s" s="24">
        <v>65</v>
      </c>
      <c r="F24" cm="1" s="27">
        <f t="array" ref="F24">SUMPRODUCT(ISNUMBER(SEARCH(E24,$A$4:$A$36))*N($C$4:$C$36))</f>
        <v>0</v>
      </c>
      <c r="I24" t="s" s="19">
        <v>66</v>
      </c>
      <c r="J24" s="20">
        <v>0</v>
      </c>
    </row>
    <row r="25" ht="16.00" customHeight="true">
      <c r="A25" s="33"/>
      <c r="B25" s="22"/>
      <c r="C25" s="23" t="s">
        <f>IF(B25="","",IFERROR(B25/$B$2,0))</f>
      </c>
      <c r="D25" s="15">
        <f t="shared" si="2"/>
        <v>22</v>
      </c>
      <c r="E25" t="s" s="24">
        <v>67</v>
      </c>
      <c r="F25" cm="1" s="27">
        <f t="array" ref="F25">SUMPRODUCT(ISNUMBER(SEARCH(E25,$A$4:$A$36))*N($C$4:$C$36))</f>
        <v>0</v>
      </c>
      <c r="I25" t="s" s="19">
        <v>68</v>
      </c>
      <c r="J25" s="20">
        <v>0</v>
      </c>
    </row>
    <row r="26" ht="16.00" customHeight="true">
      <c r="A26" s="33"/>
      <c r="B26" s="22"/>
      <c r="C26" s="23" t="s">
        <f>IF(B26="","",IFERROR(B26/$B$2,0))</f>
      </c>
      <c r="D26" s="15">
        <f t="shared" si="2"/>
        <v>23</v>
      </c>
      <c r="E26" t="s" s="24">
        <v>69</v>
      </c>
      <c r="F26" cm="1" s="27">
        <f t="array" ref="F26">SUMPRODUCT(ISNUMBER(SEARCH(E26,$A$4:$A$36))*N($C$4:$C$36))</f>
        <v>0</v>
      </c>
      <c r="I26" t="s" s="19">
        <v>70</v>
      </c>
      <c r="J26" s="20">
        <v>0</v>
      </c>
    </row>
    <row r="27" ht="16.00" customHeight="true">
      <c r="A27" s="33"/>
      <c r="B27" s="22"/>
      <c r="C27" s="23" t="s">
        <f>IF(B27="","",IFERROR(B27/$B$2,0))</f>
      </c>
      <c r="D27" s="15">
        <f t="shared" si="2"/>
        <v>24</v>
      </c>
      <c r="E27" t="s" s="24">
        <v>71</v>
      </c>
      <c r="F27" cm="1" s="27">
        <f t="array" ref="F27">SUMPRODUCT(ISNUMBER(SEARCH(E27,$A$4:$A$36))*N($C$4:$C$36))</f>
        <v>0</v>
      </c>
      <c r="I27" t="s" s="19">
        <v>72</v>
      </c>
      <c r="J27" s="20">
        <v>0</v>
      </c>
    </row>
    <row r="28" ht="16.00" customHeight="true">
      <c r="A28" s="33"/>
      <c r="B28" s="22"/>
      <c r="C28" s="23" t="s">
        <f>IF(B28="","",IFERROR(B28/$B$2,0))</f>
      </c>
      <c r="D28" s="15">
        <f t="shared" si="2"/>
        <v>25</v>
      </c>
      <c r="E28" t="s" s="24">
        <v>73</v>
      </c>
      <c r="F28" cm="1" s="27">
        <f t="array" ref="F28">SUMPRODUCT(ISNUMBER(SEARCH(E28,$A$4:$A$36))*N($C$4:$C$36))</f>
        <v>0</v>
      </c>
      <c r="I28" t="s" s="19">
        <v>74</v>
      </c>
      <c r="J28" s="20">
        <v>0</v>
      </c>
    </row>
    <row r="29" ht="16.00" customHeight="true">
      <c r="A29" s="33"/>
      <c r="B29" s="22"/>
      <c r="C29" s="23" t="s">
        <f>IF(B29="","",IFERROR(B29/$B$2,0))</f>
      </c>
      <c r="D29" s="15">
        <f t="shared" si="2"/>
        <v>26</v>
      </c>
      <c r="E29" t="s" s="24">
        <v>75</v>
      </c>
      <c r="F29" cm="1" s="27">
        <f t="array" ref="F29">SUMPRODUCT(ISNUMBER(SEARCH(E29,$A$4:$A$36))*N($C$4:$C$36))</f>
        <v>0</v>
      </c>
      <c r="I29" t="s" s="19">
        <v>76</v>
      </c>
      <c r="J29" s="20">
        <v>0</v>
      </c>
    </row>
    <row r="30" ht="16.00" customHeight="true">
      <c r="A30" s="33"/>
      <c r="B30" s="22"/>
      <c r="C30" s="23" t="s">
        <f>IF(B30="","",IFERROR(B30/$B$2,0))</f>
      </c>
      <c r="D30" s="15">
        <f t="shared" si="2"/>
        <v>27</v>
      </c>
      <c r="E30" t="s" s="24">
        <v>77</v>
      </c>
      <c r="F30" cm="1" s="27">
        <f t="array" ref="F30">SUMPRODUCT(ISNUMBER(SEARCH(E30,$A$4:$A$36))*N($C$4:$C$36))</f>
        <v>0</v>
      </c>
      <c r="I30" t="s" s="19">
        <v>78</v>
      </c>
      <c r="J30" s="20">
        <v>0</v>
      </c>
    </row>
    <row r="31" ht="16.00" customHeight="true">
      <c r="A31" s="33"/>
      <c r="B31" s="22"/>
      <c r="C31" s="23" t="s">
        <f>IF(B31="","",IFERROR(B31/$B$2,0))</f>
      </c>
      <c r="D31" s="15">
        <f t="shared" si="2"/>
        <v>28</v>
      </c>
      <c r="E31" t="s" s="24">
        <v>79</v>
      </c>
      <c r="F31" cm="1" s="27">
        <f t="array" ref="F31">SUMPRODUCT(ISNUMBER(SEARCH(E31,$A$4:$A$36))*N($C$4:$C$36))</f>
        <v>0</v>
      </c>
      <c r="I31" t="s" s="19">
        <v>80</v>
      </c>
      <c r="J31" s="20">
        <v>0</v>
      </c>
    </row>
    <row r="32" ht="16.00" customHeight="true">
      <c r="A32" s="33"/>
      <c r="B32" s="22"/>
      <c r="C32" s="23" t="s">
        <f>IF(B32="","",IFERROR(B32/$B$2,0))</f>
      </c>
      <c r="D32" s="15">
        <f t="shared" si="2"/>
        <v>29</v>
      </c>
      <c r="E32" t="s" s="24">
        <v>81</v>
      </c>
      <c r="F32" cm="1" s="27">
        <f t="array" ref="F32">SUMPRODUCT(ISNUMBER(SEARCH(E32,$A$4:$A$36))*N($C$4:$C$36))</f>
        <v>0</v>
      </c>
      <c r="I32" t="s" s="19">
        <v>82</v>
      </c>
      <c r="J32" s="20">
        <v>0</v>
      </c>
    </row>
    <row r="33" ht="16.00" customHeight="true">
      <c r="A33" s="33"/>
      <c r="B33" s="22"/>
      <c r="C33" s="23" t="s">
        <f>IF(B33="","",IFERROR(B33/$B$2,0))</f>
      </c>
      <c r="D33" s="15">
        <f t="shared" si="2"/>
        <v>30</v>
      </c>
      <c r="E33" t="s" s="24">
        <v>83</v>
      </c>
      <c r="F33" cm="1" s="27">
        <f t="array" ref="F33">SUMPRODUCT(ISNUMBER(SEARCH(E33,$A$4:$A$36))*N($C$4:$C$36))</f>
        <v>0</v>
      </c>
      <c r="I33" t="s" s="19">
        <v>84</v>
      </c>
      <c r="J33" s="20">
        <v>0</v>
      </c>
    </row>
    <row r="34" ht="16.00" customHeight="true">
      <c r="A34" s="33"/>
      <c r="B34" s="22"/>
      <c r="C34" s="23" t="s">
        <f>IF(B34="","",IFERROR(B34/$B$2,0))</f>
      </c>
      <c r="D34" s="15">
        <f t="shared" si="2"/>
        <v>31</v>
      </c>
      <c r="E34" t="s" s="24">
        <v>85</v>
      </c>
      <c r="F34" cm="1" s="27">
        <f t="array" ref="F34">SUMPRODUCT(ISNUMBER(SEARCH(E34,$A$4:$A$36))*N($C$4:$C$36))</f>
        <v>0</v>
      </c>
      <c r="I34" t="s" s="19">
        <v>86</v>
      </c>
      <c r="J34" s="20">
        <v>0</v>
      </c>
    </row>
    <row r="35" ht="16.00" customHeight="true">
      <c r="A35" s="33"/>
      <c r="B35" s="22"/>
      <c r="C35" s="23" t="s">
        <f>IF(B35="","",IFERROR(B35/$B$2,0))</f>
      </c>
      <c r="D35" s="15">
        <f t="shared" si="2"/>
        <v>32</v>
      </c>
      <c r="E35" t="s" s="24">
        <v>87</v>
      </c>
      <c r="F35" cm="1" s="27">
        <f t="array" ref="F35">SUMPRODUCT(ISNUMBER(SEARCH(E35,$A$4:$A$36))*N($C$4:$C$36))</f>
        <v>0</v>
      </c>
      <c r="I35" t="s" s="19">
        <v>88</v>
      </c>
      <c r="J35" s="20">
        <v>0</v>
      </c>
    </row>
    <row r="36" ht="16.00" customHeight="true">
      <c r="A36" s="35"/>
      <c r="B36" s="36"/>
      <c r="C36" s="37" t="s">
        <f>IF(B36="","",IFERROR(B36/$B$2,0))</f>
      </c>
      <c r="D36" s="15">
        <f t="shared" si="2"/>
        <v>33</v>
      </c>
      <c r="E36" t="s" s="24">
        <v>89</v>
      </c>
      <c r="F36" cm="1" s="27">
        <f t="array" ref="F36">SUMPRODUCT(ISNUMBER(SEARCH(E36,$A$4:$A$36))*N($C$4:$C$36))</f>
        <v>0</v>
      </c>
      <c r="I36" t="s" s="19">
        <v>90</v>
      </c>
      <c r="J36" s="20">
        <v>0</v>
      </c>
    </row>
    <row r="37" ht="16.00" customHeight="true">
      <c r="A37" s="19"/>
      <c r="B37" s="38">
        <f>SUM(B4:B36)</f>
        <v>242170.65</v>
      </c>
      <c r="C37" s="38">
        <f>SUM(C4:C36)</f>
        <v>3459.5807142857143</v>
      </c>
      <c r="D37" s="15">
        <f t="shared" si="2"/>
        <v>34</v>
      </c>
      <c r="E37" t="s" s="24">
        <v>91</v>
      </c>
      <c r="F37" cm="1" s="27">
        <f t="array" ref="F37">SUMPRODUCT(ISNUMBER(SEARCH(E37,$A$4:$A$36))*N($C$4:$C$36))</f>
        <v>0</v>
      </c>
      <c r="I37" t="s" s="19">
        <v>92</v>
      </c>
      <c r="J37" s="20">
        <v>0</v>
      </c>
    </row>
    <row r="38" ht="16.00" customHeight="true">
      <c r="A38" s="19"/>
      <c r="B38" s="39">
        <f>B37-F24</f>
        <v>242170.65</v>
      </c>
      <c r="C38" s="39">
        <f>C37-G24</f>
        <v>3459.5807142857143</v>
      </c>
      <c r="D38" s="15">
        <f t="shared" si="2"/>
        <v>35</v>
      </c>
      <c r="E38" t="s" s="24">
        <v>93</v>
      </c>
      <c r="F38" cm="1" s="27">
        <f t="array" ref="F38">SUMPRODUCT(ISNUMBER(SEARCH(E38,$A$4:$A$36))*N($C$4:$C$36))</f>
        <v>0</v>
      </c>
      <c r="I38" t="s" s="19">
        <v>94</v>
      </c>
      <c r="J38" s="20">
        <v>0</v>
      </c>
    </row>
    <row r="39" ht="16.00" customHeight="true">
      <c r="D39" s="15">
        <f t="shared" si="2"/>
        <v>36</v>
      </c>
      <c r="E39" t="s" s="24">
        <v>95</v>
      </c>
      <c r="F39" cm="1" s="27">
        <f t="array" ref="F39">SUMPRODUCT(ISNUMBER(SEARCH(E39,$A$4:$A$36))*N($C$4:$C$36))</f>
        <v>0</v>
      </c>
      <c r="I39" t="s" s="19">
        <v>96</v>
      </c>
      <c r="J39" s="20">
        <v>0</v>
      </c>
    </row>
    <row r="40" ht="16.00" customHeight="true">
      <c r="D40" s="15">
        <f t="shared" si="2"/>
        <v>37</v>
      </c>
      <c r="E40" t="s" s="24">
        <v>97</v>
      </c>
      <c r="F40" cm="1" s="27">
        <f t="array" ref="F40">SUMPRODUCT(ISNUMBER(SEARCH(E40,$A$4:$A$36))*N($C$4:$C$36))</f>
        <v>0</v>
      </c>
      <c r="I40" t="s" s="19">
        <v>98</v>
      </c>
      <c r="J40" s="20">
        <v>0</v>
      </c>
    </row>
    <row r="41" ht="16.00" customHeight="true">
      <c r="A41" t="s" s="40">
        <v>99</v>
      </c>
      <c r="B41" t="s" s="40">
        <v>100</v>
      </c>
      <c r="C41" s="41">
        <v>33</v>
      </c>
      <c r="D41" s="15">
        <f t="shared" si="2"/>
        <v>38</v>
      </c>
      <c r="E41" t="s" s="24">
        <v>101</v>
      </c>
      <c r="F41" cm="1" s="27">
        <f t="array" ref="F41">SUMPRODUCT(ISNUMBER(SEARCH(E41,$A$4:$A$36))*N($C$4:$C$36))</f>
        <v>0</v>
      </c>
      <c r="I41" t="s" s="19">
        <v>102</v>
      </c>
      <c r="J41" s="20">
        <v>0</v>
      </c>
    </row>
    <row r="42" ht="16.00" customHeight="true">
      <c r="A42" t="s" s="42">
        <v>103</v>
      </c>
      <c r="B42" t="s" s="42">
        <v>104</v>
      </c>
      <c r="C42" s="43">
        <v>22000</v>
      </c>
      <c r="D42" s="15">
        <f t="shared" si="2"/>
        <v>39</v>
      </c>
      <c r="E42" t="s" s="24">
        <v>105</v>
      </c>
      <c r="F42" cm="1" s="27">
        <f t="array" ref="F42">SUMPRODUCT(ISNUMBER(SEARCH(E42,$A$4:$A$36))*N($C$4:$C$36))</f>
        <v>0</v>
      </c>
      <c r="I42" t="s" s="19">
        <v>106</v>
      </c>
      <c r="J42" s="20">
        <v>0</v>
      </c>
    </row>
    <row r="43" ht="16.00" customHeight="true">
      <c r="A43" t="s" s="40">
        <v>107</v>
      </c>
      <c r="B43" t="s" s="40">
        <v>108</v>
      </c>
      <c r="C43" s="41">
        <v>70</v>
      </c>
      <c r="D43" s="15">
        <f t="shared" si="2"/>
        <v>40</v>
      </c>
      <c r="E43" t="s" s="24">
        <v>109</v>
      </c>
      <c r="F43" cm="1" s="27">
        <f t="array" ref="F43">SUMPRODUCT(ISNUMBER(SEARCH(E43,$A$4:$A$36))*N($C$4:$C$36))</f>
        <v>0</v>
      </c>
      <c r="I43" t="s" s="19">
        <v>110</v>
      </c>
      <c r="J43" s="20">
        <v>0</v>
      </c>
    </row>
    <row r="44" ht="16.00" customHeight="true">
      <c r="A44" t="s" s="42">
        <v>111</v>
      </c>
      <c r="B44" t="s" s="42">
        <v>112</v>
      </c>
      <c r="C44" s="43">
        <v>13500</v>
      </c>
      <c r="D44" s="15">
        <f t="shared" si="2"/>
        <v>41</v>
      </c>
      <c r="E44" t="s" s="24">
        <v>113</v>
      </c>
      <c r="F44" cm="1" s="27">
        <f t="array" ref="F44">SUMPRODUCT(ISNUMBER(SEARCH(E44,$A$4:$A$36))*N($C$4:$C$36))</f>
        <v>0</v>
      </c>
      <c r="I44" t="s" s="19">
        <v>114</v>
      </c>
      <c r="J44" s="20">
        <v>0</v>
      </c>
    </row>
    <row r="45" ht="16.00" customHeight="true">
      <c r="A45" t="s" s="40">
        <v>115</v>
      </c>
      <c r="B45" t="s" s="40">
        <v>116</v>
      </c>
      <c r="C45" s="41">
        <v>1</v>
      </c>
      <c r="D45" s="15">
        <f t="shared" si="2"/>
        <v>42</v>
      </c>
      <c r="E45" t="s" s="24">
        <v>117</v>
      </c>
      <c r="F45" cm="1" s="27">
        <f t="array" ref="F45">SUMPRODUCT(ISNUMBER(SEARCH(E45,$A$4:$A$36))*N($C$4:$C$36))</f>
        <v>0</v>
      </c>
      <c r="I45" t="s" s="19">
        <v>118</v>
      </c>
      <c r="J45" s="20">
        <v>0</v>
      </c>
    </row>
    <row r="46" ht="16.00" customHeight="true">
      <c r="A46" t="s" s="42">
        <v>119</v>
      </c>
      <c r="B46" t="s" s="42">
        <v>120</v>
      </c>
      <c r="C46" s="43">
        <v>1</v>
      </c>
      <c r="D46" s="15">
        <f t="shared" si="2"/>
        <v>43</v>
      </c>
      <c r="E46" t="s" s="24">
        <v>121</v>
      </c>
      <c r="F46" cm="1" s="27">
        <f t="array" ref="F46">SUMPRODUCT(ISNUMBER(SEARCH(E46,$A$4:$A$36))*N($C$4:$C$36))</f>
        <v>0</v>
      </c>
      <c r="I46" t="s" s="19">
        <v>122</v>
      </c>
      <c r="J46" s="20">
        <v>0</v>
      </c>
    </row>
    <row r="47" ht="16.00" customHeight="true">
      <c r="A47" t="s" s="40">
        <v>123</v>
      </c>
      <c r="B47" t="s" s="40">
        <v>124</v>
      </c>
      <c r="C47" s="41">
        <v>1</v>
      </c>
      <c r="D47" s="15">
        <f t="shared" si="2"/>
        <v>44</v>
      </c>
      <c r="E47" t="s" s="24">
        <v>125</v>
      </c>
      <c r="F47" cm="1" s="27">
        <f t="array" ref="F47">SUMPRODUCT(ISNUMBER(SEARCH(E47,$A$4:$A$36))*N($C$4:$C$36))</f>
        <v>0</v>
      </c>
      <c r="I47" t="s" s="19">
        <v>126</v>
      </c>
      <c r="J47" s="20">
        <v>0</v>
      </c>
    </row>
    <row r="48" ht="16.00" customHeight="true">
      <c r="A48" t="s" s="42">
        <v>127</v>
      </c>
      <c r="B48" t="s" s="42">
        <v>128</v>
      </c>
      <c r="C48" s="43">
        <v>0.38</v>
      </c>
      <c r="D48" s="15">
        <f t="shared" si="2"/>
        <v>45</v>
      </c>
      <c r="E48" t="s" s="24">
        <v>129</v>
      </c>
      <c r="F48" cm="1" s="27">
        <f t="array" ref="F48">SUMPRODUCT(ISNUMBER(SEARCH(E48,$A$4:$A$36))*N($C$4:$C$36))</f>
        <v>0</v>
      </c>
      <c r="I48" t="s" s="19">
        <v>130</v>
      </c>
      <c r="J48" s="20">
        <v>0</v>
      </c>
    </row>
    <row r="49" ht="16.00" customHeight="true">
      <c r="A49" t="s" s="44">
        <v>131</v>
      </c>
      <c r="B49" t="s" s="44">
        <v>132</v>
      </c>
      <c r="C49" s="45">
        <v>15500</v>
      </c>
      <c r="D49" s="15">
        <f t="shared" si="2"/>
        <v>46</v>
      </c>
      <c r="E49" t="s" s="24">
        <v>133</v>
      </c>
      <c r="F49" cm="1" s="27">
        <f t="array" ref="F49">SUMPRODUCT(ISNUMBER(SEARCH(E49,$A$4:$A$36))*N($C$4:$C$36))</f>
        <v>0</v>
      </c>
      <c r="I49" t="s" s="19">
        <v>134</v>
      </c>
      <c r="J49" s="20">
        <v>0</v>
      </c>
    </row>
    <row r="50" ht="16.00" customHeight="true">
      <c r="D50" s="15">
        <f t="shared" si="2"/>
        <v>47</v>
      </c>
      <c r="E50" t="s" s="24">
        <v>135</v>
      </c>
      <c r="F50" cm="1" s="27">
        <f t="array" ref="F50">SUMPRODUCT(ISNUMBER(SEARCH(E50,$A$4:$A$36))*N($C$4:$C$36))</f>
        <v>0</v>
      </c>
      <c r="I50" t="s" s="19">
        <v>136</v>
      </c>
      <c r="J50" s="20">
        <v>0</v>
      </c>
    </row>
    <row r="51" ht="16.00" customHeight="true">
      <c r="D51" s="15">
        <f t="shared" si="2"/>
        <v>48</v>
      </c>
      <c r="E51" t="s" s="24">
        <v>137</v>
      </c>
      <c r="F51" cm="1" s="27">
        <f t="array" ref="F51">SUMPRODUCT(ISNUMBER(SEARCH(E51,$A$4:$A$36))*N($C$4:$C$36))</f>
        <v>0</v>
      </c>
      <c r="I51" t="s" s="19">
        <v>138</v>
      </c>
      <c r="J51" s="20">
        <v>0</v>
      </c>
    </row>
    <row r="52" ht="16.00" customHeight="true">
      <c r="D52" s="15">
        <f t="shared" si="2"/>
        <v>49</v>
      </c>
      <c r="E52" t="s" s="24">
        <v>139</v>
      </c>
      <c r="F52" cm="1" s="27">
        <f t="array" ref="F52">SUMPRODUCT(ISNUMBER(SEARCH(E52,$A$4:$A$36))*N($C$4:$C$36))</f>
        <v>0</v>
      </c>
      <c r="I52" t="s" s="19">
        <v>140</v>
      </c>
      <c r="J52" s="20">
        <v>0</v>
      </c>
    </row>
    <row r="53" ht="16.00" customHeight="true">
      <c r="D53" s="15">
        <f t="shared" si="2"/>
        <v>50</v>
      </c>
      <c r="E53" t="s" s="24">
        <v>141</v>
      </c>
      <c r="F53" cm="1" s="27">
        <f t="array" ref="F53">SUMPRODUCT(ISNUMBER(SEARCH(E53,$A$4:$A$36))*N($C$4:$C$36))</f>
        <v>0</v>
      </c>
      <c r="I53" t="s" s="19">
        <v>142</v>
      </c>
      <c r="J53" s="20">
        <v>0</v>
      </c>
    </row>
    <row r="54" ht="16.00" customHeight="true">
      <c r="D54" s="15">
        <f t="shared" si="2"/>
        <v>51</v>
      </c>
      <c r="E54" t="s" s="24">
        <v>143</v>
      </c>
      <c r="F54" cm="1" s="27">
        <f t="array" ref="F54">SUMPRODUCT(ISNUMBER(SEARCH(E54,$A$4:$A$36))*N($C$4:$C$36))</f>
        <v>0</v>
      </c>
      <c r="I54" t="s" s="19">
        <v>144</v>
      </c>
      <c r="J54" s="20">
        <v>0</v>
      </c>
    </row>
    <row r="55" ht="16.00" customHeight="true">
      <c r="D55" s="15">
        <f t="shared" si="2"/>
        <v>52</v>
      </c>
      <c r="E55" t="s" s="24">
        <v>145</v>
      </c>
      <c r="F55" cm="1" s="27">
        <f t="array" ref="F55">SUMPRODUCT(ISNUMBER(SEARCH(E55,$A$4:$A$36))*N($C$4:$C$36))</f>
        <v>0</v>
      </c>
      <c r="I55" t="s" s="19">
        <v>146</v>
      </c>
      <c r="J55" s="20">
        <v>0</v>
      </c>
    </row>
    <row r="56" ht="16.00" customHeight="true">
      <c r="D56" s="15">
        <f t="shared" si="2"/>
        <v>53</v>
      </c>
      <c r="E56" t="s" s="24">
        <v>147</v>
      </c>
      <c r="F56" cm="1" s="27">
        <f t="array" ref="F56">SUMPRODUCT(ISNUMBER(SEARCH(E56,$A$4:$A$36))*N($C$4:$C$36))</f>
        <v>0</v>
      </c>
      <c r="I56" t="s" s="19">
        <v>148</v>
      </c>
      <c r="J56" s="20">
        <v>0</v>
      </c>
    </row>
    <row r="57" ht="16.00" customHeight="true">
      <c r="D57" s="15">
        <f t="shared" si="2"/>
        <v>54</v>
      </c>
      <c r="E57" t="s" s="24">
        <v>149</v>
      </c>
      <c r="F57" cm="1" s="27">
        <f t="array" ref="F57">SUMPRODUCT(ISNUMBER(SEARCH(E57,$A$4:$A$36))*N($C$4:$C$36))</f>
        <v>0</v>
      </c>
      <c r="I57" t="s" s="19">
        <v>150</v>
      </c>
      <c r="J57" s="20">
        <v>0</v>
      </c>
    </row>
    <row r="58" ht="16.00" customHeight="true">
      <c r="D58" s="15">
        <f t="shared" si="2"/>
        <v>55</v>
      </c>
      <c r="E58" t="s" s="24">
        <v>151</v>
      </c>
      <c r="F58" cm="1" s="27">
        <f t="array" ref="F58">SUMPRODUCT(ISNUMBER(SEARCH(E58,$A$4:$A$36))*N($C$4:$C$36))</f>
        <v>0</v>
      </c>
      <c r="I58" t="s" s="19">
        <v>152</v>
      </c>
      <c r="J58" s="20">
        <v>0</v>
      </c>
    </row>
    <row r="59" ht="16.00" customHeight="true">
      <c r="D59" s="15">
        <f t="shared" si="2"/>
        <v>56</v>
      </c>
      <c r="E59" t="s" s="24">
        <v>153</v>
      </c>
      <c r="F59" cm="1" s="27">
        <f t="array" ref="F59">SUMPRODUCT(ISNUMBER(SEARCH(E59,$A$4:$A$36))*N($C$4:$C$36))</f>
        <v>0</v>
      </c>
      <c r="I59" t="s" s="19">
        <v>154</v>
      </c>
      <c r="J59" s="20">
        <v>0</v>
      </c>
    </row>
    <row r="60" ht="16.00" customHeight="true">
      <c r="D60" s="15">
        <f t="shared" si="2"/>
        <v>57</v>
      </c>
      <c r="E60" t="s" s="24">
        <v>155</v>
      </c>
      <c r="F60" cm="1" s="27">
        <f t="array" ref="F60">SUMPRODUCT(ISNUMBER(SEARCH(E60,$A$4:$A$36))*N($C$4:$C$36))</f>
        <v>0</v>
      </c>
      <c r="I60" t="s" s="19">
        <v>156</v>
      </c>
      <c r="J60" s="20">
        <v>0</v>
      </c>
    </row>
    <row r="61" ht="16.00" customHeight="true">
      <c r="D61" s="15">
        <f t="shared" si="2"/>
        <v>58</v>
      </c>
      <c r="E61" t="s" s="24">
        <v>157</v>
      </c>
      <c r="F61" cm="1" s="27">
        <f t="array" ref="F61">SUMPRODUCT(ISNUMBER(SEARCH(E61,$A$4:$A$36))*N($C$4:$C$36))</f>
        <v>0</v>
      </c>
      <c r="I61" t="s" s="19">
        <v>158</v>
      </c>
      <c r="J61" s="20">
        <v>0</v>
      </c>
    </row>
    <row r="62" ht="16.00" customHeight="true">
      <c r="D62" s="15">
        <f t="shared" si="2"/>
        <v>59</v>
      </c>
      <c r="E62" t="s" s="24">
        <v>159</v>
      </c>
      <c r="F62" cm="1" s="27">
        <f t="array" ref="F62">SUMPRODUCT(ISNUMBER(SEARCH(E62,$A$4:$A$36))*N($C$4:$C$36))</f>
        <v>0</v>
      </c>
      <c r="I62" t="s" s="19">
        <v>160</v>
      </c>
      <c r="J62" s="20">
        <v>0</v>
      </c>
    </row>
    <row r="63" ht="16.00" customHeight="true">
      <c r="D63" s="15">
        <f t="shared" si="2"/>
        <v>60</v>
      </c>
      <c r="E63" t="s" s="24">
        <v>161</v>
      </c>
      <c r="F63" cm="1" s="27">
        <f t="array" ref="F63">SUMPRODUCT(ISNUMBER(SEARCH(E63,$A$4:$A$36))*N($C$4:$C$36))</f>
        <v>0</v>
      </c>
      <c r="I63" t="s" s="19">
        <v>162</v>
      </c>
      <c r="J63" s="20">
        <v>0</v>
      </c>
    </row>
    <row r="64" ht="16.00" customHeight="true">
      <c r="D64" s="15">
        <f t="shared" si="2"/>
        <v>61</v>
      </c>
      <c r="E64" t="s" s="24">
        <v>163</v>
      </c>
      <c r="F64" cm="1" s="27">
        <f t="array" ref="F64">SUMPRODUCT(ISNUMBER(SEARCH(E64,$A$4:$A$36))*N($C$4:$C$36))</f>
        <v>0</v>
      </c>
      <c r="I64" t="s" s="19">
        <v>164</v>
      </c>
      <c r="J64" s="20">
        <v>0</v>
      </c>
    </row>
    <row r="65" ht="16.00" customHeight="true">
      <c r="D65" s="15">
        <f t="shared" si="2"/>
        <v>62</v>
      </c>
      <c r="E65" t="s" s="24">
        <v>165</v>
      </c>
      <c r="F65" cm="1" s="27">
        <f t="array" ref="F65">SUMPRODUCT(ISNUMBER(SEARCH(E65,$A$4:$A$36))*N($C$4:$C$36))</f>
        <v>0</v>
      </c>
      <c r="I65" t="s" s="19">
        <v>166</v>
      </c>
      <c r="J65" s="20">
        <v>0</v>
      </c>
    </row>
    <row r="66" ht="16.00" customHeight="true">
      <c r="D66" s="15">
        <f t="shared" si="2"/>
        <v>63</v>
      </c>
      <c r="E66" t="s" s="24">
        <v>167</v>
      </c>
      <c r="F66" cm="1" s="27">
        <f t="array" ref="F66">SUMPRODUCT(ISNUMBER(SEARCH(E66,$A$4:$A$36))*N($C$4:$C$36))</f>
        <v>0</v>
      </c>
      <c r="I66" t="s" s="19">
        <v>168</v>
      </c>
      <c r="J66" s="20">
        <v>0</v>
      </c>
    </row>
    <row r="67" ht="16.00" customHeight="true">
      <c r="D67" s="15">
        <f t="shared" si="2"/>
        <v>64</v>
      </c>
      <c r="E67" t="s" s="24">
        <v>169</v>
      </c>
      <c r="F67" cm="1" s="27">
        <f t="array" ref="F67">SUMPRODUCT(ISNUMBER(SEARCH(E67,$A$4:$A$36))*N($C$4:$C$36))</f>
        <v>0</v>
      </c>
      <c r="I67" t="s" s="19">
        <v>170</v>
      </c>
      <c r="J67" s="20">
        <v>0</v>
      </c>
    </row>
    <row r="68" ht="16.00" customHeight="true">
      <c r="D68" s="15">
        <f t="shared" si="2"/>
        <v>65</v>
      </c>
      <c r="E68" t="s" s="24">
        <v>171</v>
      </c>
      <c r="F68" cm="1" s="27">
        <f t="array" ref="F68">SUMPRODUCT(ISNUMBER(SEARCH(E68,$A$4:$A$36))*N($C$4:$C$36))</f>
        <v>0</v>
      </c>
      <c r="I68" t="s" s="19">
        <v>172</v>
      </c>
      <c r="J68" s="20">
        <v>0</v>
      </c>
    </row>
    <row r="69" ht="16.00" customHeight="true">
      <c r="D69" s="15">
        <f t="shared" si="2"/>
        <v>66</v>
      </c>
      <c r="E69" t="s" s="24">
        <v>173</v>
      </c>
      <c r="F69" cm="1" s="27">
        <f t="array" ref="F69">SUMPRODUCT(ISNUMBER(SEARCH(E69,$A$4:$A$36))*N($C$4:$C$36))</f>
        <v>0</v>
      </c>
      <c r="I69" t="s" s="19">
        <v>174</v>
      </c>
      <c r="J69" s="20">
        <v>0</v>
      </c>
    </row>
    <row r="70" ht="16.00" customHeight="true">
      <c r="D70" s="15">
        <f t="shared" si="2"/>
        <v>67</v>
      </c>
      <c r="E70" t="s" s="24">
        <v>175</v>
      </c>
      <c r="F70" cm="1" s="27">
        <f t="array" ref="F70">SUMPRODUCT(ISNUMBER(SEARCH(E70,$A$4:$A$36))*N($C$4:$C$36))</f>
        <v>0</v>
      </c>
      <c r="I70" t="s" s="19">
        <v>176</v>
      </c>
      <c r="J70" s="20">
        <v>0</v>
      </c>
    </row>
    <row r="71" ht="16.00" customHeight="true">
      <c r="D71" s="15">
        <f t="shared" si="2"/>
        <v>68</v>
      </c>
      <c r="E71" t="s" s="24">
        <v>177</v>
      </c>
      <c r="F71" cm="1" s="27">
        <f t="array" ref="F71">SUMPRODUCT(ISNUMBER(SEARCH(E71,$A$4:$A$36))*N($C$4:$C$36))</f>
        <v>0</v>
      </c>
      <c r="I71" t="s" s="19">
        <v>178</v>
      </c>
      <c r="J71" s="20">
        <v>0</v>
      </c>
    </row>
    <row r="72" ht="16.00" customHeight="true">
      <c r="D72" s="15">
        <f t="shared" si="2"/>
        <v>69</v>
      </c>
      <c r="E72" t="s" s="24">
        <v>179</v>
      </c>
      <c r="F72" cm="1" s="27">
        <f t="array" ref="F72">SUMPRODUCT(ISNUMBER(SEARCH(E72,$A$4:$A$36))*N($C$4:$C$36))</f>
        <v>0</v>
      </c>
      <c r="I72" t="s" s="19">
        <v>180</v>
      </c>
      <c r="J72" s="20">
        <v>0</v>
      </c>
    </row>
    <row r="73" ht="16.00" customHeight="true">
      <c r="D73" s="15">
        <f t="shared" si="2"/>
        <v>70</v>
      </c>
      <c r="E73" t="s" s="24">
        <v>181</v>
      </c>
      <c r="F73" cm="1" s="27">
        <f t="array" ref="F73">SUMPRODUCT(ISNUMBER(SEARCH(E73,$A$4:$A$36))*N($C$4:$C$36))</f>
        <v>0</v>
      </c>
      <c r="I73" t="s" s="19">
        <v>182</v>
      </c>
      <c r="J73" s="20">
        <v>0</v>
      </c>
    </row>
    <row r="74" ht="16.00" customHeight="true">
      <c r="D74" s="15">
        <f t="shared" si="2"/>
        <v>71</v>
      </c>
      <c r="E74" t="s" s="24">
        <v>183</v>
      </c>
      <c r="F74" cm="1" s="27">
        <f t="array" ref="F74">SUMPRODUCT(ISNUMBER(SEARCH(E74,$A$4:$A$36))*N($C$4:$C$36))</f>
        <v>0</v>
      </c>
      <c r="I74" t="s" s="19">
        <v>184</v>
      </c>
      <c r="J74" s="20">
        <v>0</v>
      </c>
    </row>
    <row r="75" ht="16.00" customHeight="true">
      <c r="D75" s="15">
        <f ref="D75:D138" t="shared" si="3">D74+1</f>
        <v>72</v>
      </c>
      <c r="E75" t="s" s="24">
        <v>185</v>
      </c>
      <c r="F75" cm="1" s="27">
        <f t="array" ref="F75">SUMPRODUCT(ISNUMBER(SEARCH(E75,$A$4:$A$36))*N($C$4:$C$36))</f>
        <v>0</v>
      </c>
      <c r="I75" t="s" s="19">
        <v>186</v>
      </c>
      <c r="J75" s="20">
        <v>0</v>
      </c>
    </row>
    <row r="76" ht="16.00" customHeight="true">
      <c r="D76" s="15">
        <f t="shared" si="3"/>
        <v>73</v>
      </c>
      <c r="E76" t="s" s="24">
        <v>187</v>
      </c>
      <c r="F76" cm="1" s="27">
        <f t="array" ref="F76">SUMPRODUCT(ISNUMBER(SEARCH(E76,$A$4:$A$36))*N($C$4:$C$36))</f>
        <v>0</v>
      </c>
      <c r="I76" t="s" s="19">
        <v>188</v>
      </c>
      <c r="J76" s="20">
        <v>0</v>
      </c>
    </row>
    <row r="77" ht="16.00" customHeight="true">
      <c r="D77" s="15">
        <f t="shared" si="3"/>
        <v>74</v>
      </c>
      <c r="E77" t="s" s="24">
        <v>189</v>
      </c>
      <c r="F77" cm="1" s="27">
        <f t="array" ref="F77">SUMPRODUCT(ISNUMBER(SEARCH(E77,$A$4:$A$36))*N($C$4:$C$36))</f>
        <v>0</v>
      </c>
      <c r="I77" t="s" s="19">
        <v>190</v>
      </c>
      <c r="J77" s="20">
        <v>0</v>
      </c>
    </row>
    <row r="78" ht="16.00" customHeight="true">
      <c r="D78" s="15">
        <f t="shared" si="3"/>
        <v>75</v>
      </c>
      <c r="E78" t="s" s="24">
        <v>191</v>
      </c>
      <c r="F78" cm="1" s="27">
        <f t="array" ref="F78">SUMPRODUCT(ISNUMBER(SEARCH(E78,$A$4:$A$36))*N($C$4:$C$36))</f>
        <v>0</v>
      </c>
      <c r="I78" t="s" s="19">
        <v>192</v>
      </c>
      <c r="J78" s="20">
        <v>0</v>
      </c>
    </row>
    <row r="79" ht="16.00" customHeight="true">
      <c r="D79" s="15">
        <f t="shared" si="3"/>
        <v>76</v>
      </c>
      <c r="E79" t="s" s="24">
        <v>193</v>
      </c>
      <c r="F79" cm="1" s="27">
        <f t="array" ref="F79">SUMPRODUCT(ISNUMBER(SEARCH(E79,$A$4:$A$36))*N($C$4:$C$36))</f>
        <v>0</v>
      </c>
      <c r="I79" t="s" s="19">
        <v>194</v>
      </c>
      <c r="J79" s="20">
        <v>0</v>
      </c>
    </row>
    <row r="80" ht="16.00" customHeight="true">
      <c r="D80" s="15">
        <f t="shared" si="3"/>
        <v>77</v>
      </c>
      <c r="E80" t="s" s="24">
        <v>195</v>
      </c>
      <c r="F80" cm="1" s="27">
        <f t="array" ref="F80">SUMPRODUCT(ISNUMBER(SEARCH(E80,$A$4:$A$36))*N($C$4:$C$36))</f>
        <v>0</v>
      </c>
      <c r="I80" t="s" s="19">
        <v>196</v>
      </c>
      <c r="J80" s="20">
        <v>0</v>
      </c>
    </row>
    <row r="81" ht="16.00" customHeight="true">
      <c r="D81" s="15">
        <f t="shared" si="3"/>
        <v>78</v>
      </c>
      <c r="E81" t="s" s="24">
        <v>197</v>
      </c>
      <c r="F81" cm="1" s="27">
        <f t="array" ref="F81">SUMPRODUCT(ISNUMBER(SEARCH(E81,$A$4:$A$36))*N($C$4:$C$36))</f>
        <v>0</v>
      </c>
      <c r="I81" t="s" s="19">
        <v>198</v>
      </c>
      <c r="J81" s="20">
        <v>0</v>
      </c>
    </row>
    <row r="82" ht="16.00" customHeight="true">
      <c r="D82" s="15">
        <f t="shared" si="3"/>
        <v>79</v>
      </c>
      <c r="E82" t="s" s="24">
        <v>199</v>
      </c>
      <c r="F82" cm="1" s="27">
        <f t="array" ref="F82">SUMPRODUCT(ISNUMBER(SEARCH(E82,$A$4:$A$36))*N($C$4:$C$36))</f>
        <v>0</v>
      </c>
      <c r="I82" t="s" s="19">
        <v>200</v>
      </c>
      <c r="J82" s="20">
        <v>0</v>
      </c>
    </row>
    <row r="83" ht="16.00" customHeight="true">
      <c r="D83" s="15">
        <f t="shared" si="3"/>
        <v>80</v>
      </c>
      <c r="E83" t="s" s="24">
        <v>201</v>
      </c>
      <c r="F83" cm="1" s="27">
        <f t="array" ref="F83">SUMPRODUCT(ISNUMBER(SEARCH(E83,$A$4:$A$36))*N($C$4:$C$36))</f>
        <v>0</v>
      </c>
      <c r="I83" t="s" s="19">
        <v>202</v>
      </c>
      <c r="J83" s="20">
        <v>0</v>
      </c>
    </row>
    <row r="84" ht="16.00" customHeight="true">
      <c r="D84" s="15">
        <f t="shared" si="3"/>
        <v>81</v>
      </c>
      <c r="E84" t="s" s="24">
        <v>203</v>
      </c>
      <c r="F84" cm="1" s="27">
        <f t="array" ref="F84">SUMPRODUCT(ISNUMBER(SEARCH(E84,$A$4:$A$36))*N($C$4:$C$36))</f>
        <v>0</v>
      </c>
      <c r="I84" t="s" s="19">
        <v>204</v>
      </c>
      <c r="J84" s="20">
        <v>0</v>
      </c>
    </row>
    <row r="85" ht="16.00" customHeight="true">
      <c r="D85" s="15">
        <f t="shared" si="3"/>
        <v>82</v>
      </c>
      <c r="E85" t="s" s="24">
        <v>205</v>
      </c>
      <c r="F85" cm="1" s="27">
        <f t="array" ref="F85">SUMPRODUCT(ISNUMBER(SEARCH(E85,$A$4:$A$36))*N($C$4:$C$36))</f>
        <v>0</v>
      </c>
      <c r="I85" t="s" s="19">
        <v>206</v>
      </c>
      <c r="J85" s="20">
        <v>0</v>
      </c>
    </row>
    <row r="86" ht="16.00" customHeight="true">
      <c r="D86" s="15">
        <f t="shared" si="3"/>
        <v>83</v>
      </c>
      <c r="E86" t="s" s="24">
        <v>207</v>
      </c>
      <c r="F86" cm="1" s="27">
        <f t="array" ref="F86">SUMPRODUCT(ISNUMBER(SEARCH(E86,$A$4:$A$36))*N($C$4:$C$36))</f>
        <v>0</v>
      </c>
      <c r="I86" t="s" s="19">
        <v>208</v>
      </c>
      <c r="J86" s="20">
        <v>0</v>
      </c>
    </row>
    <row r="87" ht="16.00" customHeight="true">
      <c r="D87" s="15">
        <f t="shared" si="3"/>
        <v>84</v>
      </c>
      <c r="E87" t="s" s="24">
        <v>209</v>
      </c>
      <c r="F87" cm="1" s="27">
        <f t="array" ref="F87">SUMPRODUCT(ISNUMBER(SEARCH(E87,$A$4:$A$36))*N($C$4:$C$36))</f>
        <v>0</v>
      </c>
      <c r="I87" t="s" s="19">
        <v>210</v>
      </c>
      <c r="J87" s="20">
        <v>0</v>
      </c>
    </row>
    <row r="88" ht="16.00" customHeight="true">
      <c r="D88" s="15">
        <f t="shared" si="3"/>
        <v>85</v>
      </c>
      <c r="E88" t="s" s="24">
        <v>211</v>
      </c>
      <c r="F88" cm="1" s="27">
        <f t="array" ref="F88">SUMPRODUCT(ISNUMBER(SEARCH(E88,$A$4:$A$36))*N($C$4:$C$36))</f>
        <v>0</v>
      </c>
      <c r="I88" t="s" s="19">
        <v>212</v>
      </c>
      <c r="J88" s="20">
        <v>0</v>
      </c>
    </row>
    <row r="89" ht="16.00" customHeight="true">
      <c r="D89" s="15">
        <f t="shared" si="3"/>
        <v>86</v>
      </c>
      <c r="E89" t="s" s="24">
        <v>213</v>
      </c>
      <c r="F89" cm="1" s="27">
        <f t="array" ref="F89">SUMPRODUCT(ISNUMBER(SEARCH(E89,$A$4:$A$36))*N($C$4:$C$36))</f>
        <v>0</v>
      </c>
      <c r="I89" t="s" s="19">
        <v>214</v>
      </c>
      <c r="J89" s="20">
        <v>0</v>
      </c>
    </row>
    <row r="90" ht="16.00" customHeight="true">
      <c r="D90" s="15">
        <f t="shared" si="3"/>
        <v>87</v>
      </c>
      <c r="E90" t="s" s="24">
        <v>215</v>
      </c>
      <c r="F90" cm="1" s="27">
        <f t="array" ref="F90">SUMPRODUCT(ISNUMBER(SEARCH(E90,$A$4:$A$36))*N($C$4:$C$36))</f>
        <v>0</v>
      </c>
      <c r="I90" t="s" s="19">
        <v>216</v>
      </c>
      <c r="J90" s="20">
        <v>0</v>
      </c>
    </row>
    <row r="91" ht="16.00" customHeight="true">
      <c r="D91" s="15">
        <f t="shared" si="3"/>
        <v>88</v>
      </c>
      <c r="E91" t="s" s="24">
        <v>217</v>
      </c>
      <c r="F91" cm="1" s="27">
        <f t="array" ref="F91">SUMPRODUCT(ISNUMBER(SEARCH(E91,$A$4:$A$36))*N($C$4:$C$36))</f>
        <v>0</v>
      </c>
      <c r="I91" t="s" s="19">
        <v>218</v>
      </c>
      <c r="J91" s="20">
        <v>0</v>
      </c>
    </row>
    <row r="92" ht="16.00" customHeight="true">
      <c r="D92" s="15">
        <f t="shared" si="3"/>
        <v>89</v>
      </c>
      <c r="E92" t="s" s="24">
        <v>219</v>
      </c>
      <c r="F92" cm="1" s="27">
        <f t="array" ref="F92">SUMPRODUCT(ISNUMBER(SEARCH(E92,$A$4:$A$36))*N($C$4:$C$36))</f>
        <v>0</v>
      </c>
      <c r="I92" t="s" s="19">
        <v>220</v>
      </c>
      <c r="J92" s="20">
        <v>0</v>
      </c>
    </row>
    <row r="93" ht="16.00" customHeight="true">
      <c r="D93" s="15">
        <f t="shared" si="3"/>
        <v>90</v>
      </c>
      <c r="E93" t="s" s="24">
        <v>221</v>
      </c>
      <c r="F93" cm="1" s="27">
        <f t="array" ref="F93">SUMPRODUCT(ISNUMBER(SEARCH(E93,$A$4:$A$36))*N($C$4:$C$36))</f>
        <v>0</v>
      </c>
      <c r="I93" t="s" s="19">
        <v>222</v>
      </c>
      <c r="J93" s="20">
        <v>0</v>
      </c>
    </row>
    <row r="94" ht="16.00" customHeight="true">
      <c r="D94" s="15">
        <f t="shared" si="3"/>
        <v>91</v>
      </c>
      <c r="E94" t="s" s="24">
        <v>223</v>
      </c>
      <c r="F94" cm="1" s="27">
        <f t="array" ref="F94">SUMPRODUCT(ISNUMBER(SEARCH(E94,$A$4:$A$36))*N($C$4:$C$36))</f>
        <v>0</v>
      </c>
      <c r="I94" t="s" s="19">
        <v>224</v>
      </c>
      <c r="J94" s="20">
        <v>0</v>
      </c>
    </row>
    <row r="95" ht="16.00" customHeight="true">
      <c r="D95" s="15">
        <f t="shared" si="3"/>
        <v>92</v>
      </c>
      <c r="E95" t="s" s="24">
        <v>225</v>
      </c>
      <c r="F95" cm="1" s="27">
        <f t="array" ref="F95">SUMPRODUCT(ISNUMBER(SEARCH(E95,$A$4:$A$36))*N($C$4:$C$36))</f>
        <v>0</v>
      </c>
      <c r="I95" t="s" s="19">
        <v>226</v>
      </c>
      <c r="J95" s="20">
        <v>0</v>
      </c>
    </row>
    <row r="96" ht="16.00" customHeight="true">
      <c r="D96" s="15">
        <f t="shared" si="3"/>
        <v>93</v>
      </c>
      <c r="E96" t="s" s="24">
        <v>227</v>
      </c>
      <c r="F96" cm="1" s="27">
        <f t="array" ref="F96">SUMPRODUCT(ISNUMBER(SEARCH(E96,$A$4:$A$36))*N($C$4:$C$36))</f>
        <v>0</v>
      </c>
      <c r="I96" t="s" s="19">
        <v>228</v>
      </c>
      <c r="J96" s="20">
        <v>0</v>
      </c>
    </row>
    <row r="97" ht="16.00" customHeight="true">
      <c r="D97" s="15">
        <f t="shared" si="3"/>
        <v>94</v>
      </c>
      <c r="E97" t="s" s="24">
        <v>229</v>
      </c>
      <c r="F97" cm="1" s="27">
        <f t="array" ref="F97">SUMPRODUCT(ISNUMBER(SEARCH(E97,$A$4:$A$36))*N($C$4:$C$36))</f>
        <v>0</v>
      </c>
      <c r="I97" t="s" s="19">
        <v>230</v>
      </c>
      <c r="J97" s="20">
        <v>0</v>
      </c>
    </row>
    <row r="98" ht="16.00" customHeight="true">
      <c r="D98" s="15">
        <f t="shared" si="3"/>
        <v>95</v>
      </c>
      <c r="E98" t="s" s="24">
        <v>231</v>
      </c>
      <c r="F98" cm="1" s="27">
        <f t="array" ref="F98">SUMPRODUCT(ISNUMBER(SEARCH(E98,$A$4:$A$36))*N($C$4:$C$36))</f>
        <v>0</v>
      </c>
      <c r="I98" t="s" s="19">
        <v>232</v>
      </c>
      <c r="J98" s="20">
        <v>0</v>
      </c>
    </row>
    <row r="99" ht="16.00" customHeight="true">
      <c r="D99" s="15">
        <f t="shared" si="3"/>
        <v>96</v>
      </c>
      <c r="E99" t="s" s="24">
        <v>233</v>
      </c>
      <c r="F99" cm="1" s="27">
        <f t="array" ref="F99">SUMPRODUCT(ISNUMBER(SEARCH(E99,$A$4:$A$36))*N($C$4:$C$36))</f>
        <v>0</v>
      </c>
      <c r="I99" t="s" s="19">
        <v>234</v>
      </c>
      <c r="J99" s="20">
        <v>0</v>
      </c>
    </row>
    <row r="100" ht="16.00" customHeight="true">
      <c r="D100" s="15">
        <f t="shared" si="3"/>
        <v>97</v>
      </c>
      <c r="E100" t="s" s="24">
        <v>235</v>
      </c>
      <c r="F100" cm="1" s="27">
        <f t="array" ref="F100">SUMPRODUCT(ISNUMBER(SEARCH(E100,$A$4:$A$36))*N($C$4:$C$36))</f>
        <v>0</v>
      </c>
      <c r="I100" t="s" s="19">
        <v>236</v>
      </c>
      <c r="J100" s="20">
        <v>0</v>
      </c>
    </row>
    <row r="101" ht="16.00" customHeight="true">
      <c r="D101" s="15">
        <f t="shared" si="3"/>
        <v>98</v>
      </c>
      <c r="E101" t="s" s="24">
        <v>237</v>
      </c>
      <c r="F101" cm="1" s="27">
        <f t="array" ref="F101">SUMPRODUCT(ISNUMBER(SEARCH(E101,$A$4:$A$36))*N($C$4:$C$36))</f>
        <v>0</v>
      </c>
      <c r="I101" t="s" s="19">
        <v>238</v>
      </c>
      <c r="J101" s="20">
        <v>0</v>
      </c>
    </row>
    <row r="102" ht="16.00" customHeight="true">
      <c r="D102" s="15">
        <f t="shared" si="3"/>
        <v>99</v>
      </c>
      <c r="E102" t="s" s="24">
        <v>239</v>
      </c>
      <c r="F102" cm="1" s="27">
        <f t="array" ref="F102">SUMPRODUCT(ISNUMBER(SEARCH(E102,$A$4:$A$36))*N($C$4:$C$36))</f>
        <v>0</v>
      </c>
      <c r="I102" t="s" s="19">
        <v>240</v>
      </c>
      <c r="J102" s="20">
        <v>0</v>
      </c>
    </row>
    <row r="103" ht="16.00" customHeight="true">
      <c r="D103" s="15">
        <f t="shared" si="3"/>
        <v>100</v>
      </c>
      <c r="E103" t="s" s="24">
        <v>241</v>
      </c>
      <c r="F103" cm="1" s="27">
        <f t="array" ref="F103">SUMPRODUCT(ISNUMBER(SEARCH(E103,$A$4:$A$36))*N($C$4:$C$36))</f>
        <v>0</v>
      </c>
      <c r="I103" t="s" s="19">
        <v>242</v>
      </c>
      <c r="J103" s="20">
        <v>0</v>
      </c>
    </row>
    <row r="104" ht="16.00" customHeight="true">
      <c r="D104" s="15">
        <f t="shared" si="3"/>
        <v>101</v>
      </c>
      <c r="E104" t="s" s="24">
        <v>243</v>
      </c>
      <c r="F104" cm="1" s="27">
        <f t="array" ref="F104">SUMPRODUCT(ISNUMBER(SEARCH(E104,$A$4:$A$36))*N($C$4:$C$36))</f>
        <v>3381.164142857143</v>
      </c>
      <c r="I104" t="s" s="19">
        <v>244</v>
      </c>
      <c r="J104" s="20">
        <v>0</v>
      </c>
    </row>
    <row r="105" ht="16.00" customHeight="true">
      <c r="D105" s="15">
        <f t="shared" si="3"/>
        <v>102</v>
      </c>
      <c r="E105" t="s" s="24">
        <v>245</v>
      </c>
      <c r="F105" cm="1" s="27">
        <f t="array" ref="F105">SUMPRODUCT(ISNUMBER(SEARCH(E105,$A$4:$A$36))*N($C$4:$C$36))</f>
        <v>0</v>
      </c>
      <c r="I105" t="s" s="19">
        <v>246</v>
      </c>
      <c r="J105" s="20">
        <v>0</v>
      </c>
    </row>
    <row r="106" ht="16.00" customHeight="true">
      <c r="D106" s="15">
        <f t="shared" si="3"/>
        <v>103</v>
      </c>
      <c r="E106" t="s" s="24">
        <v>247</v>
      </c>
      <c r="F106" cm="1" s="27">
        <f t="array" ref="F106">SUMPRODUCT(ISNUMBER(SEARCH(E106,$A$4:$A$36))*N($C$4:$C$36))</f>
        <v>0</v>
      </c>
      <c r="I106" t="s" s="19">
        <v>248</v>
      </c>
      <c r="J106" s="20">
        <v>0</v>
      </c>
    </row>
    <row r="107" ht="16.00" customHeight="true">
      <c r="D107" s="15">
        <f t="shared" si="3"/>
        <v>104</v>
      </c>
      <c r="E107" t="s" s="24">
        <v>249</v>
      </c>
      <c r="F107" cm="1" s="27">
        <f t="array" ref="F107">SUMPRODUCT(ISNUMBER(SEARCH(E107,$A$4:$A$36))*N($C$4:$C$36))</f>
        <v>0</v>
      </c>
      <c r="I107" t="s" s="19">
        <v>250</v>
      </c>
      <c r="J107" s="20">
        <v>0</v>
      </c>
    </row>
    <row r="108" ht="16.00" customHeight="true">
      <c r="D108" s="15">
        <f t="shared" si="3"/>
        <v>105</v>
      </c>
      <c r="E108" t="s" s="24">
        <v>251</v>
      </c>
      <c r="F108" cm="1" s="27">
        <f t="array" ref="F108">SUMPRODUCT(ISNUMBER(SEARCH(E108,$A$4:$A$36))*N($C$4:$C$36))</f>
        <v>0</v>
      </c>
      <c r="I108" t="s" s="19">
        <v>252</v>
      </c>
      <c r="J108" s="20">
        <v>0</v>
      </c>
    </row>
    <row r="109" ht="16.00" customHeight="true">
      <c r="D109" s="15">
        <f t="shared" si="3"/>
        <v>106</v>
      </c>
      <c r="E109" t="s" s="24">
        <v>253</v>
      </c>
      <c r="F109" cm="1" s="27">
        <f t="array" ref="F109">SUMPRODUCT(ISNUMBER(SEARCH(E109,$A$4:$A$36))*N($C$4:$C$36))</f>
        <v>0</v>
      </c>
      <c r="I109" t="s" s="19">
        <v>254</v>
      </c>
      <c r="J109" s="20">
        <v>0</v>
      </c>
    </row>
    <row r="110" ht="16.00" customHeight="true">
      <c r="D110" s="15">
        <f t="shared" si="3"/>
        <v>107</v>
      </c>
      <c r="E110" t="s" s="24">
        <v>255</v>
      </c>
      <c r="F110" cm="1" s="27">
        <f t="array" ref="F110">SUMPRODUCT(ISNUMBER(SEARCH(E110,$A$4:$A$36))*N($C$4:$C$36))</f>
        <v>0</v>
      </c>
      <c r="I110" t="s" s="19">
        <v>256</v>
      </c>
      <c r="J110" s="20">
        <v>0</v>
      </c>
    </row>
    <row r="111" ht="16.00" customHeight="true">
      <c r="D111" s="15">
        <f t="shared" si="3"/>
        <v>108</v>
      </c>
      <c r="E111" t="s" s="24">
        <v>257</v>
      </c>
      <c r="F111" cm="1" s="27">
        <f t="array" ref="F111">SUMPRODUCT(ISNUMBER(SEARCH(E111,$A$4:$A$36))*N($C$4:$C$36))</f>
        <v>0</v>
      </c>
      <c r="I111" t="s" s="19">
        <v>258</v>
      </c>
      <c r="J111" s="20">
        <v>0</v>
      </c>
    </row>
    <row r="112" ht="16.00" customHeight="true">
      <c r="D112" s="15">
        <f t="shared" si="3"/>
        <v>109</v>
      </c>
      <c r="E112" t="s" s="24">
        <v>259</v>
      </c>
      <c r="F112" cm="1" s="27">
        <f t="array" ref="F112">SUMPRODUCT(ISNUMBER(SEARCH(E112,$A$4:$A$36))*N($C$4:$C$36))</f>
        <v>0</v>
      </c>
      <c r="I112" t="s" s="19">
        <v>260</v>
      </c>
      <c r="J112" s="20">
        <v>0</v>
      </c>
    </row>
    <row r="113" ht="16.00" customHeight="true">
      <c r="D113" s="15">
        <f t="shared" si="3"/>
        <v>110</v>
      </c>
      <c r="E113" t="s" s="24">
        <v>261</v>
      </c>
      <c r="F113" cm="1" s="27">
        <f t="array" ref="F113">SUMPRODUCT(ISNUMBER(SEARCH(E113,$A$4:$A$36))*N($C$4:$C$36))</f>
        <v>0</v>
      </c>
      <c r="I113" t="s" s="19">
        <v>262</v>
      </c>
      <c r="J113" s="20">
        <v>0</v>
      </c>
    </row>
    <row r="114" ht="16.00" customHeight="true">
      <c r="D114" s="15">
        <f t="shared" si="3"/>
        <v>111</v>
      </c>
      <c r="E114" t="s" s="24">
        <v>263</v>
      </c>
      <c r="F114" cm="1" s="27">
        <f t="array" ref="F114">SUMPRODUCT(ISNUMBER(SEARCH(E114,$A$4:$A$36))*N($C$4:$C$36))</f>
        <v>0</v>
      </c>
      <c r="I114" t="s" s="19">
        <v>264</v>
      </c>
      <c r="J114" s="20">
        <v>0</v>
      </c>
    </row>
    <row r="115" ht="16.00" customHeight="true">
      <c r="D115" s="15">
        <f t="shared" si="3"/>
        <v>112</v>
      </c>
      <c r="E115" t="s" s="24">
        <v>265</v>
      </c>
      <c r="F115" cm="1" s="27">
        <f t="array" ref="F115">SUMPRODUCT(ISNUMBER(SEARCH(E115,$A$4:$A$36))*N($C$4:$C$36))</f>
        <v>0</v>
      </c>
      <c r="I115" t="s" s="19">
        <v>266</v>
      </c>
      <c r="J115" s="20">
        <v>0</v>
      </c>
    </row>
    <row r="116" ht="16.00" customHeight="true">
      <c r="D116" s="15">
        <f t="shared" si="3"/>
        <v>113</v>
      </c>
      <c r="E116" t="s" s="24">
        <v>267</v>
      </c>
      <c r="F116" cm="1" s="27">
        <f t="array" ref="F116">SUMPRODUCT(ISNUMBER(SEARCH(E116,$A$4:$A$36))*N($C$4:$C$36))</f>
        <v>0</v>
      </c>
      <c r="I116" t="s" s="19">
        <v>268</v>
      </c>
      <c r="J116" s="20">
        <v>0</v>
      </c>
    </row>
    <row r="117" ht="16.00" customHeight="true">
      <c r="D117" s="15">
        <f t="shared" si="3"/>
        <v>114</v>
      </c>
      <c r="E117" t="s" s="24">
        <v>269</v>
      </c>
      <c r="F117" cm="1" s="27">
        <f t="array" ref="F117">SUMPRODUCT(ISNUMBER(SEARCH(E117,$A$4:$A$36))*N($C$4:$C$36))</f>
        <v>0</v>
      </c>
      <c r="I117" t="s" s="19">
        <v>270</v>
      </c>
      <c r="J117" s="20">
        <v>0</v>
      </c>
    </row>
    <row r="118" ht="16.00" customHeight="true">
      <c r="D118" s="15">
        <f t="shared" si="3"/>
        <v>115</v>
      </c>
      <c r="E118" t="s" s="24">
        <v>271</v>
      </c>
      <c r="F118" cm="1" s="27">
        <f t="array" ref="F118">SUMPRODUCT(ISNUMBER(SEARCH(E118,$A$4:$A$36))*N($C$4:$C$36))</f>
        <v>0</v>
      </c>
      <c r="I118" t="s" s="19">
        <v>272</v>
      </c>
      <c r="J118" s="20">
        <v>0</v>
      </c>
    </row>
    <row r="119" ht="16.00" customHeight="true">
      <c r="D119" s="15">
        <f t="shared" si="3"/>
        <v>116</v>
      </c>
      <c r="E119" t="s" s="24">
        <v>273</v>
      </c>
      <c r="F119" cm="1" s="27">
        <f t="array" ref="F119">SUMPRODUCT(ISNUMBER(SEARCH(E119,$A$4:$A$36))*N($C$4:$C$36))</f>
        <v>0</v>
      </c>
      <c r="I119" t="s" s="19">
        <v>274</v>
      </c>
      <c r="J119" s="20">
        <v>0</v>
      </c>
    </row>
    <row r="120" ht="16.00" customHeight="true">
      <c r="D120" s="15">
        <f t="shared" si="3"/>
        <v>117</v>
      </c>
      <c r="E120" t="s" s="24">
        <v>275</v>
      </c>
      <c r="F120" cm="1" s="27">
        <f t="array" ref="F120">SUMPRODUCT(ISNUMBER(SEARCH(E120,$A$4:$A$36))*N($C$4:$C$36))</f>
        <v>0</v>
      </c>
      <c r="I120" t="s" s="19">
        <v>276</v>
      </c>
      <c r="J120" s="20">
        <v>0</v>
      </c>
    </row>
    <row r="121" ht="16.00" customHeight="true">
      <c r="D121" s="15">
        <f t="shared" si="3"/>
        <v>118</v>
      </c>
      <c r="E121" t="s" s="24">
        <v>277</v>
      </c>
      <c r="F121" cm="1" s="27">
        <f t="array" ref="F121">SUMPRODUCT(ISNUMBER(SEARCH(E121,$A$4:$A$36))*N($C$4:$C$36))</f>
        <v>0</v>
      </c>
      <c r="I121" t="s" s="19">
        <v>278</v>
      </c>
      <c r="J121" s="20">
        <v>0</v>
      </c>
    </row>
    <row r="122" ht="16.00" customHeight="true">
      <c r="D122" s="15">
        <f t="shared" si="3"/>
        <v>119</v>
      </c>
      <c r="E122" t="s" s="24">
        <v>279</v>
      </c>
      <c r="F122" cm="1" s="27">
        <f t="array" ref="F122">SUMPRODUCT(ISNUMBER(SEARCH(E122,$A$4:$A$36))*N($C$4:$C$36))</f>
        <v>0</v>
      </c>
      <c r="I122" t="s" s="19">
        <v>280</v>
      </c>
      <c r="J122" s="20">
        <v>0</v>
      </c>
    </row>
    <row r="123" ht="16.00" customHeight="true">
      <c r="D123" s="15">
        <f t="shared" si="3"/>
        <v>120</v>
      </c>
      <c r="E123" t="s" s="24">
        <v>281</v>
      </c>
      <c r="F123" cm="1" s="27">
        <f t="array" ref="F123">SUMPRODUCT(ISNUMBER(SEARCH(E123,$A$4:$A$36))*N($C$4:$C$36))</f>
        <v>0</v>
      </c>
      <c r="I123" t="s" s="19">
        <v>282</v>
      </c>
      <c r="J123" s="20">
        <v>0</v>
      </c>
    </row>
    <row r="124" ht="16.00" customHeight="true">
      <c r="D124" s="15">
        <f t="shared" si="3"/>
        <v>121</v>
      </c>
      <c r="E124" t="s" s="24">
        <v>283</v>
      </c>
      <c r="F124" cm="1" s="27">
        <f t="array" ref="F124">SUMPRODUCT(ISNUMBER(SEARCH(E124,$A$4:$A$36))*N($C$4:$C$36))</f>
        <v>0</v>
      </c>
      <c r="I124" t="s" s="19">
        <v>284</v>
      </c>
      <c r="J124" s="20">
        <v>0</v>
      </c>
    </row>
    <row r="125" ht="16.00" customHeight="true">
      <c r="D125" s="15">
        <f t="shared" si="3"/>
        <v>122</v>
      </c>
      <c r="E125" t="s" s="24">
        <v>285</v>
      </c>
      <c r="F125" cm="1" s="27">
        <f t="array" ref="F125">SUMPRODUCT(ISNUMBER(SEARCH(E125,$A$4:$A$36))*N($C$4:$C$36))</f>
        <v>0</v>
      </c>
      <c r="I125" t="s" s="19">
        <v>286</v>
      </c>
      <c r="J125" s="20">
        <v>0</v>
      </c>
    </row>
    <row r="126" ht="16.00" customHeight="true">
      <c r="D126" s="15">
        <f t="shared" si="3"/>
        <v>123</v>
      </c>
      <c r="E126" t="s" s="24">
        <v>287</v>
      </c>
      <c r="F126" cm="1" s="27">
        <f t="array" ref="F126">SUMPRODUCT(ISNUMBER(SEARCH(E126,$A$4:$A$36))*N($C$4:$C$36))</f>
        <v>0</v>
      </c>
      <c r="I126" t="s" s="19">
        <v>288</v>
      </c>
      <c r="J126" s="20">
        <v>0</v>
      </c>
    </row>
    <row r="127" ht="16.00" customHeight="true">
      <c r="D127" s="15">
        <f t="shared" si="3"/>
        <v>124</v>
      </c>
      <c r="E127" t="s" s="24">
        <v>289</v>
      </c>
      <c r="F127" cm="1" s="27">
        <f t="array" ref="F127">SUMPRODUCT(ISNUMBER(SEARCH(E127,$A$4:$A$36))*N($C$4:$C$36))</f>
        <v>0</v>
      </c>
      <c r="I127" t="s" s="19">
        <v>290</v>
      </c>
      <c r="J127" s="20">
        <v>0</v>
      </c>
    </row>
    <row r="128" ht="16.00" customHeight="true">
      <c r="D128" s="15">
        <f t="shared" si="3"/>
        <v>125</v>
      </c>
      <c r="E128" t="s" s="24">
        <v>291</v>
      </c>
      <c r="F128" cm="1" s="27">
        <f t="array" ref="F128">SUMPRODUCT(ISNUMBER(SEARCH(E128,$A$4:$A$36))*N($C$4:$C$36))</f>
        <v>0</v>
      </c>
      <c r="I128" t="s" s="19">
        <v>292</v>
      </c>
      <c r="J128" s="20">
        <v>0</v>
      </c>
    </row>
    <row r="129" ht="16.00" customHeight="true">
      <c r="D129" s="15">
        <f t="shared" si="3"/>
        <v>126</v>
      </c>
      <c r="E129" t="s" s="24">
        <v>293</v>
      </c>
      <c r="F129" cm="1" s="27">
        <f t="array" ref="F129">SUMPRODUCT(ISNUMBER(SEARCH(E129,$A$4:$A$36))*N($C$4:$C$36))</f>
        <v>0</v>
      </c>
      <c r="I129" t="s" s="19">
        <v>294</v>
      </c>
      <c r="J129" s="20">
        <v>0</v>
      </c>
    </row>
    <row r="130" ht="16.00" customHeight="true">
      <c r="D130" s="15">
        <f t="shared" si="3"/>
        <v>127</v>
      </c>
      <c r="E130" t="s" s="24">
        <v>295</v>
      </c>
      <c r="F130" cm="1" s="27">
        <f t="array" ref="F130">SUMPRODUCT(ISNUMBER(SEARCH(E130,$A$4:$A$36))*N($C$4:$C$36))</f>
        <v>0</v>
      </c>
      <c r="I130" t="s" s="19">
        <v>296</v>
      </c>
      <c r="J130" s="20">
        <v>0</v>
      </c>
    </row>
    <row r="131" ht="16.00" customHeight="true">
      <c r="D131" s="15">
        <f t="shared" si="3"/>
        <v>128</v>
      </c>
      <c r="E131" t="s" s="24">
        <v>297</v>
      </c>
      <c r="F131" cm="1" s="27">
        <f t="array" ref="F131">SUMPRODUCT(ISNUMBER(SEARCH(E131,$A$4:$A$36))*N($C$4:$C$36))</f>
        <v>0</v>
      </c>
      <c r="I131" t="s" s="19">
        <v>298</v>
      </c>
      <c r="J131" s="20">
        <v>0</v>
      </c>
    </row>
    <row r="132" ht="16.00" customHeight="true">
      <c r="D132" s="15">
        <f t="shared" si="3"/>
        <v>129</v>
      </c>
      <c r="E132" t="s" s="24">
        <v>299</v>
      </c>
      <c r="F132" cm="1" s="27">
        <f t="array" ref="F132">SUMPRODUCT(ISNUMBER(SEARCH(E132,$A$4:$A$36))*N($C$4:$C$36))</f>
        <v>0</v>
      </c>
      <c r="I132" t="s" s="19">
        <v>300</v>
      </c>
      <c r="J132" s="20">
        <v>0</v>
      </c>
    </row>
    <row r="133" ht="16.00" customHeight="true">
      <c r="D133" s="15">
        <f t="shared" si="3"/>
        <v>130</v>
      </c>
      <c r="E133" t="s" s="24">
        <v>301</v>
      </c>
      <c r="F133" cm="1" s="27">
        <f t="array" ref="F133">SUMPRODUCT(ISNUMBER(SEARCH(E133,$A$4:$A$36))*N($C$4:$C$36))</f>
        <v>0</v>
      </c>
      <c r="I133" t="s" s="19">
        <v>302</v>
      </c>
      <c r="J133" s="20">
        <v>0</v>
      </c>
    </row>
    <row r="134" ht="16.00" customHeight="true">
      <c r="D134" s="15">
        <f t="shared" si="3"/>
        <v>131</v>
      </c>
      <c r="E134" t="s" s="24">
        <v>303</v>
      </c>
      <c r="F134" cm="1" s="27">
        <f t="array" ref="F134">SUMPRODUCT(ISNUMBER(SEARCH(E134,$A$4:$A$36))*N($C$4:$C$36))</f>
        <v>0</v>
      </c>
      <c r="I134" t="s" s="19">
        <v>304</v>
      </c>
      <c r="J134" s="20">
        <v>0</v>
      </c>
    </row>
    <row r="135" ht="16.00" customHeight="true">
      <c r="D135" s="15">
        <f t="shared" si="3"/>
        <v>132</v>
      </c>
      <c r="E135" t="s" s="24">
        <v>305</v>
      </c>
      <c r="F135" cm="1" s="27">
        <f t="array" ref="F135">SUMPRODUCT(ISNUMBER(SEARCH(E135,$A$4:$A$36))*N($C$4:$C$36))</f>
        <v>0</v>
      </c>
      <c r="I135" t="s" s="19">
        <v>306</v>
      </c>
      <c r="J135" s="20">
        <v>0</v>
      </c>
    </row>
    <row r="136" ht="16.00" customHeight="true">
      <c r="D136" s="15">
        <f t="shared" si="3"/>
        <v>133</v>
      </c>
      <c r="E136" t="s" s="24">
        <v>307</v>
      </c>
      <c r="F136" cm="1" s="27">
        <f t="array" ref="F136">SUMPRODUCT(ISNUMBER(SEARCH(E136,$A$4:$A$36))*N($C$4:$C$36))</f>
        <v>0</v>
      </c>
      <c r="I136" t="s" s="19">
        <v>308</v>
      </c>
      <c r="J136" s="20">
        <v>0</v>
      </c>
    </row>
    <row r="137" ht="16.00" customHeight="true">
      <c r="D137" s="15">
        <f t="shared" si="3"/>
        <v>134</v>
      </c>
      <c r="E137" t="s" s="24">
        <v>309</v>
      </c>
      <c r="F137" cm="1" s="27">
        <f t="array" ref="F137">SUMPRODUCT(ISNUMBER(SEARCH(E137,$A$4:$A$36))*N($C$4:$C$36))</f>
        <v>0</v>
      </c>
      <c r="I137" t="s" s="19">
        <v>310</v>
      </c>
      <c r="J137" s="20">
        <v>0</v>
      </c>
    </row>
    <row r="138" ht="16.00" customHeight="true">
      <c r="D138" s="15">
        <f t="shared" si="3"/>
        <v>135</v>
      </c>
      <c r="E138" t="s" s="24">
        <v>311</v>
      </c>
      <c r="F138" cm="1" s="27">
        <f t="array" ref="F138">SUMPRODUCT(ISNUMBER(SEARCH(E138,$A$4:$A$36))*N($C$4:$C$36))</f>
        <v>0</v>
      </c>
      <c r="I138" t="s" s="19">
        <v>312</v>
      </c>
      <c r="J138" s="20">
        <v>0</v>
      </c>
    </row>
    <row r="139" ht="16.00" customHeight="true">
      <c r="D139" s="15">
        <f ref="D139:D202" t="shared" si="0">D138+1</f>
        <v>136</v>
      </c>
      <c r="E139" t="s" s="24">
        <v>313</v>
      </c>
      <c r="F139" cm="1" s="27">
        <f t="array" ref="F139">SUMPRODUCT(ISNUMBER(SEARCH(E139,$A$4:$A$36))*N($C$4:$C$36))</f>
        <v>0</v>
      </c>
      <c r="I139" t="s" s="19">
        <v>314</v>
      </c>
      <c r="J139" s="20">
        <v>0</v>
      </c>
    </row>
    <row r="140" ht="16.00" customHeight="true">
      <c r="D140" s="15">
        <f t="shared" si="0"/>
        <v>137</v>
      </c>
      <c r="E140" t="s" s="24">
        <v>315</v>
      </c>
      <c r="F140" cm="1" s="27">
        <f t="array" ref="F140">SUMPRODUCT(ISNUMBER(SEARCH(E140,$A$4:$A$36))*N($C$4:$C$36))</f>
        <v>0</v>
      </c>
      <c r="I140" t="s" s="19">
        <v>316</v>
      </c>
      <c r="J140" s="20">
        <v>0</v>
      </c>
    </row>
    <row r="141" ht="16.00" customHeight="true">
      <c r="D141" s="15">
        <f t="shared" si="0"/>
        <v>138</v>
      </c>
      <c r="E141" t="s" s="24">
        <v>317</v>
      </c>
      <c r="F141" cm="1" s="27">
        <f t="array" ref="F141">SUMPRODUCT(ISNUMBER(SEARCH(E141,$A$4:$A$36))*N($C$4:$C$36))</f>
        <v>0</v>
      </c>
      <c r="I141" t="s" s="19">
        <v>318</v>
      </c>
      <c r="J141" s="20">
        <v>0</v>
      </c>
    </row>
    <row r="142" ht="16.00" customHeight="true">
      <c r="D142" s="15">
        <f t="shared" si="0"/>
        <v>139</v>
      </c>
      <c r="E142" t="s" s="24">
        <v>319</v>
      </c>
      <c r="F142" cm="1" s="27">
        <f t="array" ref="F142">SUMPRODUCT(ISNUMBER(SEARCH(E142,$A$4:$A$36))*N($C$4:$C$36))</f>
        <v>0</v>
      </c>
      <c r="I142" t="s" s="19">
        <v>320</v>
      </c>
      <c r="J142" s="20">
        <v>0</v>
      </c>
    </row>
    <row r="143" ht="16.00" customHeight="true">
      <c r="D143" s="15">
        <f t="shared" si="0"/>
        <v>140</v>
      </c>
      <c r="E143" t="s" s="24">
        <v>321</v>
      </c>
      <c r="F143" cm="1" s="27">
        <f t="array" ref="F143">SUMPRODUCT(ISNUMBER(SEARCH(E143,$A$4:$A$36))*N($C$4:$C$36))</f>
        <v>0</v>
      </c>
      <c r="I143" t="s" s="19">
        <v>322</v>
      </c>
      <c r="J143" s="20">
        <v>0</v>
      </c>
    </row>
    <row r="144" ht="16.00" customHeight="true">
      <c r="D144" s="15">
        <f t="shared" si="0"/>
        <v>141</v>
      </c>
      <c r="E144" t="s" s="24">
        <v>323</v>
      </c>
      <c r="F144" cm="1" s="27">
        <f t="array" ref="F144">SUMPRODUCT(ISNUMBER(SEARCH(E144,$A$4:$A$36))*N($C$4:$C$36))</f>
        <v>0</v>
      </c>
      <c r="I144" t="s" s="19">
        <v>324</v>
      </c>
      <c r="J144" s="20">
        <v>0</v>
      </c>
    </row>
    <row r="145" ht="16.00" customHeight="true">
      <c r="D145" s="15">
        <f t="shared" si="0"/>
        <v>142</v>
      </c>
      <c r="E145" t="s" s="24">
        <v>325</v>
      </c>
      <c r="F145" cm="1" s="27">
        <f t="array" ref="F145">SUMPRODUCT(ISNUMBER(SEARCH(E145,$A$4:$A$36))*N($C$4:$C$36))</f>
        <v>0</v>
      </c>
      <c r="I145" t="s" s="19">
        <v>326</v>
      </c>
      <c r="J145" s="20">
        <v>0</v>
      </c>
    </row>
    <row r="146" ht="16.00" customHeight="true">
      <c r="D146" s="15">
        <f t="shared" si="0"/>
        <v>143</v>
      </c>
      <c r="E146" t="s" s="24">
        <v>327</v>
      </c>
      <c r="F146" cm="1" s="27">
        <f t="array" ref="F146">SUMPRODUCT(ISNUMBER(SEARCH(E146,$A$4:$A$36))*N($C$4:$C$36))</f>
        <v>0</v>
      </c>
      <c r="I146" t="s" s="19">
        <v>328</v>
      </c>
      <c r="J146" s="20">
        <v>0</v>
      </c>
    </row>
    <row r="147" ht="16.00" customHeight="true">
      <c r="D147" s="15">
        <f t="shared" si="0"/>
        <v>144</v>
      </c>
      <c r="E147" t="s" s="24">
        <v>329</v>
      </c>
      <c r="F147" cm="1" s="27">
        <f t="array" ref="F147">SUMPRODUCT(ISNUMBER(SEARCH(E147,$A$4:$A$36))*N($C$4:$C$36))</f>
        <v>0</v>
      </c>
      <c r="I147" t="s" s="19">
        <v>330</v>
      </c>
      <c r="J147" s="20">
        <v>0</v>
      </c>
    </row>
    <row r="148" ht="16.00" customHeight="true">
      <c r="D148" s="15">
        <f t="shared" si="0"/>
        <v>145</v>
      </c>
      <c r="E148" t="s" s="24">
        <v>331</v>
      </c>
      <c r="F148" cm="1" s="27">
        <f t="array" ref="F148">SUMPRODUCT(ISNUMBER(SEARCH(E148,$A$4:$A$36))*N($C$4:$C$36))</f>
        <v>0</v>
      </c>
      <c r="I148" t="s" s="19">
        <v>332</v>
      </c>
      <c r="J148" s="20">
        <v>0</v>
      </c>
    </row>
    <row r="149" ht="16.00" customHeight="true">
      <c r="D149" s="15">
        <f t="shared" si="0"/>
        <v>146</v>
      </c>
      <c r="E149" t="s" s="24">
        <v>333</v>
      </c>
      <c r="F149" cm="1" s="27">
        <f t="array" ref="F149">SUMPRODUCT(ISNUMBER(SEARCH(E149,$A$4:$A$36))*N($C$4:$C$36))</f>
        <v>0</v>
      </c>
      <c r="I149" t="s" s="19">
        <v>334</v>
      </c>
      <c r="J149" s="20">
        <v>0</v>
      </c>
    </row>
    <row r="150" ht="16.00" customHeight="true">
      <c r="D150" s="15">
        <f t="shared" si="0"/>
        <v>147</v>
      </c>
      <c r="E150" t="s" s="24">
        <v>335</v>
      </c>
      <c r="F150" cm="1" s="27">
        <f t="array" ref="F150">SUMPRODUCT(ISNUMBER(SEARCH(E150,$A$4:$A$36))*N($C$4:$C$36))</f>
        <v>0</v>
      </c>
      <c r="I150" t="s" s="19">
        <v>336</v>
      </c>
      <c r="J150" s="20">
        <v>0</v>
      </c>
    </row>
    <row r="151" ht="16.00" customHeight="true">
      <c r="D151" s="15">
        <f t="shared" si="0"/>
        <v>148</v>
      </c>
      <c r="E151" t="s" s="24">
        <v>337</v>
      </c>
      <c r="F151" cm="1" s="27">
        <f t="array" ref="F151">SUMPRODUCT(ISNUMBER(SEARCH(E151,$A$4:$A$36))*N($C$4:$C$36))</f>
        <v>0</v>
      </c>
      <c r="I151" t="s" s="19">
        <v>338</v>
      </c>
      <c r="J151" s="20">
        <v>0</v>
      </c>
    </row>
    <row r="152" ht="16.00" customHeight="true">
      <c r="D152" s="15">
        <f t="shared" si="0"/>
        <v>149</v>
      </c>
      <c r="E152" t="s" s="24">
        <v>339</v>
      </c>
      <c r="F152" cm="1" s="27">
        <f t="array" ref="F152">SUMPRODUCT(ISNUMBER(SEARCH(E152,$A$4:$A$36))*N($C$4:$C$36))</f>
        <v>0</v>
      </c>
      <c r="I152" t="s" s="19">
        <v>340</v>
      </c>
      <c r="J152" s="20">
        <v>0</v>
      </c>
    </row>
    <row r="153" ht="16.00" customHeight="true">
      <c r="D153" s="15">
        <f t="shared" si="0"/>
        <v>150</v>
      </c>
      <c r="E153" t="s" s="24">
        <v>341</v>
      </c>
      <c r="F153" cm="1" s="27">
        <f t="array" ref="F153">SUMPRODUCT(ISNUMBER(SEARCH(E153,$A$4:$A$36))*N($C$4:$C$36))</f>
        <v>0</v>
      </c>
      <c r="I153" t="s" s="19">
        <v>342</v>
      </c>
      <c r="J153" s="20">
        <v>0</v>
      </c>
    </row>
    <row r="154" ht="16.00" customHeight="true">
      <c r="D154" s="15">
        <f t="shared" si="0"/>
        <v>151</v>
      </c>
      <c r="E154" t="s" s="24">
        <v>343</v>
      </c>
      <c r="F154" cm="1" s="27">
        <f t="array" ref="F154">SUMPRODUCT(ISNUMBER(SEARCH(E154,$A$4:$A$36))*N($C$4:$C$36))</f>
        <v>0</v>
      </c>
      <c r="I154" t="s" s="19">
        <v>344</v>
      </c>
      <c r="J154" s="20">
        <v>0</v>
      </c>
    </row>
    <row r="155" ht="16.00" customHeight="true">
      <c r="D155" s="15">
        <f t="shared" si="0"/>
        <v>152</v>
      </c>
      <c r="E155" t="s" s="24">
        <v>345</v>
      </c>
      <c r="F155" cm="1" s="27">
        <f t="array" ref="F155">SUMPRODUCT(ISNUMBER(SEARCH(E155,$A$4:$A$36))*N($C$4:$C$36))</f>
        <v>0</v>
      </c>
      <c r="I155" t="s" s="19">
        <v>346</v>
      </c>
      <c r="J155" s="20">
        <v>0</v>
      </c>
    </row>
    <row r="156" ht="16.00" customHeight="true">
      <c r="D156" s="15">
        <f t="shared" si="0"/>
        <v>153</v>
      </c>
      <c r="E156" t="s" s="24">
        <v>347</v>
      </c>
      <c r="F156" cm="1" s="27">
        <f t="array" ref="F156">SUMPRODUCT(ISNUMBER(SEARCH(E156,$A$4:$A$36))*N($C$4:$C$36))</f>
        <v>0</v>
      </c>
      <c r="I156" t="s" s="19">
        <v>348</v>
      </c>
      <c r="J156" s="20">
        <v>0</v>
      </c>
    </row>
    <row r="157" ht="16.00" customHeight="true">
      <c r="D157" s="15">
        <f t="shared" si="0"/>
        <v>154</v>
      </c>
      <c r="E157" t="s" s="24">
        <v>349</v>
      </c>
      <c r="F157" cm="1" s="27">
        <f t="array" ref="F157">SUMPRODUCT(ISNUMBER(SEARCH(E157,$A$4:$A$36))*N($C$4:$C$36))</f>
        <v>0</v>
      </c>
      <c r="I157" t="s" s="19">
        <v>350</v>
      </c>
      <c r="J157" s="20">
        <v>0</v>
      </c>
    </row>
    <row r="158" ht="16.00" customHeight="true">
      <c r="D158" s="15">
        <f t="shared" si="0"/>
        <v>155</v>
      </c>
      <c r="E158" t="s" s="24">
        <v>351</v>
      </c>
      <c r="F158" cm="1" s="27">
        <f t="array" ref="F158">SUMPRODUCT(ISNUMBER(SEARCH(E158,$A$4:$A$36))*N($C$4:$C$36))</f>
        <v>0</v>
      </c>
      <c r="I158" t="s" s="19">
        <v>352</v>
      </c>
      <c r="J158" s="20">
        <v>0</v>
      </c>
    </row>
    <row r="159" ht="16.00" customHeight="true">
      <c r="D159" s="15">
        <f t="shared" si="0"/>
        <v>156</v>
      </c>
      <c r="E159" t="s" s="24">
        <v>353</v>
      </c>
      <c r="F159" cm="1" s="27">
        <f t="array" ref="F159">SUMPRODUCT(ISNUMBER(SEARCH(E159,$A$4:$A$36))*N($C$4:$C$36))</f>
        <v>0</v>
      </c>
      <c r="I159" t="s" s="19">
        <v>354</v>
      </c>
      <c r="J159" s="20">
        <v>0</v>
      </c>
    </row>
    <row r="160" ht="16.00" customHeight="true">
      <c r="D160" s="15">
        <f t="shared" si="0"/>
        <v>157</v>
      </c>
      <c r="E160" t="s" s="24">
        <v>355</v>
      </c>
      <c r="F160" cm="1" s="27">
        <f t="array" ref="F160">SUMPRODUCT(ISNUMBER(SEARCH(E160,$A$4:$A$36))*N($C$4:$C$36))</f>
        <v>0</v>
      </c>
      <c r="I160" t="s" s="19">
        <v>356</v>
      </c>
      <c r="J160" s="20">
        <v>0</v>
      </c>
    </row>
    <row r="161" ht="16.00" customHeight="true">
      <c r="D161" s="15">
        <f t="shared" si="0"/>
        <v>158</v>
      </c>
      <c r="E161" t="s" s="24">
        <v>357</v>
      </c>
      <c r="F161" cm="1" s="27">
        <f t="array" ref="F161">SUMPRODUCT(ISNUMBER(SEARCH(E161,$A$4:$A$36))*N($C$4:$C$36))</f>
        <v>0</v>
      </c>
      <c r="I161" t="s" s="19">
        <v>358</v>
      </c>
      <c r="J161" s="20">
        <v>0</v>
      </c>
    </row>
    <row r="162" ht="16.00" customHeight="true">
      <c r="D162" s="15">
        <f t="shared" si="0"/>
        <v>159</v>
      </c>
      <c r="E162" t="s" s="24">
        <v>359</v>
      </c>
      <c r="F162" cm="1" s="27">
        <f t="array" ref="F162">SUMPRODUCT(ISNUMBER(SEARCH(E162,$A$4:$A$36))*N($C$4:$C$36))</f>
        <v>0</v>
      </c>
      <c r="I162" t="s" s="19">
        <v>360</v>
      </c>
      <c r="J162" s="20">
        <v>0</v>
      </c>
    </row>
    <row r="163" ht="16.00" customHeight="true">
      <c r="D163" s="15">
        <f t="shared" si="0"/>
        <v>160</v>
      </c>
      <c r="E163" t="s" s="24">
        <v>361</v>
      </c>
      <c r="F163" cm="1" s="27">
        <f t="array" ref="F163">SUMPRODUCT(ISNUMBER(SEARCH(E163,$A$4:$A$36))*N($C$4:$C$36))</f>
        <v>0</v>
      </c>
      <c r="I163" t="s" s="19">
        <v>362</v>
      </c>
      <c r="J163" s="20">
        <v>0</v>
      </c>
    </row>
    <row r="164" ht="16.00" customHeight="true">
      <c r="D164" s="15">
        <f t="shared" si="0"/>
        <v>161</v>
      </c>
      <c r="E164" t="s" s="24">
        <v>363</v>
      </c>
      <c r="F164" cm="1" s="27">
        <f t="array" ref="F164">SUMPRODUCT(ISNUMBER(SEARCH(E164,$A$4:$A$36))*N($C$4:$C$36))</f>
        <v>0</v>
      </c>
      <c r="I164" t="s" s="19">
        <v>364</v>
      </c>
      <c r="J164" s="20">
        <v>0</v>
      </c>
    </row>
    <row r="165" ht="16.00" customHeight="true">
      <c r="D165" s="15">
        <f t="shared" si="0"/>
        <v>162</v>
      </c>
      <c r="E165" t="s" s="24">
        <v>365</v>
      </c>
      <c r="F165" cm="1" s="27">
        <f t="array" ref="F165">SUMPRODUCT(ISNUMBER(SEARCH(E165,$A$4:$A$36))*N($C$4:$C$36))</f>
        <v>0</v>
      </c>
      <c r="I165" t="s" s="19">
        <v>366</v>
      </c>
      <c r="J165" s="20">
        <v>0</v>
      </c>
    </row>
    <row r="166" ht="16.00" customHeight="true">
      <c r="D166" s="15">
        <f t="shared" si="0"/>
        <v>163</v>
      </c>
      <c r="E166" t="s" s="24">
        <v>367</v>
      </c>
      <c r="F166" cm="1" s="27">
        <f t="array" ref="F166">SUMPRODUCT(ISNUMBER(SEARCH(E166,$A$4:$A$36))*N($C$4:$C$36))</f>
        <v>0</v>
      </c>
      <c r="I166" t="s" s="19">
        <v>368</v>
      </c>
      <c r="J166" s="20">
        <v>0</v>
      </c>
    </row>
    <row r="167" ht="16.00" customHeight="true">
      <c r="D167" s="15">
        <f t="shared" si="0"/>
        <v>164</v>
      </c>
      <c r="E167" t="s" s="24">
        <v>369</v>
      </c>
      <c r="F167" cm="1" s="27">
        <f t="array" ref="F167">SUMPRODUCT(ISNUMBER(SEARCH(E167,$A$4:$A$36))*N($C$4:$C$36))</f>
        <v>0</v>
      </c>
      <c r="I167" t="s" s="19">
        <v>370</v>
      </c>
      <c r="J167" s="20">
        <v>0</v>
      </c>
    </row>
    <row r="168" ht="16.00" customHeight="true">
      <c r="D168" s="15">
        <f t="shared" si="0"/>
        <v>165</v>
      </c>
      <c r="E168" t="s" s="24">
        <v>371</v>
      </c>
      <c r="F168" cm="1" s="27">
        <f t="array" ref="F168">SUMPRODUCT(ISNUMBER(SEARCH(E168,$A$4:$A$36))*N($C$4:$C$36))</f>
        <v>0</v>
      </c>
      <c r="I168" t="s" s="19">
        <v>372</v>
      </c>
      <c r="J168" s="20">
        <v>0</v>
      </c>
    </row>
    <row r="169" ht="16.00" customHeight="true">
      <c r="D169" s="15">
        <f t="shared" si="0"/>
        <v>166</v>
      </c>
      <c r="E169" t="s" s="24">
        <v>373</v>
      </c>
      <c r="F169" cm="1" s="27">
        <f t="array" ref="F169">SUMPRODUCT(ISNUMBER(SEARCH(E169,$A$4:$A$36))*N($C$4:$C$36))</f>
        <v>0</v>
      </c>
      <c r="I169" t="s" s="19">
        <v>374</v>
      </c>
      <c r="J169" s="20">
        <v>0</v>
      </c>
    </row>
    <row r="170" ht="16.00" customHeight="true">
      <c r="D170" s="15">
        <f t="shared" si="0"/>
        <v>167</v>
      </c>
      <c r="E170" t="s" s="24">
        <v>375</v>
      </c>
      <c r="F170" cm="1" s="27">
        <f t="array" ref="F170">SUMPRODUCT(ISNUMBER(SEARCH(E170,$A$4:$A$36))*N($C$4:$C$36))</f>
        <v>0</v>
      </c>
      <c r="I170" t="s" s="19">
        <v>376</v>
      </c>
      <c r="J170" s="20">
        <v>0</v>
      </c>
    </row>
    <row r="171" ht="16.00" customHeight="true">
      <c r="D171" s="15">
        <f t="shared" si="0"/>
        <v>168</v>
      </c>
      <c r="E171" t="s" s="24">
        <v>377</v>
      </c>
      <c r="F171" cm="1" s="27">
        <f t="array" ref="F171">SUMPRODUCT(ISNUMBER(SEARCH(E171,$A$4:$A$36))*N($C$4:$C$36))</f>
        <v>0</v>
      </c>
      <c r="I171" t="s" s="19">
        <v>378</v>
      </c>
      <c r="J171" s="20">
        <v>0</v>
      </c>
    </row>
    <row r="172" ht="16.00" customHeight="true">
      <c r="D172" s="15">
        <f t="shared" si="0"/>
        <v>169</v>
      </c>
      <c r="E172" t="s" s="24">
        <v>379</v>
      </c>
      <c r="F172" cm="1" s="27">
        <f t="array" ref="F172">SUMPRODUCT(ISNUMBER(SEARCH(E172,$A$4:$A$36))*N($C$4:$C$36))</f>
        <v>0</v>
      </c>
      <c r="I172" t="s" s="19">
        <v>380</v>
      </c>
      <c r="J172" s="20">
        <v>0</v>
      </c>
    </row>
    <row r="173" ht="16.00" customHeight="true">
      <c r="D173" s="15">
        <f t="shared" si="0"/>
        <v>170</v>
      </c>
      <c r="E173" t="s" s="24">
        <v>381</v>
      </c>
      <c r="F173" cm="1" s="27">
        <f t="array" ref="F173">SUMPRODUCT(ISNUMBER(SEARCH(E173,$A$4:$A$36))*N($C$4:$C$36))</f>
        <v>0</v>
      </c>
      <c r="I173" t="s" s="19">
        <v>382</v>
      </c>
      <c r="J173" s="20">
        <v>0</v>
      </c>
    </row>
    <row r="174" ht="16.00" customHeight="true">
      <c r="D174" s="15">
        <f t="shared" si="0"/>
        <v>171</v>
      </c>
      <c r="E174" t="s" s="24">
        <v>383</v>
      </c>
      <c r="F174" cm="1" s="27">
        <f t="array" ref="F174">SUMPRODUCT(ISNUMBER(SEARCH(E174,$A$4:$A$36))*N($C$4:$C$36))</f>
        <v>0</v>
      </c>
      <c r="I174" t="s" s="19">
        <v>384</v>
      </c>
      <c r="J174" s="20">
        <v>0</v>
      </c>
    </row>
    <row r="175" ht="16.00" customHeight="true">
      <c r="D175" s="15">
        <f t="shared" si="0"/>
        <v>172</v>
      </c>
      <c r="E175" t="s" s="24">
        <v>385</v>
      </c>
      <c r="F175" cm="1" s="27">
        <f t="array" ref="F175">SUMPRODUCT(ISNUMBER(SEARCH(E175,$A$4:$A$36))*N($C$4:$C$36))</f>
        <v>0</v>
      </c>
      <c r="I175" t="s" s="19">
        <v>386</v>
      </c>
      <c r="J175" s="20">
        <v>0</v>
      </c>
    </row>
    <row r="176" ht="16.00" customHeight="true">
      <c r="D176" s="15">
        <f t="shared" si="0"/>
        <v>173</v>
      </c>
      <c r="E176" t="s" s="24">
        <v>387</v>
      </c>
      <c r="F176" cm="1" s="27">
        <f t="array" ref="F176">SUMPRODUCT(ISNUMBER(SEARCH(E176,$A$4:$A$36))*N($C$4:$C$36))</f>
        <v>0</v>
      </c>
      <c r="I176" t="s" s="19">
        <v>388</v>
      </c>
      <c r="J176" s="20">
        <v>0</v>
      </c>
    </row>
    <row r="177" ht="16.00" customHeight="true">
      <c r="D177" s="15">
        <f t="shared" si="0"/>
        <v>174</v>
      </c>
      <c r="E177" t="s" s="24">
        <v>389</v>
      </c>
      <c r="F177" cm="1" s="27">
        <f t="array" ref="F177">SUMPRODUCT(ISNUMBER(SEARCH(E177,$A$4:$A$36))*N($C$4:$C$36))</f>
        <v>0</v>
      </c>
      <c r="I177" t="s" s="19">
        <v>390</v>
      </c>
      <c r="J177" s="20">
        <v>0</v>
      </c>
    </row>
    <row r="178" ht="16.00" customHeight="true">
      <c r="D178" s="15">
        <f t="shared" si="0"/>
        <v>175</v>
      </c>
      <c r="E178" t="s" s="24">
        <v>391</v>
      </c>
      <c r="F178" cm="1" s="27">
        <f t="array" ref="F178">SUMPRODUCT(ISNUMBER(SEARCH(E178,$A$4:$A$36))*N($C$4:$C$36))</f>
        <v>0</v>
      </c>
      <c r="I178" t="s" s="19">
        <v>392</v>
      </c>
      <c r="J178" s="20">
        <v>0</v>
      </c>
    </row>
    <row r="179" ht="16.00" customHeight="true">
      <c r="D179" s="15">
        <f t="shared" si="0"/>
        <v>176</v>
      </c>
      <c r="E179" t="s" s="24">
        <v>393</v>
      </c>
      <c r="F179" cm="1" s="27">
        <f t="array" ref="F179">SUMPRODUCT(ISNUMBER(SEARCH(E179,$A$4:$A$36))*N($C$4:$C$36))</f>
        <v>0</v>
      </c>
      <c r="I179" t="s" s="19">
        <v>394</v>
      </c>
      <c r="J179" s="20">
        <v>0</v>
      </c>
    </row>
    <row r="180" ht="16.00" customHeight="true">
      <c r="D180" s="15">
        <f t="shared" si="0"/>
        <v>177</v>
      </c>
      <c r="E180" t="s" s="24">
        <v>395</v>
      </c>
      <c r="F180" cm="1" s="27">
        <f t="array" ref="F180">SUMPRODUCT(ISNUMBER(SEARCH(E180,$A$4:$A$36))*N($C$4:$C$36))</f>
        <v>0</v>
      </c>
      <c r="I180" t="s" s="19">
        <v>396</v>
      </c>
      <c r="J180" s="20">
        <v>0</v>
      </c>
    </row>
    <row r="181" ht="16.00" customHeight="true">
      <c r="D181" s="15">
        <f t="shared" si="0"/>
        <v>178</v>
      </c>
      <c r="E181" t="s" s="24">
        <v>397</v>
      </c>
      <c r="F181" cm="1" s="27">
        <f t="array" ref="F181">SUMPRODUCT(ISNUMBER(SEARCH(E181,$A$4:$A$36))*N($C$4:$C$36))</f>
        <v>0</v>
      </c>
      <c r="I181" t="s" s="19">
        <v>398</v>
      </c>
      <c r="J181" s="20">
        <v>0</v>
      </c>
    </row>
    <row r="182" ht="16.00" customHeight="true">
      <c r="D182" s="15">
        <f t="shared" si="0"/>
        <v>179</v>
      </c>
      <c r="E182" t="s" s="24">
        <v>399</v>
      </c>
      <c r="F182" cm="1" s="27">
        <f t="array" ref="F182">SUMPRODUCT(ISNUMBER(SEARCH(E182,$A$4:$A$36))*N($C$4:$C$36))</f>
        <v>0</v>
      </c>
      <c r="I182" t="s" s="19">
        <v>400</v>
      </c>
      <c r="J182" s="20">
        <v>0</v>
      </c>
    </row>
    <row r="183" ht="16.00" customHeight="true">
      <c r="D183" s="15">
        <f t="shared" si="0"/>
        <v>180</v>
      </c>
      <c r="E183" t="s" s="24">
        <v>401</v>
      </c>
      <c r="F183" cm="1" s="27">
        <f t="array" ref="F183">SUMPRODUCT(ISNUMBER(SEARCH(E183,$A$4:$A$36))*N($C$4:$C$36))</f>
        <v>0</v>
      </c>
      <c r="I183" t="s" s="19">
        <v>402</v>
      </c>
      <c r="J183" s="20">
        <v>0</v>
      </c>
    </row>
    <row r="184" ht="16.00" customHeight="true">
      <c r="D184" s="15">
        <f t="shared" si="0"/>
        <v>181</v>
      </c>
      <c r="E184" t="s" s="24">
        <v>403</v>
      </c>
      <c r="F184" cm="1" s="27">
        <f t="array" ref="F184">SUMPRODUCT(ISNUMBER(SEARCH(E184,$A$4:$A$36))*N($C$4:$C$36))</f>
        <v>0</v>
      </c>
      <c r="I184" t="s" s="19">
        <v>404</v>
      </c>
      <c r="J184" s="20">
        <v>0</v>
      </c>
    </row>
    <row r="185" ht="16.00" customHeight="true">
      <c r="D185" s="15">
        <f t="shared" si="0"/>
        <v>182</v>
      </c>
      <c r="E185" t="s" s="24">
        <v>405</v>
      </c>
      <c r="F185" cm="1" s="27">
        <f t="array" ref="F185">SUMPRODUCT(ISNUMBER(SEARCH(E185,$A$4:$A$36))*N($C$4:$C$36))</f>
        <v>0</v>
      </c>
      <c r="I185" t="s" s="19">
        <v>406</v>
      </c>
      <c r="J185" s="20">
        <v>0</v>
      </c>
    </row>
    <row r="186" ht="16.00" customHeight="true">
      <c r="D186" s="15">
        <f t="shared" si="0"/>
        <v>183</v>
      </c>
      <c r="E186" t="s" s="24">
        <v>407</v>
      </c>
      <c r="F186" cm="1" s="27">
        <f t="array" ref="F186">SUMPRODUCT(ISNUMBER(SEARCH(E186,$A$4:$A$36))*N($C$4:$C$36))</f>
        <v>0</v>
      </c>
      <c r="I186" t="s" s="19">
        <v>408</v>
      </c>
      <c r="J186" s="20">
        <v>0</v>
      </c>
    </row>
    <row r="187" ht="16.00" customHeight="true">
      <c r="D187" s="15">
        <f t="shared" si="0"/>
        <v>184</v>
      </c>
      <c r="E187" t="s" s="24">
        <v>409</v>
      </c>
      <c r="F187" cm="1" s="27">
        <f t="array" ref="F187">SUMPRODUCT(ISNUMBER(SEARCH(E187,$A$4:$A$36))*N($C$4:$C$36))</f>
        <v>0</v>
      </c>
      <c r="I187" t="s" s="19">
        <v>410</v>
      </c>
      <c r="J187" s="20">
        <v>0</v>
      </c>
    </row>
    <row r="188" ht="16.00" customHeight="true">
      <c r="D188" s="15">
        <f t="shared" si="0"/>
        <v>185</v>
      </c>
      <c r="E188" t="s" s="24">
        <v>411</v>
      </c>
      <c r="F188" cm="1" s="27">
        <f t="array" ref="F188">SUMPRODUCT(ISNUMBER(SEARCH(E188,$A$4:$A$36))*N($C$4:$C$36))</f>
        <v>0</v>
      </c>
      <c r="I188" t="s" s="19">
        <v>412</v>
      </c>
      <c r="J188" s="20">
        <v>0</v>
      </c>
    </row>
    <row r="189" ht="16.00" customHeight="true">
      <c r="D189" s="15">
        <f t="shared" si="0"/>
        <v>186</v>
      </c>
      <c r="E189" t="s" s="24">
        <v>413</v>
      </c>
      <c r="F189" cm="1" s="27">
        <f t="array" ref="F189">SUMPRODUCT(ISNUMBER(SEARCH(E189,$A$4:$A$36))*N($C$4:$C$36))</f>
        <v>0</v>
      </c>
      <c r="I189" t="s" s="19">
        <v>414</v>
      </c>
      <c r="J189" s="20">
        <v>0</v>
      </c>
    </row>
    <row r="190" ht="16.00" customHeight="true">
      <c r="D190" s="15">
        <f t="shared" si="0"/>
        <v>187</v>
      </c>
      <c r="E190" t="s" s="24">
        <v>415</v>
      </c>
      <c r="F190" cm="1" s="27">
        <f t="array" ref="F190">SUMPRODUCT(ISNUMBER(SEARCH(E190,$A$4:$A$36))*N($C$4:$C$36))</f>
        <v>0</v>
      </c>
      <c r="I190" t="s" s="19">
        <v>416</v>
      </c>
      <c r="J190" s="20">
        <v>0</v>
      </c>
    </row>
    <row r="191" ht="16.00" customHeight="true">
      <c r="D191" s="15">
        <f t="shared" si="0"/>
        <v>188</v>
      </c>
      <c r="E191" t="s" s="24">
        <v>417</v>
      </c>
      <c r="F191" cm="1" s="27">
        <f t="array" ref="F191">SUMPRODUCT(ISNUMBER(SEARCH(E191,$A$4:$A$36))*N($C$4:$C$36))</f>
        <v>0</v>
      </c>
      <c r="I191" t="s" s="19">
        <v>418</v>
      </c>
      <c r="J191" s="20">
        <v>0</v>
      </c>
    </row>
    <row r="192" ht="16.00" customHeight="true">
      <c r="D192" s="15">
        <f t="shared" si="0"/>
        <v>189</v>
      </c>
      <c r="E192" t="s" s="24">
        <v>419</v>
      </c>
      <c r="F192" cm="1" s="27">
        <f t="array" ref="F192">SUMPRODUCT(ISNUMBER(SEARCH(E192,$A$4:$A$36))*N($C$4:$C$36))</f>
        <v>0</v>
      </c>
      <c r="I192" t="s" s="19">
        <v>420</v>
      </c>
      <c r="J192" s="20">
        <v>0</v>
      </c>
    </row>
    <row r="193" ht="16.00" customHeight="true">
      <c r="D193" s="15">
        <f t="shared" si="0"/>
        <v>190</v>
      </c>
      <c r="E193" t="s" s="24">
        <v>421</v>
      </c>
      <c r="F193" cm="1" s="27">
        <f t="array" ref="F193">SUMPRODUCT(ISNUMBER(SEARCH(E193,$A$4:$A$36))*N($C$4:$C$36))</f>
        <v>0</v>
      </c>
      <c r="I193" t="s" s="19">
        <v>422</v>
      </c>
      <c r="J193" s="20">
        <v>0</v>
      </c>
    </row>
    <row r="194" ht="16.00" customHeight="true">
      <c r="D194" s="15">
        <f t="shared" si="0"/>
        <v>191</v>
      </c>
      <c r="E194" t="s" s="24">
        <v>423</v>
      </c>
      <c r="F194" cm="1" s="27">
        <f t="array" ref="F194">SUMPRODUCT(ISNUMBER(SEARCH(E194,$A$4:$A$36))*N($C$4:$C$36))</f>
        <v>0</v>
      </c>
      <c r="I194" t="s" s="19">
        <v>424</v>
      </c>
      <c r="J194" s="20">
        <v>0</v>
      </c>
    </row>
    <row r="195" ht="16.00" customHeight="true">
      <c r="D195" s="15">
        <f t="shared" si="0"/>
        <v>192</v>
      </c>
      <c r="E195" t="s" s="24">
        <v>425</v>
      </c>
      <c r="F195" cm="1" s="27">
        <f t="array" ref="F195">SUMPRODUCT(ISNUMBER(SEARCH(E195,$A$4:$A$36))*N($C$4:$C$36))</f>
        <v>0</v>
      </c>
      <c r="I195" t="s" s="19">
        <v>426</v>
      </c>
      <c r="J195" s="20">
        <v>0</v>
      </c>
    </row>
    <row r="196" ht="16.00" customHeight="true">
      <c r="D196" s="15">
        <f t="shared" si="0"/>
        <v>193</v>
      </c>
      <c r="E196" t="s" s="24">
        <v>427</v>
      </c>
      <c r="F196" cm="1" s="27">
        <f t="array" ref="F196">SUMPRODUCT(ISNUMBER(SEARCH(E196,$A$4:$A$36))*N($C$4:$C$36))</f>
        <v>0</v>
      </c>
      <c r="I196" t="s" s="19">
        <v>428</v>
      </c>
      <c r="J196" s="20">
        <v>0</v>
      </c>
    </row>
    <row r="197" ht="16.00" customHeight="true">
      <c r="D197" s="15">
        <f t="shared" si="0"/>
        <v>194</v>
      </c>
      <c r="E197" t="s" s="24">
        <v>429</v>
      </c>
      <c r="F197" cm="1" s="27">
        <f t="array" ref="F197">SUMPRODUCT(ISNUMBER(SEARCH(E197,$A$4:$A$36))*N($C$4:$C$36))</f>
        <v>0</v>
      </c>
      <c r="I197" t="s" s="19">
        <v>430</v>
      </c>
      <c r="J197" s="20">
        <v>0</v>
      </c>
    </row>
    <row r="198" ht="16.00" customHeight="true">
      <c r="D198" s="15">
        <f t="shared" si="0"/>
        <v>195</v>
      </c>
      <c r="E198" t="s" s="24">
        <v>431</v>
      </c>
      <c r="F198" cm="1" s="27">
        <f t="array" ref="F198">SUMPRODUCT(ISNUMBER(SEARCH(E198,$A$4:$A$36))*N($C$4:$C$36))</f>
        <v>0</v>
      </c>
      <c r="I198" t="s" s="19">
        <v>432</v>
      </c>
      <c r="J198" s="20">
        <v>0</v>
      </c>
    </row>
    <row r="199" ht="16.00" customHeight="true">
      <c r="D199" s="15">
        <f t="shared" si="0"/>
        <v>196</v>
      </c>
      <c r="E199" t="s" s="24">
        <v>433</v>
      </c>
      <c r="F199" cm="1" s="27">
        <f t="array" ref="F199">SUMPRODUCT(ISNUMBER(SEARCH(E199,$A$4:$A$36))*N($C$4:$C$36))</f>
        <v>0</v>
      </c>
      <c r="I199" t="s" s="19">
        <v>434</v>
      </c>
      <c r="J199" s="20">
        <v>0</v>
      </c>
    </row>
    <row r="200" ht="16.00" customHeight="true">
      <c r="D200" s="15">
        <f t="shared" si="0"/>
        <v>197</v>
      </c>
      <c r="E200" t="s" s="24">
        <v>435</v>
      </c>
      <c r="F200" cm="1" s="27">
        <f t="array" ref="F200">SUMPRODUCT(ISNUMBER(SEARCH(E200,$A$4:$A$36))*N($C$4:$C$36))</f>
        <v>0</v>
      </c>
      <c r="I200" t="s" s="19">
        <v>436</v>
      </c>
      <c r="J200" s="20">
        <v>0</v>
      </c>
    </row>
    <row r="201" ht="16.00" customHeight="true">
      <c r="D201" s="15">
        <f t="shared" si="0"/>
        <v>198</v>
      </c>
      <c r="E201" t="s" s="24">
        <v>437</v>
      </c>
      <c r="F201" cm="1" s="27">
        <f t="array" ref="F201">SUMPRODUCT(ISNUMBER(SEARCH(E201,$A$4:$A$36))*N($C$4:$C$36))</f>
        <v>0</v>
      </c>
      <c r="I201" t="s" s="19">
        <v>438</v>
      </c>
      <c r="J201" s="20">
        <v>0</v>
      </c>
    </row>
    <row r="202" ht="16.00" customHeight="true">
      <c r="D202" s="15">
        <f t="shared" si="0"/>
        <v>199</v>
      </c>
      <c r="E202" t="s" s="24">
        <v>439</v>
      </c>
      <c r="F202" cm="1" s="27">
        <f t="array" ref="F202">SUMPRODUCT(ISNUMBER(SEARCH(E202,$A$4:$A$36))*N($C$4:$C$36))</f>
        <v>0</v>
      </c>
      <c r="I202" t="s" s="19">
        <v>440</v>
      </c>
      <c r="J202" s="20">
        <v>0</v>
      </c>
    </row>
    <row r="203" ht="16.00" customHeight="true">
      <c r="D203" s="15">
        <f ref="D203:D244" t="shared" si="4">D202+1</f>
        <v>200</v>
      </c>
      <c r="E203" t="s" s="24">
        <v>441</v>
      </c>
      <c r="F203" cm="1" s="27">
        <f t="array" ref="F203">SUMPRODUCT(ISNUMBER(SEARCH(E203,$A$4:$A$36))*N($C$4:$C$36))</f>
        <v>0</v>
      </c>
      <c r="I203" t="s" s="19">
        <v>442</v>
      </c>
      <c r="J203" s="20">
        <v>0</v>
      </c>
    </row>
    <row r="204" ht="16.00" customHeight="true">
      <c r="D204" s="15">
        <f t="shared" si="4"/>
        <v>201</v>
      </c>
      <c r="E204" t="s" s="24">
        <v>443</v>
      </c>
      <c r="F204" cm="1" s="27">
        <f t="array" ref="F204">SUMPRODUCT(ISNUMBER(SEARCH(E204,$A$4:$A$36))*N($C$4:$C$36))</f>
        <v>0</v>
      </c>
      <c r="I204" t="s" s="19">
        <v>444</v>
      </c>
      <c r="J204" s="20">
        <v>0</v>
      </c>
    </row>
    <row r="205" ht="16.00" customHeight="true">
      <c r="D205" s="15">
        <f t="shared" si="4"/>
        <v>202</v>
      </c>
      <c r="E205" t="s" s="24">
        <v>445</v>
      </c>
      <c r="F205" cm="1" s="27">
        <f t="array" ref="F205">SUMPRODUCT(ISNUMBER(SEARCH(E205,$A$4:$A$36))*N($C$4:$C$36))</f>
        <v>0</v>
      </c>
      <c r="I205" t="s" s="19">
        <v>446</v>
      </c>
      <c r="J205" s="20">
        <v>0</v>
      </c>
    </row>
    <row r="206" ht="16.00" customHeight="true">
      <c r="D206" s="15">
        <f t="shared" si="4"/>
        <v>203</v>
      </c>
      <c r="E206" t="s" s="24">
        <v>447</v>
      </c>
      <c r="F206" cm="1" s="27">
        <f t="array" ref="F206">SUMPRODUCT(ISNUMBER(SEARCH(E206,$A$4:$A$36))*N($C$4:$C$36))</f>
        <v>0</v>
      </c>
      <c r="I206" t="s" s="19">
        <v>448</v>
      </c>
      <c r="J206" s="20">
        <v>0</v>
      </c>
    </row>
    <row r="207" ht="16.00" customHeight="true">
      <c r="D207" s="15">
        <f t="shared" si="4"/>
        <v>204</v>
      </c>
      <c r="E207" t="s" s="24">
        <v>449</v>
      </c>
      <c r="F207" cm="1" s="27">
        <f t="array" ref="F207">SUMPRODUCT(ISNUMBER(SEARCH(E207,$A$4:$A$36))*N($C$4:$C$36))</f>
        <v>0</v>
      </c>
      <c r="I207" t="s" s="19">
        <v>450</v>
      </c>
      <c r="J207" s="20">
        <v>0</v>
      </c>
    </row>
    <row r="208" ht="16.00" customHeight="true">
      <c r="D208" s="15">
        <f t="shared" si="4"/>
        <v>205</v>
      </c>
      <c r="E208" t="s" s="24">
        <v>451</v>
      </c>
      <c r="F208" cm="1" s="27">
        <f t="array" ref="F208">SUMPRODUCT(ISNUMBER(SEARCH(E208,$A$4:$A$36))*N($C$4:$C$36))</f>
        <v>0</v>
      </c>
      <c r="I208" t="s" s="19">
        <v>452</v>
      </c>
      <c r="J208" s="20">
        <v>0</v>
      </c>
    </row>
    <row r="209" ht="16.00" customHeight="true">
      <c r="D209" s="15">
        <f t="shared" si="4"/>
        <v>206</v>
      </c>
      <c r="E209" t="s" s="24">
        <v>453</v>
      </c>
      <c r="F209" cm="1" s="27">
        <f t="array" ref="F209">SUMPRODUCT(ISNUMBER(SEARCH(E209,$A$4:$A$36))*N($C$4:$C$36))</f>
        <v>0</v>
      </c>
      <c r="I209" t="s" s="19">
        <v>454</v>
      </c>
      <c r="J209" s="20">
        <v>0</v>
      </c>
    </row>
    <row r="210" ht="16.00" customHeight="true">
      <c r="D210" s="15">
        <f t="shared" si="4"/>
        <v>207</v>
      </c>
      <c r="E210" t="s" s="24">
        <v>455</v>
      </c>
      <c r="F210" cm="1" s="27">
        <f t="array" ref="F210">SUMPRODUCT(ISNUMBER(SEARCH(E210,$A$4:$A$36))*N($C$4:$C$36))</f>
        <v>0</v>
      </c>
      <c r="I210" t="s" s="19">
        <v>456</v>
      </c>
      <c r="J210" s="20">
        <v>0</v>
      </c>
    </row>
    <row r="211" ht="16.00" customHeight="true">
      <c r="D211" s="15">
        <f t="shared" si="4"/>
        <v>208</v>
      </c>
      <c r="E211" t="s" s="24">
        <v>457</v>
      </c>
      <c r="F211" cm="1" s="27">
        <f t="array" ref="F211">SUMPRODUCT(ISNUMBER(SEARCH(E211,$A$4:$A$36))*N($C$4:$C$36))</f>
        <v>0</v>
      </c>
      <c r="I211" t="s" s="19">
        <v>458</v>
      </c>
      <c r="J211" s="20">
        <v>0</v>
      </c>
    </row>
    <row r="212" ht="16.00" customHeight="true">
      <c r="D212" s="15">
        <f t="shared" si="4"/>
        <v>209</v>
      </c>
      <c r="E212" t="s" s="24">
        <v>459</v>
      </c>
      <c r="F212" cm="1" s="27">
        <f t="array" ref="F212">SUMPRODUCT(ISNUMBER(SEARCH(E212,$A$4:$A$36))*N($C$4:$C$36))</f>
        <v>0</v>
      </c>
      <c r="I212" t="s" s="19">
        <v>460</v>
      </c>
      <c r="J212" s="20">
        <v>0</v>
      </c>
    </row>
    <row r="213" ht="16.00" customHeight="true">
      <c r="D213" s="15">
        <f t="shared" si="4"/>
        <v>210</v>
      </c>
      <c r="E213" t="s" s="24">
        <v>461</v>
      </c>
      <c r="F213" cm="1" s="27">
        <f t="array" ref="F213">SUMPRODUCT(ISNUMBER(SEARCH(E213,$A$4:$A$36))*N($C$4:$C$36))</f>
        <v>0</v>
      </c>
      <c r="I213" t="s" s="19">
        <v>462</v>
      </c>
      <c r="J213" s="20">
        <v>0</v>
      </c>
    </row>
    <row r="214" ht="16.00" customHeight="true">
      <c r="D214" s="15">
        <f t="shared" si="4"/>
        <v>211</v>
      </c>
      <c r="E214" t="s" s="24">
        <v>463</v>
      </c>
      <c r="F214" cm="1" s="27">
        <f t="array" ref="F214">SUMPRODUCT(ISNUMBER(SEARCH(E214,$A$4:$A$36))*N($C$4:$C$36))</f>
        <v>0</v>
      </c>
      <c r="I214" t="s" s="19">
        <v>464</v>
      </c>
      <c r="J214" s="20">
        <v>0</v>
      </c>
    </row>
    <row r="215" ht="16.00" customHeight="true">
      <c r="D215" s="15">
        <f t="shared" si="4"/>
        <v>212</v>
      </c>
      <c r="E215" t="s" s="24">
        <v>465</v>
      </c>
      <c r="F215" cm="1" s="27">
        <f t="array" ref="F215">SUMPRODUCT(ISNUMBER(SEARCH(E215,$A$4:$A$36))*N($C$4:$C$36))</f>
        <v>0</v>
      </c>
      <c r="I215" t="s" s="19">
        <v>466</v>
      </c>
      <c r="J215" s="20">
        <v>0</v>
      </c>
    </row>
    <row r="216" ht="16.00" customHeight="true">
      <c r="D216" s="15">
        <f t="shared" si="4"/>
        <v>213</v>
      </c>
      <c r="E216" t="s" s="24">
        <v>467</v>
      </c>
      <c r="F216" cm="1" s="27">
        <f t="array" ref="F216">SUMPRODUCT(ISNUMBER(SEARCH(E216,$A$4:$A$36))*N($C$4:$C$36))</f>
        <v>0</v>
      </c>
      <c r="I216" t="s" s="19">
        <v>468</v>
      </c>
      <c r="J216" s="20">
        <v>0</v>
      </c>
    </row>
    <row r="217" ht="16.00" customHeight="true">
      <c r="D217" s="15">
        <f t="shared" si="4"/>
        <v>214</v>
      </c>
      <c r="E217" t="s" s="24">
        <v>469</v>
      </c>
      <c r="F217" cm="1" s="27">
        <f t="array" ref="F217">SUMPRODUCT(ISNUMBER(SEARCH(E217,$A$4:$A$36))*N($C$4:$C$36))</f>
        <v>0</v>
      </c>
      <c r="I217" t="s" s="19">
        <v>470</v>
      </c>
      <c r="J217" s="20">
        <v>0</v>
      </c>
    </row>
    <row r="218" ht="16.00" customHeight="true">
      <c r="D218" s="15">
        <f t="shared" si="4"/>
        <v>215</v>
      </c>
      <c r="E218" t="s" s="24">
        <v>471</v>
      </c>
      <c r="F218" cm="1" s="27">
        <f t="array" ref="F218">SUMPRODUCT(ISNUMBER(SEARCH(E218,$A$4:$A$36))*N($C$4:$C$36))</f>
        <v>0</v>
      </c>
      <c r="I218" t="s" s="19">
        <v>472</v>
      </c>
      <c r="J218" s="20">
        <v>0</v>
      </c>
    </row>
    <row r="219" ht="16.00" customHeight="true">
      <c r="D219" s="15">
        <f t="shared" si="4"/>
        <v>216</v>
      </c>
      <c r="E219" t="s" s="24">
        <v>473</v>
      </c>
      <c r="F219" cm="1" s="27">
        <f t="array" ref="F219">SUMPRODUCT(ISNUMBER(SEARCH(E219,$A$4:$A$36))*N($C$4:$C$36))</f>
        <v>0</v>
      </c>
      <c r="I219" t="s" s="19">
        <v>474</v>
      </c>
      <c r="J219" s="20">
        <v>0</v>
      </c>
    </row>
    <row r="220" ht="16.00" customHeight="true">
      <c r="D220" s="15">
        <f t="shared" si="4"/>
        <v>217</v>
      </c>
      <c r="E220" t="s" s="24">
        <v>475</v>
      </c>
      <c r="F220" cm="1" s="27">
        <f t="array" ref="F220">SUMPRODUCT(ISNUMBER(SEARCH(E220,$A$4:$A$36))*N($C$4:$C$36))</f>
        <v>0</v>
      </c>
      <c r="I220" t="s" s="19">
        <v>476</v>
      </c>
      <c r="J220" s="20">
        <v>0</v>
      </c>
    </row>
    <row r="221" ht="16.00" customHeight="true">
      <c r="D221" s="15">
        <f t="shared" si="4"/>
        <v>218</v>
      </c>
      <c r="E221" t="s" s="24">
        <v>477</v>
      </c>
      <c r="F221" cm="1" s="27">
        <f t="array" ref="F221">SUMPRODUCT(ISNUMBER(SEARCH(E221,$A$4:$A$36))*N($C$4:$C$36))</f>
        <v>0</v>
      </c>
      <c r="I221" t="s" s="19">
        <v>478</v>
      </c>
      <c r="J221" s="20">
        <v>0</v>
      </c>
    </row>
    <row r="222" ht="16.00" customHeight="true">
      <c r="D222" s="15">
        <f t="shared" si="4"/>
        <v>219</v>
      </c>
      <c r="E222" t="s" s="24">
        <v>479</v>
      </c>
      <c r="F222" cm="1" s="27">
        <f t="array" ref="F222">SUMPRODUCT(ISNUMBER(SEARCH(E222,$A$4:$A$36))*N($C$4:$C$36))</f>
        <v>0</v>
      </c>
      <c r="I222" t="s" s="19">
        <v>480</v>
      </c>
      <c r="J222" s="20">
        <v>0</v>
      </c>
    </row>
    <row r="223" ht="16.00" customHeight="true">
      <c r="D223" s="15">
        <f t="shared" si="4"/>
        <v>220</v>
      </c>
      <c r="E223" t="s" s="24">
        <v>481</v>
      </c>
      <c r="F223" cm="1" s="27">
        <f t="array" ref="F223">SUMPRODUCT(ISNUMBER(SEARCH(E223,$A$4:$A$36))*N($C$4:$C$36))</f>
        <v>0</v>
      </c>
      <c r="I223" t="s" s="19">
        <v>482</v>
      </c>
      <c r="J223" s="20">
        <v>0</v>
      </c>
    </row>
    <row r="224" ht="16.00" customHeight="true">
      <c r="D224" s="15">
        <f t="shared" si="4"/>
        <v>221</v>
      </c>
      <c r="E224" t="s" s="24">
        <v>483</v>
      </c>
      <c r="F224" cm="1" s="27">
        <f t="array" ref="F224">SUMPRODUCT(ISNUMBER(SEARCH(E224,$A$4:$A$36))*N($C$4:$C$36))</f>
        <v>0</v>
      </c>
      <c r="I224" t="s" s="19">
        <v>484</v>
      </c>
      <c r="J224" s="20">
        <v>0</v>
      </c>
    </row>
    <row r="225" ht="16.00" customHeight="true">
      <c r="D225" s="15">
        <f t="shared" si="4"/>
        <v>222</v>
      </c>
      <c r="E225" t="s" s="24">
        <v>485</v>
      </c>
      <c r="F225" cm="1" s="27">
        <f t="array" ref="F225">SUMPRODUCT(ISNUMBER(SEARCH(E225,$A$4:$A$36))*N($C$4:$C$36))</f>
        <v>0</v>
      </c>
      <c r="I225" t="s" s="19">
        <v>486</v>
      </c>
      <c r="J225" s="20">
        <v>0</v>
      </c>
    </row>
    <row r="226" ht="16.00" customHeight="true">
      <c r="D226" s="15">
        <f t="shared" si="4"/>
        <v>223</v>
      </c>
      <c r="E226" t="s" s="24">
        <v>487</v>
      </c>
      <c r="F226" cm="1" s="27">
        <f t="array" ref="F226">SUMPRODUCT(ISNUMBER(SEARCH(E226,$A$4:$A$36))*N($C$4:$C$36))</f>
        <v>0</v>
      </c>
      <c r="I226" t="s" s="19">
        <v>488</v>
      </c>
      <c r="J226" s="20">
        <v>0</v>
      </c>
    </row>
    <row r="227" ht="16.00" customHeight="true">
      <c r="D227" s="15">
        <f t="shared" si="4"/>
        <v>224</v>
      </c>
      <c r="E227" t="s" s="24">
        <v>489</v>
      </c>
      <c r="F227" cm="1" s="27">
        <f t="array" ref="F227">SUMPRODUCT(ISNUMBER(SEARCH(E227,$A$4:$A$36))*N($C$4:$C$36))</f>
        <v>0</v>
      </c>
      <c r="I227" t="s" s="19">
        <v>490</v>
      </c>
      <c r="J227" s="20">
        <v>0</v>
      </c>
    </row>
    <row r="228" ht="16.00" customHeight="true">
      <c r="D228" s="15">
        <f t="shared" si="4"/>
        <v>225</v>
      </c>
      <c r="E228" t="s" s="24">
        <v>491</v>
      </c>
      <c r="F228" cm="1" s="27">
        <f t="array" ref="F228">SUMPRODUCT(ISNUMBER(SEARCH(E228,$A$4:$A$36))*N($C$4:$C$36))</f>
        <v>0</v>
      </c>
      <c r="I228" t="s" s="19">
        <v>492</v>
      </c>
      <c r="J228" s="20">
        <v>0</v>
      </c>
    </row>
    <row r="229" ht="16.00" customHeight="true">
      <c r="D229" s="15">
        <f t="shared" si="4"/>
        <v>226</v>
      </c>
      <c r="E229" t="s" s="24">
        <v>493</v>
      </c>
      <c r="F229" cm="1" s="27">
        <f t="array" ref="F229">SUMPRODUCT(ISNUMBER(SEARCH(E229,$A$4:$A$36))*N($C$4:$C$36))</f>
        <v>3381.164142857143</v>
      </c>
      <c r="I229" t="s" s="19">
        <v>494</v>
      </c>
      <c r="J229" s="20">
        <v>0</v>
      </c>
    </row>
    <row r="230" ht="16.00" customHeight="true">
      <c r="D230" s="15">
        <f t="shared" si="4"/>
        <v>227</v>
      </c>
      <c r="E230" t="s" s="24">
        <v>495</v>
      </c>
      <c r="F230" cm="1" s="27">
        <f t="array" ref="F230">SUMPRODUCT(ISNUMBER(SEARCH(E230,$A$4:$A$36))*N($C$4:$C$36))</f>
        <v>0</v>
      </c>
      <c r="I230" t="s" s="19">
        <v>496</v>
      </c>
      <c r="J230" s="20">
        <v>0</v>
      </c>
    </row>
    <row r="231" ht="16.00" customHeight="true">
      <c r="D231" s="15">
        <f t="shared" si="4"/>
        <v>228</v>
      </c>
      <c r="E231" t="s" s="24">
        <v>497</v>
      </c>
      <c r="F231" cm="1" s="27">
        <f t="array" ref="F231">SUMPRODUCT(ISNUMBER(SEARCH(E231,$A$4:$A$36))*N($C$4:$C$36))</f>
        <v>0</v>
      </c>
      <c r="I231" t="s" s="19">
        <v>498</v>
      </c>
      <c r="J231" s="20">
        <v>0</v>
      </c>
    </row>
    <row r="232" ht="16.00" customHeight="true">
      <c r="D232" s="15">
        <f t="shared" si="4"/>
        <v>229</v>
      </c>
      <c r="E232" t="s" s="24">
        <v>499</v>
      </c>
      <c r="F232" cm="1" s="27">
        <f t="array" ref="F232">SUMPRODUCT(ISNUMBER(SEARCH(E232,$A$4:$A$36))*N($C$4:$C$36))</f>
        <v>0</v>
      </c>
      <c r="I232" t="s" s="19">
        <v>500</v>
      </c>
      <c r="J232" s="20">
        <v>0</v>
      </c>
    </row>
    <row r="233" ht="16.00" customHeight="true">
      <c r="D233" s="15">
        <f t="shared" si="4"/>
        <v>230</v>
      </c>
      <c r="E233" t="s" s="24">
        <v>501</v>
      </c>
      <c r="F233" cm="1" s="27">
        <f t="array" ref="F233">SUMPRODUCT(ISNUMBER(SEARCH(E233,$A$4:$A$36))*N($C$4:$C$36))</f>
        <v>0</v>
      </c>
      <c r="I233" t="s" s="19">
        <v>502</v>
      </c>
      <c r="J233" s="20">
        <v>0</v>
      </c>
    </row>
    <row r="234" ht="16.00" customHeight="true">
      <c r="D234" s="15">
        <f t="shared" si="4"/>
        <v>231</v>
      </c>
      <c r="E234" t="s" s="24">
        <v>503</v>
      </c>
      <c r="F234" cm="1" s="27">
        <f t="array" ref="F234">SUMPRODUCT(ISNUMBER(SEARCH(E234,$A$4:$A$36))*N($C$4:$C$36))</f>
        <v>0</v>
      </c>
      <c r="I234" t="s" s="19">
        <v>504</v>
      </c>
      <c r="J234" s="20">
        <v>0</v>
      </c>
    </row>
    <row r="235" ht="16.00" customHeight="true">
      <c r="D235" s="15">
        <f t="shared" si="4"/>
        <v>232</v>
      </c>
      <c r="E235" t="s" s="24">
        <v>505</v>
      </c>
      <c r="F235" cm="1" s="27">
        <f t="array" ref="F235">SUMPRODUCT(ISNUMBER(SEARCH(E235,$A$4:$A$36))*N($C$4:$C$36))</f>
        <v>0</v>
      </c>
      <c r="I235" t="s" s="19">
        <v>506</v>
      </c>
      <c r="J235" s="20">
        <v>0</v>
      </c>
    </row>
    <row r="236" ht="16.00" customHeight="true">
      <c r="D236" s="15">
        <f t="shared" si="4"/>
        <v>233</v>
      </c>
      <c r="E236" t="s" s="24">
        <v>507</v>
      </c>
      <c r="F236" cm="1" s="27">
        <f t="array" ref="F236">SUMPRODUCT(ISNUMBER(SEARCH(E236,$A$4:$A$36))*N($C$4:$C$36))</f>
        <v>0</v>
      </c>
      <c r="I236" t="s" s="19">
        <v>508</v>
      </c>
      <c r="J236" s="20">
        <v>0</v>
      </c>
    </row>
    <row r="237" ht="16.00" customHeight="true">
      <c r="D237" s="15">
        <f t="shared" si="4"/>
        <v>234</v>
      </c>
      <c r="E237" t="s" s="24">
        <v>509</v>
      </c>
      <c r="F237" cm="1" s="27">
        <f t="array" ref="F237">SUMPRODUCT(ISNUMBER(SEARCH(E237,$A$4:$A$36))*N($C$4:$C$36))</f>
        <v>0</v>
      </c>
      <c r="I237" t="s" s="19">
        <v>510</v>
      </c>
      <c r="J237" s="20">
        <v>0</v>
      </c>
    </row>
    <row r="238" ht="16.00" customHeight="true">
      <c r="D238" s="15">
        <f t="shared" si="4"/>
        <v>235</v>
      </c>
      <c r="E238" t="s" s="24">
        <v>511</v>
      </c>
      <c r="F238" cm="1" s="27">
        <f t="array" ref="F238">SUMPRODUCT(ISNUMBER(SEARCH(E238,$A$4:$A$36))*N($C$4:$C$36))</f>
        <v>0</v>
      </c>
      <c r="I238" t="s" s="19">
        <v>512</v>
      </c>
      <c r="J238" s="20">
        <v>0</v>
      </c>
    </row>
    <row r="239" ht="16.00" customHeight="true">
      <c r="D239" s="15">
        <f t="shared" si="4"/>
        <v>236</v>
      </c>
      <c r="E239" t="s" s="24">
        <v>513</v>
      </c>
      <c r="F239" cm="1" s="27">
        <f t="array" ref="F239">SUMPRODUCT(ISNUMBER(SEARCH(E239,$A$4:$A$36))*N($C$4:$C$36))</f>
        <v>0</v>
      </c>
      <c r="I239" t="s" s="19">
        <v>514</v>
      </c>
      <c r="J239" s="20">
        <v>0</v>
      </c>
    </row>
    <row r="240" ht="16.00" customHeight="true">
      <c r="D240" s="15">
        <f t="shared" si="4"/>
        <v>237</v>
      </c>
      <c r="E240" t="s" s="24">
        <v>515</v>
      </c>
      <c r="F240" cm="1" s="27">
        <f t="array" ref="F240">SUMPRODUCT(ISNUMBER(SEARCH(E240,$A$4:$A$36))*N($C$4:$C$36))</f>
        <v>0</v>
      </c>
      <c r="I240" t="s" s="19">
        <v>516</v>
      </c>
      <c r="J240" s="20">
        <v>0</v>
      </c>
    </row>
    <row r="241" ht="16.00" customHeight="true">
      <c r="D241" s="15">
        <f t="shared" si="4"/>
        <v>238</v>
      </c>
      <c r="E241" t="s" s="24">
        <v>517</v>
      </c>
      <c r="F241" cm="1" s="27">
        <f t="array" ref="F241">SUMPRODUCT(ISNUMBER(SEARCH(E241,$A$4:$A$36))*N($C$4:$C$36))</f>
        <v>0</v>
      </c>
      <c r="I241" t="s" s="19">
        <v>518</v>
      </c>
      <c r="J241" s="20">
        <v>0</v>
      </c>
    </row>
    <row r="242" ht="16.00" customHeight="true">
      <c r="D242" s="15">
        <f t="shared" si="4"/>
        <v>239</v>
      </c>
      <c r="E242" t="s" s="24">
        <v>519</v>
      </c>
      <c r="F242" cm="1" s="27">
        <f t="array" ref="F242">SUMPRODUCT(ISNUMBER(SEARCH(E242,$A$4:$A$36))*N($C$4:$C$36))</f>
        <v>0</v>
      </c>
      <c r="I242" t="s" s="19">
        <v>520</v>
      </c>
      <c r="J242" s="20">
        <v>0</v>
      </c>
    </row>
    <row r="243" ht="16.00" customHeight="true">
      <c r="D243" s="15">
        <f t="shared" si="4"/>
        <v>240</v>
      </c>
      <c r="E243" t="s" s="24">
        <v>521</v>
      </c>
      <c r="F243" cm="1" s="27">
        <f t="array" ref="F243">SUMPRODUCT(ISNUMBER(SEARCH(E243,$A$4:$A$36))*N($C$4:$C$36))</f>
        <v>0</v>
      </c>
      <c r="I243" t="s" s="19">
        <v>522</v>
      </c>
      <c r="J243" s="20">
        <v>0</v>
      </c>
    </row>
    <row r="244" ht="16.00" customHeight="true">
      <c r="D244" s="15">
        <f t="shared" si="4"/>
        <v>241</v>
      </c>
      <c r="E244" t="s" s="24">
        <v>523</v>
      </c>
      <c r="F244" cm="1" s="27">
        <f t="array" ref="F244">SUMPRODUCT(ISNUMBER(SEARCH(E244,$A$4:$A$36))*N($C$4:$C$36))</f>
        <v>0</v>
      </c>
      <c r="I244" t="s" s="19">
        <v>524</v>
      </c>
      <c r="J244" s="20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DATABASE Countries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2026-05-31T22:39:51Z</dcterms:created>
  <dcterms:modified xsi:type="dcterms:W3CDTF">2026-05-31T22:39:51Z</dcterms:modified>
</cp:coreProperties>
</file>