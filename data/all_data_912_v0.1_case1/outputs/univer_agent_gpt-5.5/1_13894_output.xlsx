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370D6C9-21B3-4DF9-89E6-0539957C4C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NUMERO">Sheet1!$F$14:$G$25</definedName>
    <definedName name="ucode">Sheet1!$J$3:$J$8</definedName>
    <definedName name="UNICODE">Sheet1!$F$14:$F$25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/>
  <c r="K4" i="1"/>
  <c r="K7" i="1"/>
  <c r="J7" i="1"/>
  <c r="K5" i="1"/>
  <c r="J5" i="1"/>
  <c r="F14" i="1"/>
  <c r="K9" i="1"/>
  <c r="J9" i="1"/>
  <c r="K3" i="1"/>
  <c r="J3" i="1"/>
  <c r="K10" i="1"/>
  <c r="J10" i="1"/>
  <c r="J8" i="1"/>
  <c r="K8" i="1"/>
  <c r="K6" i="1"/>
  <c r="J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<sst xmlns="http://schemas.openxmlformats.org/spreadsheetml/2006/main" count="50" uniqueCount="25">
  <si>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PRODUCT</t>
  </si>
  <si>
    <t>NCM</t>
  </si>
  <si>
    <t>MANUFACTURER</t>
  </si>
  <si>
    <t>ORIGIN</t>
  </si>
  <si>
    <t>UCODE</t>
  </si>
  <si>
    <t>UCODENUMBER</t>
  </si>
  <si>
    <t>A</t>
  </si>
  <si>
    <t>8424.20.00</t>
  </si>
  <si>
    <t>ACME</t>
  </si>
  <si>
    <t>CHINA</t>
  </si>
  <si>
    <t>8424.20.00ACMECHINA</t>
  </si>
  <si>
    <t>B</t>
  </si>
  <si>
    <t>C</t>
  </si>
  <si>
    <t>5620.30.00</t>
  </si>
  <si>
    <t>YYYY</t>
  </si>
  <si>
    <t>FRANCE</t>
  </si>
  <si>
    <t>5620.30.00YYYYFRANCE</t>
  </si>
  <si>
    <t>D</t>
  </si>
  <si>
    <t>E</t>
  </si>
  <si>
    <t>F</t>
  </si>
  <si>
    <t>XXX</t>
  </si>
  <si>
    <t>5620.30.00XXXFRANCE</t>
  </si>
  <si>
    <t>G</t>
  </si>
  <si>
    <t>H</t>
  </si>
  <si>
    <t>IFERROR(INDEX(ucode;SMALL(IF(MATCH(ucode;ucode;0)=ROW(INDIRECT("1:"&amp;ROWS(ucode)));MATCH(ucode;ucode;0);"");ROW(INDIRECT("1:"&amp;ROWS(ucode)))));"")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</si>
</sst>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-&quot;R$&quot;\ * #,##0.00_-;\-&quot;R$&quot;\ * #,##0.00_-;_-&quot;R$&quot;\ * &quot;-&quot;??_-;_-@_-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0.00"/>
      <color rgb="FF44546A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7">
    <xf numFmtId="0" fontId="0" fillId="0" borderId="0"/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2" applyNumberFormat="1" fontId="2" applyFont="1" fillId="2" applyFill="1" applyAlignment="1">
      <alignment vertical="center" horizontal="center" wrapText="1"/>
    </xf>
    <xf numFmtId="1" applyNumberFormat="1" fontId="1" applyFont="1" applyAlignment="1">
      <alignment horizontal="center"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</cellStyleXfs>
  <cellXfs count="7">
    <xf numFmtId="0" fontId="0" fillId="0" borderId="0" xfId="0"/>
    <xf xfId="3" quotePrefix="0" pivotButton="0" numFmtId="2" applyNumberFormat="1" fontId="2" applyFont="1" fillId="2" applyFill="1" applyAlignment="1">
      <alignment vertical="center" horizontal="center" wrapText="1"/>
    </xf>
    <xf xfId="2" quotePrefix="0" pivotButton="0" numFmtId="1" applyNumberFormat="1" fontId="1" applyFont="1" applyAlignment="1">
      <alignment/>
    </xf>
    <xf xfId="4" quotePrefix="0" pivotButton="0" numFmtId="1" applyNumberFormat="1" fontId="1" applyFont="1" applyAlignment="1">
      <alignment horizontal="center"/>
    </xf>
    <xf xfId="5" quotePrefix="0" pivotButton="0" numFmtId="1" applyNumberFormat="1" fontId="1" applyFont="1" borderId="2" applyBorder="1" applyAlignment="1">
      <alignment/>
    </xf>
    <xf xfId="6" quotePrefix="0" pivotButton="0" numFmtId="1" applyNumberFormat="1" fontId="1" applyFont="1" borderId="3" applyBorder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6" max="6" width="21.14" customWidth="1" hidden="0"/>
    <col min="7" max="7" width="16.04" customWidth="1" hidden="0"/>
    <col min="8" max="8" width="15.29" customWidth="1" hidden="0"/>
    <col min="9" max="9" width="13.49" customWidth="1" hidden="0"/>
    <col min="10" max="10" width="34.33" customWidth="1" hidden="0"/>
    <col min="11" max="11" width="31.63" customWidth="1" hidden="0"/>
  </cols>
  <sheetData>
    <row r="2" ht="14.00" customHeight="true">
      <c r="F2" t="s" s="1">
        <v>0</v>
      </c>
      <c r="G2" t="s" s="1">
        <v>1</v>
      </c>
      <c r="H2" t="s" s="1">
        <v>2</v>
      </c>
      <c r="I2" t="s" s="1">
        <v>3</v>
      </c>
      <c r="J2" t="s" s="1">
        <v>4</v>
      </c>
      <c r="K2" t="s" s="1">
        <v>5</v>
      </c>
    </row>
    <row r="3" ht="14.00" customHeight="true">
      <c r="F3" t="s" s="2">
        <v>6</v>
      </c>
      <c r="G3" t="s" s="3">
        <v>7</v>
      </c>
      <c r="H3" t="s" s="3">
        <v>8</v>
      </c>
      <c r="I3" t="s" s="3">
        <v>9</v>
      </c>
      <c r="J3" s="3" t="s">
        <f>G3&amp;H3&amp;I3</f>
        <v>10</v>
      </c>
      <c r="K3" cm="1" s="3">
        <f t="array" ref="K3">MATCH(G3&amp;H3&amp;I3,_xlfn.UNIQUE($G$3:$G$10&amp;$H$3:$H$10&amp;$I$3:$I$10),0)</f>
        <v>1</v>
      </c>
    </row>
    <row r="4" ht="14.00" customHeight="true">
      <c r="F4" t="s" s="2">
        <v>11</v>
      </c>
      <c r="G4" t="s" s="3">
        <v>7</v>
      </c>
      <c r="H4" t="s" s="3">
        <v>8</v>
      </c>
      <c r="I4" t="s" s="3">
        <v>9</v>
      </c>
      <c r="J4" s="3" t="s">
        <f ref="J4:J7" t="shared" si="0">G4&amp;H4&amp;I4</f>
        <v>10</v>
      </c>
      <c r="K4" cm="1" s="3">
        <f t="array" ref="K4">MATCH(G4&amp;H4&amp;I4,_xlfn.UNIQUE($G$3:$G$10&amp;$H$3:$H$10&amp;$I$3:$I$10),0)</f>
        <v>1</v>
      </c>
    </row>
    <row r="5" ht="14.00" customHeight="true">
      <c r="F5" t="s" s="2">
        <v>12</v>
      </c>
      <c r="G5" t="s" s="3">
        <v>13</v>
      </c>
      <c r="H5" t="s" s="3">
        <v>14</v>
      </c>
      <c r="I5" t="s" s="3">
        <v>15</v>
      </c>
      <c r="J5" s="3" t="s">
        <f t="shared" si="0"/>
        <v>16</v>
      </c>
      <c r="K5" cm="1" s="3">
        <f t="array" ref="K5">MATCH(G5&amp;H5&amp;I5,_xlfn.UNIQUE($G$3:$G$10&amp;$H$3:$H$10&amp;$I$3:$I$10),0)</f>
        <v>2</v>
      </c>
    </row>
    <row r="6" ht="14.00" customHeight="true">
      <c r="F6" t="s" s="2">
        <v>17</v>
      </c>
      <c r="G6" t="s" s="3">
        <v>7</v>
      </c>
      <c r="H6" t="s" s="3">
        <v>8</v>
      </c>
      <c r="I6" t="s" s="3">
        <v>9</v>
      </c>
      <c r="J6" s="3" t="s">
        <f t="shared" si="0"/>
        <v>10</v>
      </c>
      <c r="K6" cm="1" s="3">
        <f t="array" ref="K6">MATCH(G6&amp;H6&amp;I6,_xlfn.UNIQUE($G$3:$G$10&amp;$H$3:$H$10&amp;$I$3:$I$10),0)</f>
        <v>1</v>
      </c>
    </row>
    <row r="7" ht="14.00" customHeight="true">
      <c r="F7" t="s" s="2">
        <v>18</v>
      </c>
      <c r="G7" t="s" s="3">
        <v>7</v>
      </c>
      <c r="H7" t="s" s="3">
        <v>8</v>
      </c>
      <c r="I7" t="s" s="3">
        <v>9</v>
      </c>
      <c r="J7" s="3" t="s">
        <f t="shared" si="0"/>
        <v>10</v>
      </c>
      <c r="K7" cm="1" s="3">
        <f t="array" ref="K7">MATCH(G7&amp;H7&amp;I7,_xlfn.UNIQUE($G$3:$G$10&amp;$H$3:$H$10&amp;$I$3:$I$10),0)</f>
        <v>1</v>
      </c>
    </row>
    <row r="8" ht="14.00" customHeight="true">
      <c r="F8" t="s" s="2">
        <v>19</v>
      </c>
      <c r="G8" t="s" s="3">
        <v>13</v>
      </c>
      <c r="H8" t="s" s="3">
        <v>20</v>
      </c>
      <c r="I8" t="s" s="3">
        <v>15</v>
      </c>
      <c r="J8" s="3" t="s">
        <f ref="J8:J10" t="shared" si="1">G8&amp;H8&amp;I8</f>
        <v>21</v>
      </c>
      <c r="K8" cm="1" s="3">
        <f t="array" ref="K8">MATCH(G8&amp;H8&amp;I8,_xlfn.UNIQUE($G$3:$G$10&amp;$H$3:$H$10&amp;$I$3:$I$10),0)</f>
        <v>3</v>
      </c>
    </row>
    <row r="9" ht="14.00" customHeight="true">
      <c r="F9" t="s" s="2">
        <v>22</v>
      </c>
      <c r="G9" t="s" s="3">
        <v>13</v>
      </c>
      <c r="H9" t="s" s="3">
        <v>20</v>
      </c>
      <c r="I9" t="s" s="3">
        <v>15</v>
      </c>
      <c r="J9" s="3" t="s">
        <f t="shared" si="1"/>
        <v>21</v>
      </c>
      <c r="K9" cm="1" s="3">
        <f t="array" ref="K9">MATCH(G9&amp;H9&amp;I9,_xlfn.UNIQUE($G$3:$G$10&amp;$H$3:$H$10&amp;$I$3:$I$10),0)</f>
        <v>3</v>
      </c>
    </row>
    <row r="10" ht="14.00" customHeight="true">
      <c r="F10" t="s" s="2">
        <v>23</v>
      </c>
      <c r="G10" t="s" s="3">
        <v>13</v>
      </c>
      <c r="H10" t="s" s="3">
        <v>14</v>
      </c>
      <c r="I10" t="s" s="3">
        <v>15</v>
      </c>
      <c r="J10" s="3" t="s">
        <f t="shared" si="1"/>
        <v>16</v>
      </c>
      <c r="K10" cm="1" s="3">
        <f t="array" ref="K10">MATCH(G10&amp;H10&amp;I10,_xlfn.UNIQUE($G$3:$G$10&amp;$H$3:$H$10&amp;$I$3:$I$10),0)</f>
        <v>2</v>
      </c>
    </row>
    <row r="12" ht="14.00" customHeight="true">
      <c r="F12" t="s" s="2">
        <v>24</v>
      </c>
    </row>
    <row r="14" ht="14.00" customHeight="true">
      <c r="F14" cm="1" s="4" t="s">
        <f t="array" ref="F14:F19">IFERROR(INDEX(ucode,SMALL(IF(MATCH(ucode,ucode,0)=ROW(INDIRECT("1:"&amp;ROWS(ucode))),MATCH(ucode,ucode,0),""),ROW(INDIRECT("1:"&amp;ROWS(ucode))))),"")</f>
        <v>10</v>
      </c>
      <c r="G14" s="2">
        <v>1</v>
      </c>
    </row>
    <row r="15" ht="14.00" customHeight="true">
      <c r="F15" t="s" s="5">
        <v>16</v>
      </c>
      <c r="G15" s="2">
        <v>2</v>
      </c>
    </row>
    <row r="16" ht="14.00" customHeight="true">
      <c r="F16" t="s" s="5">
        <v>21</v>
      </c>
      <c r="G16" s="2">
        <v>3</v>
      </c>
    </row>
    <row r="17" ht="14.00" customHeight="true">
      <c r="F17" t="s" s="5"/>
    </row>
    <row r="18" ht="14.00" customHeight="true">
      <c r="F18" t="s" s="5"/>
    </row>
    <row r="19" ht="14.00" customHeight="true">
      <c r="F19" t="s" s="5"/>
    </row>
    <row r="20" ht="14.00" customHeight="true">
      <c r="F20" s="5"/>
    </row>
    <row r="21" ht="14.00" customHeight="true">
      <c r="F21" s="5"/>
    </row>
    <row r="22" ht="14.00" customHeight="true">
      <c r="F22" s="5"/>
    </row>
    <row r="23" ht="14.00" customHeight="true">
      <c r="F23" s="5"/>
    </row>
    <row r="24" ht="14.00" customHeight="true">
      <c r="F24" s="5"/>
    </row>
    <row r="25" ht="14.75" customHeight="true">
      <c r="F25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2026-05-31T21:46:02Z</dcterms:created>
  <dcterms:modified xsi:type="dcterms:W3CDTF">2026-05-31T21:46:02Z</dcterms:modified>
</cp:coreProperties>
</file>