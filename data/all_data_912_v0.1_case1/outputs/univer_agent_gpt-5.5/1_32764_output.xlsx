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FA891A9-3CCD-45BA-8E5E-BFA6705555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/>
  <c r="D11" i="1"/>
  <c r="D7" i="1"/>
  <c r="E7" i="1"/>
  <c r="D9" i="1"/>
  <c r="D10" i="1"/>
</calcChain>
</file>

<file path=xl/sharedStrings.xml><?xml version="1.0" encoding="utf-8"?>
<sst xmlns="http://schemas.openxmlformats.org/spreadsheetml/2006/main" count="10" uniqueCount="8">
  <si>
    <t>distance:</t>
  </si>
  <si>
    <t>Slope:</t>
  </si>
  <si>
    <t>runway gradient:</t>
  </si>
  <si>
    <t>dn</t>
  </si>
  <si>
    <t>slope</t>
  </si>
  <si>
    <t>up</t>
  </si>
  <si>
    <t>slope:</t>
  </si>
  <si>
    <t>corrected distance: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</si>
</sst>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2" applyFont="1" applyAlignment="1">
      <alignment/>
    </xf>
    <xf numFmtId="1" applyNumberFormat="1" fontId="2" applyFont="1" borderId="2" applyBorder="1" applyAlignment="1">
      <alignment horizontal="center"/>
    </xf>
    <xf numFmtId="1" applyNumberFormat="1" fontId="1" applyFont="1" borderId="3" applyBorder="1" applyAlignment="1">
      <alignment/>
    </xf>
    <xf numFmtId="1" applyNumberFormat="1" fontId="2" applyFont="1" borderId="4" applyBorder="1" applyAlignment="1">
      <alignment horizontal="center"/>
    </xf>
    <xf numFmtId="1" applyNumberFormat="1" fontId="1" applyFont="1" borderId="5" applyBorder="1" applyAlignment="1">
      <alignment horizontal="center"/>
    </xf>
    <xf numFmtId="1" applyNumberFormat="1" fontId="1" applyFont="1" borderId="6" applyBorder="1" applyAlignment="1">
      <alignment horizontal="center"/>
    </xf>
    <xf numFmtId="1" applyNumberFormat="1" fontId="1" applyFont="1" borderId="7" applyBorder="1" applyAlignment="1">
      <alignment horizontal="center"/>
    </xf>
  </cellStyleXfs>
  <cellXfs count="12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1" applyNumberFormat="1" fontId="2" applyFont="1" applyAlignment="1">
      <alignment/>
    </xf>
    <xf xfId="7" quotePrefix="0" pivotButton="0" numFmtId="1" applyNumberFormat="1" fontId="1" applyFont="1" borderId="3" applyBorder="1" applyAlignment="1">
      <alignment/>
    </xf>
    <xf xfId="8" quotePrefix="0" pivotButton="0" numFmtId="1" applyNumberFormat="1" fontId="2" applyFont="1" borderId="4" applyBorder="1" applyAlignment="1">
      <alignment horizontal="center"/>
    </xf>
    <xf xfId="2" quotePrefix="0" pivotButton="0" numFmtId="1" applyNumberFormat="1" fontId="1" applyFont="1" borderId="1" applyBorder="1" applyAlignment="1">
      <alignment horizontal="center"/>
    </xf>
    <xf xfId="9" quotePrefix="0" pivotButton="0" numFmtId="1" applyNumberFormat="1" fontId="1" applyFont="1" borderId="5" applyBorder="1" applyAlignment="1">
      <alignment horizontal="center"/>
    </xf>
    <xf xfId="10" quotePrefix="0" pivotButton="0" numFmtId="1" applyNumberFormat="1" fontId="1" applyFont="1" borderId="6" applyBorder="1" applyAlignment="1">
      <alignment horizontal="center"/>
    </xf>
    <xf xfId="11" quotePrefix="0" pivotButton="0" numFmtId="1" applyNumberFormat="1" fontId="1" applyFont="1" borderId="7" applyBorder="1" applyAlignment="1">
      <alignment horizontal="center"/>
    </xf>
    <xf xfId="3" quotePrefix="0" pivotButton="0" numFmtId="1" applyNumberFormat="1" fontId="1" applyFont="1" applyAlignment="1">
      <alignment horizontal="center"/>
    </xf>
    <xf xfId="4" quotePrefix="0" pivotButton="0" numFmtId="1" applyNumberFormat="1" fontId="1" applyFont="1" borderId="2" applyBorder="1" applyAlignment="1">
      <alignment horizontal="center"/>
    </xf>
    <xf xfId="6" quotePrefix="0" pivotButton="0" numFmtId="1" applyNumberFormat="1" fontId="2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B1" t="s" s="1">
        <v>0</v>
      </c>
      <c r="C1" s="1">
        <v>3000</v>
      </c>
    </row>
    <row r="2" ht="14.00" customHeight="true">
      <c r="B2" t="s" s="1">
        <v>1</v>
      </c>
      <c r="C2" s="1">
        <v>1.2</v>
      </c>
    </row>
    <row r="3" ht="14.00" customHeight="true">
      <c r="A3" t="s" s="1">
        <v>2</v>
      </c>
      <c r="C3" t="s" s="1">
        <v>3</v>
      </c>
      <c r="G3" s="2"/>
    </row>
    <row r="5" ht="14.00" customHeight="true">
      <c r="D5" t="s" s="3">
        <v>4</v>
      </c>
      <c r="E5" s="4">
        <f>C2*5%</f>
        <v>0.06</v>
      </c>
    </row>
    <row r="6" ht="14.75" customHeight="true">
      <c r="D6" t="s" s="5">
        <v>5</v>
      </c>
      <c r="E6" t="s" s="6">
        <v>3</v>
      </c>
    </row>
    <row r="7" ht="14.75" customHeight="true">
      <c r="D7" s="7">
        <f>C1*E5</f>
        <v>180</v>
      </c>
      <c r="E7" s="8">
        <f>C1*E5</f>
        <v>180</v>
      </c>
    </row>
    <row r="8" ht="14.75" customHeight="true">
      <c r="D8" s="9"/>
      <c r="E8" s="9"/>
    </row>
    <row r="9" ht="14.75" customHeight="true">
      <c r="C9" t="s" s="1">
        <v>0</v>
      </c>
      <c r="D9" s="10">
        <f>C1</f>
        <v>3000</v>
      </c>
      <c r="E9" s="9"/>
    </row>
    <row r="10" ht="14.00" customHeight="true">
      <c r="C10" t="s" s="1">
        <v>6</v>
      </c>
      <c r="D10" s="10">
        <f>IF(C3="up",D7,IF(C3="dn",-E7,""))</f>
        <v>-180</v>
      </c>
    </row>
    <row r="11" ht="14.75" customHeight="true">
      <c r="B11" t="s" s="1">
        <v>7</v>
      </c>
      <c r="D11" s="11">
        <f>C1+D10</f>
        <v>2820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2026-05-31T22:11:52Z</dcterms:created>
  <dcterms:modified xsi:type="dcterms:W3CDTF">2026-05-31T22:11:52Z</dcterms:modified>
</cp:coreProperties>
</file>