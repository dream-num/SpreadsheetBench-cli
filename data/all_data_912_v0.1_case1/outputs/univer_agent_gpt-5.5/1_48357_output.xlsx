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476BA1-2C41-434B-B757-AEB9B37185DF}" xr6:coauthVersionLast="47" xr6:coauthVersionMax="47" xr10:uidLastSave="{00000000-0000-0000-0000-000000000000}"/>
  <bookViews>
    <workbookView xWindow="0" yWindow="0" windowWidth="22260" windowHeight="12645" xr2:uid="{00000000-000D-0000-FFFF-FFFF00000000}" activeTab="2"/>
  </bookViews>
  <sheets>
    <sheet name="Dashboard 2" sheetId="1" r:id="rId1" state="hidden"/>
    <sheet name="Data 2" sheetId="2" r:id="rId2" state="hidden"/>
    <sheet name="Sample" sheetId="3" r:id="rId3"/>
    <sheet name="Dashboard" sheetId="4" r:id="rId4" state="hidden"/>
    <sheet name="Data" sheetId="5" r:id="rId5" state="hidden"/>
    <sheet name="Sheet2" sheetId="6" r:id="rId6" state="hidden"/>
  </sheets>
  <definedNames>
    <definedName name="_xlnm._FilterDatabase" localSheetId="0" hidden="true">'Data 2'!$A$1:$P$21</definedName>
    <definedName name="Slicer_Required_Date1">#N/A</definedName>
    <definedName name="Slicer_Quarter">#N/A</definedName>
    <definedName name="Slicer_Month">#N/A</definedName>
    <definedName name="Slicer_Year">#N/A</definedName>
    <definedName name="Slicer_Required_Date">#N/A</definedName>
    <definedName name="Slicer_Short">#N/A</definedName>
    <definedName name="Slicer_Quarters">#N/A</definedName>
    <definedName name="Slicer_Years">#N/A</definedName>
    <definedName name="Slicer_Short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/>
  <c r="G11" i="5"/>
  <c r="F21" i="5"/>
  <c r="G21" i="5"/>
  <c r="F12" i="5"/>
  <c r="G12" i="5"/>
  <c r="F9" i="5"/>
  <c r="G9" i="5"/>
  <c r="G2" i="5"/>
  <c r="F2" i="5"/>
  <c r="F15" i="5"/>
  <c r="G15" i="5"/>
  <c r="F17" i="5"/>
  <c r="G17" i="5"/>
  <c r="F7" i="5"/>
  <c r="G7" i="5"/>
  <c r="F13" i="5"/>
  <c r="G13" i="5"/>
  <c r="F19" i="5"/>
  <c r="G19" i="5"/>
  <c r="F4" i="5"/>
  <c r="G4" i="5"/>
  <c r="F16" i="5"/>
  <c r="G16" i="5"/>
  <c r="F6" i="5"/>
  <c r="G6" i="5"/>
  <c r="F18" i="5"/>
  <c r="G18" i="5"/>
  <c r="F8" i="5"/>
  <c r="G8" i="5"/>
  <c r="F20" i="5"/>
  <c r="G20" i="5"/>
  <c r="F3" i="5"/>
  <c r="G3" i="5"/>
  <c r="F10" i="5"/>
  <c r="G10" i="5"/>
  <c r="F5" i="5"/>
  <c r="G5" i="5"/>
  <c r="F14" i="5"/>
  <c r="G14" i="5"/>
  <c r="P11" i="2"/>
  <c r="O11" i="2"/>
  <c r="N11" i="2"/>
  <c r="H11" i="2"/>
  <c r="G11" i="2"/>
  <c r="H18" i="2"/>
  <c r="G18" i="2"/>
  <c r="P18" i="2"/>
  <c r="O18" i="2"/>
  <c r="N18" i="2"/>
  <c r="P15" i="2"/>
  <c r="O15" i="2"/>
  <c r="N15" i="2"/>
  <c r="H15" i="2"/>
  <c r="G15" i="2"/>
  <c r="P17" i="2"/>
  <c r="O17" i="2"/>
  <c r="N17" i="2"/>
  <c r="H17" i="2"/>
  <c r="G17" i="2"/>
  <c r="G13" i="2"/>
  <c r="P13" i="2"/>
  <c r="O13" i="2"/>
  <c r="N13" i="2"/>
  <c r="H13" i="2"/>
  <c r="N9" i="2"/>
  <c r="H9" i="2"/>
  <c r="G9" i="2"/>
  <c r="P9" i="2"/>
  <c r="O9" i="2"/>
  <c r="P21" i="2"/>
  <c r="O21" i="2"/>
  <c r="N21" i="2"/>
  <c r="H21" i="2"/>
  <c r="G21" i="2"/>
  <c r="H20" i="2"/>
  <c r="G20" i="2"/>
  <c r="P20" i="2"/>
  <c r="O20" i="2"/>
  <c r="N20" i="2"/>
  <c r="G3" i="2"/>
  <c r="P3" i="2"/>
  <c r="O3" i="2"/>
  <c r="N3" i="2"/>
  <c r="H3" i="2"/>
  <c r="P8" i="2"/>
  <c r="O8" i="2"/>
  <c r="N8" i="2"/>
  <c r="H8" i="2"/>
  <c r="G8" i="2"/>
  <c r="O6" i="2"/>
  <c r="N6" i="2"/>
  <c r="H6" i="2"/>
  <c r="G6" i="2"/>
  <c r="P6" i="2"/>
  <c r="H5" i="2"/>
  <c r="G5" i="2"/>
  <c r="P5" i="2"/>
  <c r="O5" i="2"/>
  <c r="N5" i="2"/>
  <c r="N19" i="2"/>
  <c r="H19" i="2"/>
  <c r="G19" i="2"/>
  <c r="P19" i="2"/>
  <c r="O19" i="2"/>
  <c r="N12" i="2"/>
  <c r="H12" i="2"/>
  <c r="G12" i="2"/>
  <c r="P12" i="2"/>
  <c r="O12" i="2"/>
  <c r="N2" i="2"/>
  <c r="G2" i="2"/>
  <c r="H2" i="2"/>
  <c r="P2" i="2"/>
  <c r="O2" i="2"/>
  <c r="G14" i="2"/>
  <c r="P14" i="2"/>
  <c r="O14" i="2"/>
  <c r="N14" i="2"/>
  <c r="H14" i="2"/>
  <c r="O10" i="2"/>
  <c r="N10" i="2"/>
  <c r="H10" i="2"/>
  <c r="G10" i="2"/>
  <c r="P10" i="2"/>
  <c r="N16" i="2"/>
  <c r="H16" i="2"/>
  <c r="G16" i="2"/>
  <c r="P16" i="2"/>
  <c r="O16" i="2"/>
  <c r="N7" i="2"/>
  <c r="H7" i="2"/>
  <c r="G7" i="2"/>
  <c r="P7" i="2"/>
  <c r="O7" i="2"/>
  <c r="P4" i="2"/>
  <c r="O4" i="2"/>
  <c r="N4" i="2"/>
  <c r="H4" i="2"/>
  <c r="G4" i="2"/>
</calcChain>
</file>

<file path=xl/sharedStrings.xml><?xml version="1.0" encoding="utf-8"?>
<sst xmlns="http://schemas.openxmlformats.org/spreadsheetml/2006/main" count="127" uniqueCount="40">
  <si>
    <t>Part #</t>
  </si>
  <si>
    <t>Bal Due</t>
  </si>
  <si>
    <t>Act. OH (incl PO)</t>
  </si>
  <si>
    <t> Period Shortage</t>
  </si>
  <si>
    <t>Grand Total</t>
  </si>
  <si>
    <t>Part</t>
  </si>
  <si>
    <t>BalDue</t>
  </si>
  <si>
    <t>Job #</t>
  </si>
  <si>
    <t>Required Date</t>
  </si>
  <si>
    <t>Total OH</t>
  </si>
  <si>
    <t>Actual OH</t>
  </si>
  <si>
    <t>Period Shortage</t>
  </si>
  <si>
    <t>Short</t>
  </si>
  <si>
    <t>DMR</t>
  </si>
  <si>
    <t>RII</t>
  </si>
  <si>
    <t>PO</t>
  </si>
  <si>
    <t>Qty</t>
  </si>
  <si>
    <t>PO Due</t>
  </si>
  <si>
    <t>Year</t>
  </si>
  <si>
    <t>Quarter</t>
  </si>
  <si>
    <t>Month</t>
  </si>
  <si>
    <t>Fulfilled</t>
  </si>
  <si>
    <t>Q1</t>
  </si>
  <si>
    <t>Feb</t>
  </si>
  <si>
    <t>Mar</t>
  </si>
  <si>
    <t>Q2</t>
  </si>
  <si>
    <t>May</t>
  </si>
  <si>
    <t>Q3</t>
  </si>
  <si>
    <t>Jul</t>
  </si>
  <si>
    <t>Q4</t>
  </si>
  <si>
    <t>Oct</t>
  </si>
  <si>
    <t>Nov</t>
  </si>
  <si>
    <t>Dec</t>
  </si>
  <si>
    <t>15/5/2022</t>
  </si>
  <si>
    <t>Jan</t>
  </si>
  <si>
    <t>Reqd</t>
  </si>
  <si>
    <t>Remaining OH</t>
  </si>
  <si>
    <t>Job#</t>
  </si>
  <si>
    <t>OH</t>
  </si>
  <si>
    <t>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</si>
</sst>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1" applyNumberFormat="1" fontId="1" applyFont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/>
    </xf>
    <xf numFmtId="2" applyNumberFormat="1" fontId="1" applyFont="1" applyAlignment="1">
      <alignment horizontal="center"/>
    </xf>
  </cellStyleXfs>
  <cellXfs count="15">
    <xf numFmtId="0" fontId="0" fillId="0" borderId="0" xfId="0"/>
    <xf xfId="6" quotePrefix="0" pivotButton="0" numFmtId="1" applyNumberFormat="1" fontId="1" applyFont="1" applyAlignment="1">
      <alignment/>
    </xf>
    <xf xfId="8" quotePrefix="0" pivotButton="0" numFmtId="1" applyNumberFormat="1" fontId="1" applyFont="1" applyAlignment="1">
      <alignment horizontal="left"/>
    </xf>
    <xf xfId="13" quotePrefix="0" pivotButton="0" numFmtId="1" applyNumberFormat="1" fontId="1" applyFont="1" applyAlignment="1">
      <alignment/>
    </xf>
    <xf xfId="11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  <xf xfId="12" quotePrefix="0" pivotButton="0" numFmtId="1" applyNumberFormat="1" fontId="1" applyFont="1" fillId="2" applyFill="1" applyAlignment="1">
      <alignment horizontal="center"/>
    </xf>
    <xf xfId="2" quotePrefix="0" pivotButton="0" numFmtId="1" applyNumberFormat="1" fontId="1" applyFont="1" fillId="2" applyFill="1" applyAlignment="1">
      <alignment horizontal="center"/>
    </xf>
    <xf xfId="10" quotePrefix="0" pivotButton="0" numFmtId="2" applyNumberFormat="1" fontId="1" applyFont="1" applyAlignment="1">
      <alignment horizontal="center"/>
    </xf>
    <xf xfId="7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 horizontal="center"/>
    </xf>
    <xf xfId="9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 horizontal="center"/>
    </xf>
    <xf xfId="14" quotePrefix="0" pivotButton="0" numFmtId="2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theme" Target="theme/theme1.xml"/>
<Relationship Id="rId8" Type="http://schemas.openxmlformats.org/officeDocument/2006/relationships/sharedStrings" Target="sharedStrings.xml"/>
<Relationship Id="rId9" Type="http://schemas.openxmlformats.org/officeDocument/2006/relationships/styles" Target="styles.xml"/>
<Relationship Id="rId10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51" customWidth="1" hidden="0"/>
    <col min="2" max="2" width="7.15" customWidth="1" hidden="0"/>
    <col min="3" max="4" width="14.72" customWidth="1" hidden="0"/>
    <col min="5" max="5" width="14.43" customWidth="1" hidden="0"/>
  </cols>
  <sheetData>
    <row r="3" ht="14.00" customHeight="true">
      <c r="A3" t="s" s="1">
        <v>0</v>
      </c>
      <c r="B3" t="s" s="1">
        <v>1</v>
      </c>
      <c r="C3" t="s" s="1">
        <v>2</v>
      </c>
      <c r="D3" t="s" s="1">
        <v>3</v>
      </c>
    </row>
    <row r="4" ht="14.00" customHeight="true">
      <c r="A4" s="2">
        <v>101</v>
      </c>
      <c r="B4" s="3">
        <v>16</v>
      </c>
      <c r="C4" s="3">
        <v>17</v>
      </c>
      <c r="D4" s="3">
        <v>1</v>
      </c>
    </row>
    <row r="5" ht="14.00" customHeight="true">
      <c r="A5" s="2">
        <v>102</v>
      </c>
      <c r="B5" s="3">
        <v>18</v>
      </c>
      <c r="C5" s="3">
        <v>9</v>
      </c>
      <c r="D5" s="3">
        <v>-9</v>
      </c>
    </row>
    <row r="6" ht="14.00" customHeight="true">
      <c r="A6" s="2">
        <v>103</v>
      </c>
      <c r="B6" s="3">
        <v>10</v>
      </c>
      <c r="C6" s="3">
        <v>5</v>
      </c>
      <c r="D6" s="3">
        <v>-5</v>
      </c>
    </row>
    <row r="7" ht="14.00" customHeight="true">
      <c r="A7" s="2">
        <v>104</v>
      </c>
      <c r="B7" s="3">
        <v>30</v>
      </c>
      <c r="C7" s="3">
        <v>6</v>
      </c>
      <c r="D7" s="3">
        <v>-24</v>
      </c>
    </row>
    <row r="8" ht="14.00" customHeight="true">
      <c r="A8" s="2">
        <v>105</v>
      </c>
      <c r="B8" s="3">
        <v>29</v>
      </c>
      <c r="C8" s="3">
        <v>8</v>
      </c>
      <c r="D8" s="3">
        <v>-21</v>
      </c>
    </row>
    <row r="9" ht="14.00" customHeight="true">
      <c r="A9" s="2">
        <v>106</v>
      </c>
      <c r="B9" s="3">
        <v>3</v>
      </c>
      <c r="C9" s="3">
        <v>0</v>
      </c>
      <c r="D9" s="3">
        <v>-3</v>
      </c>
    </row>
    <row r="10" ht="14.00" customHeight="true">
      <c r="A10" s="2">
        <v>108</v>
      </c>
      <c r="B10" s="3">
        <v>6</v>
      </c>
      <c r="C10" s="3">
        <v>3</v>
      </c>
      <c r="D10" s="3">
        <v>-3</v>
      </c>
    </row>
    <row r="11" ht="14.00" customHeight="true">
      <c r="A11" s="2">
        <v>109</v>
      </c>
      <c r="B11" s="3">
        <v>4</v>
      </c>
      <c r="C11" s="3">
        <v>4</v>
      </c>
      <c r="D11" s="3">
        <v>0</v>
      </c>
    </row>
    <row r="12" ht="14.00" customHeight="true">
      <c r="A12" s="2">
        <v>110</v>
      </c>
      <c r="B12" s="3">
        <v>21</v>
      </c>
      <c r="C12" s="3">
        <v>32</v>
      </c>
      <c r="D12" s="3">
        <v>11</v>
      </c>
    </row>
    <row r="13" ht="14.00" customHeight="true">
      <c r="A13" s="2">
        <v>112</v>
      </c>
      <c r="B13" s="3">
        <v>14</v>
      </c>
      <c r="C13" s="3">
        <v>10</v>
      </c>
      <c r="D13" s="3">
        <v>-4</v>
      </c>
    </row>
    <row r="14" ht="14.00" customHeight="true">
      <c r="A14" s="2">
        <v>113</v>
      </c>
      <c r="B14" s="3">
        <v>25</v>
      </c>
      <c r="C14" s="3">
        <v>6</v>
      </c>
      <c r="D14" s="3">
        <v>-19</v>
      </c>
    </row>
    <row r="15" ht="14.00" customHeight="true">
      <c r="A15" s="2">
        <v>114</v>
      </c>
      <c r="B15" s="3">
        <v>7</v>
      </c>
      <c r="C15" s="3">
        <v>4</v>
      </c>
      <c r="D15" s="3">
        <v>-3</v>
      </c>
    </row>
    <row r="16" ht="14.00" customHeight="true">
      <c r="A16" s="2">
        <v>116</v>
      </c>
      <c r="B16" s="3">
        <v>14</v>
      </c>
      <c r="C16" s="3">
        <v>15</v>
      </c>
      <c r="D16" s="3">
        <v>1</v>
      </c>
    </row>
    <row r="17" ht="14.00" customHeight="true">
      <c r="A17" s="2">
        <v>117</v>
      </c>
      <c r="B17" s="3">
        <v>16</v>
      </c>
      <c r="C17" s="3">
        <v>10</v>
      </c>
      <c r="D17" s="3">
        <v>-6</v>
      </c>
    </row>
    <row r="18" ht="14.00" customHeight="true">
      <c r="A18" s="2">
        <v>118</v>
      </c>
      <c r="B18" s="3">
        <v>8</v>
      </c>
      <c r="C18" s="3">
        <v>5</v>
      </c>
      <c r="D18" s="3">
        <v>-3</v>
      </c>
    </row>
    <row r="19" ht="14.00" customHeight="true">
      <c r="A19" s="2">
        <v>120</v>
      </c>
      <c r="B19" s="3">
        <v>2</v>
      </c>
      <c r="C19" s="3">
        <v>2</v>
      </c>
      <c r="D19" s="3">
        <v>0</v>
      </c>
    </row>
    <row r="20" ht="14.00" customHeight="true">
      <c r="A20" t="s" s="2">
        <v>4</v>
      </c>
      <c r="B20" s="3">
        <v>223</v>
      </c>
      <c r="C20" s="3">
        <v>136</v>
      </c>
      <c r="D20" s="3">
        <v>-87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54" customWidth="1" hidden="0"/>
    <col min="2" max="2" width="11.07" customWidth="1" hidden="0"/>
    <col min="3" max="3" width="9.53" customWidth="1" hidden="0"/>
    <col min="4" max="4" width="16.68" customWidth="1" hidden="0"/>
    <col min="5" max="5" width="12.47" customWidth="1" hidden="0"/>
    <col min="6" max="6" width="20.32" customWidth="1" hidden="0"/>
    <col min="7" max="7" width="18.08" customWidth="1" hidden="0"/>
    <col min="8" max="8" width="9.53" customWidth="1" hidden="0"/>
    <col min="9" max="9" width="9.25" customWidth="1" hidden="0"/>
    <col min="10" max="11" width="7.56" customWidth="1" hidden="0"/>
    <col min="12" max="12" width="8.13" customWidth="1" hidden="0"/>
    <col min="13" max="13" width="11.21" customWidth="1" hidden="0"/>
    <col min="14" max="14" width="8.97" customWidth="1" hidden="0"/>
    <col min="15" max="15" width="11.49" customWidth="1" hidden="0"/>
    <col min="16" max="16" width="10.65" customWidth="1" hidden="0"/>
  </cols>
  <sheetData>
    <row r="1" ht="14.00" customHeight="true">
      <c r="A1" t="s" s="4">
        <v>5</v>
      </c>
      <c r="B1" t="s" s="4">
        <v>6</v>
      </c>
      <c r="C1" t="s" s="4">
        <v>7</v>
      </c>
      <c r="D1" t="s" s="4">
        <v>8</v>
      </c>
      <c r="E1" t="s" s="5">
        <v>9</v>
      </c>
      <c r="F1" t="s" s="6">
        <v>10</v>
      </c>
      <c r="G1" t="s" s="5">
        <v>11</v>
      </c>
      <c r="H1" t="s" s="5">
        <v>12</v>
      </c>
      <c r="I1" t="s" s="5">
        <v>13</v>
      </c>
      <c r="J1" t="s" s="5">
        <v>14</v>
      </c>
      <c r="K1" t="s" s="5">
        <v>15</v>
      </c>
      <c r="L1" t="s" s="5">
        <v>16</v>
      </c>
      <c r="M1" t="s" s="5">
        <v>17</v>
      </c>
      <c r="N1" t="s" s="5">
        <v>18</v>
      </c>
      <c r="O1" t="s" s="5">
        <v>19</v>
      </c>
      <c r="P1" t="s" s="5">
        <v>20</v>
      </c>
    </row>
    <row r="2" ht="14.00" customHeight="true">
      <c r="A2" s="7">
        <v>102</v>
      </c>
      <c r="B2" s="4">
        <v>5</v>
      </c>
      <c r="C2" s="7">
        <v>301</v>
      </c>
      <c r="D2" s="8">
        <v>44242</v>
      </c>
      <c r="E2" s="5">
        <v>10</v>
      </c>
      <c r="F2" s="6"/>
      <c r="G2" s="5">
        <f>E2-B2</f>
        <v>5</v>
      </c>
      <c r="H2" s="5" t="s">
        <f ref="H2:H21" t="shared" si="5">IF(G2&lt;0,"Short","Fulfilled")</f>
        <v>21</v>
      </c>
      <c r="I2" s="5">
        <v>0</v>
      </c>
      <c r="J2" s="5">
        <v>0</v>
      </c>
      <c r="K2" s="5">
        <v>201</v>
      </c>
      <c r="L2" s="5">
        <v>0</v>
      </c>
      <c r="M2" s="8">
        <v>44586</v>
      </c>
      <c r="N2" s="4">
        <f ref="N2:N21" t="shared" si="4">YEAR(D2)</f>
        <v>2021</v>
      </c>
      <c r="O2" s="1" t="s">
        <f ref="O2:O21" t="shared" si="3">"Q"&amp;ROUNDUP(MONTH(D2)/3,0)</f>
        <v>22</v>
      </c>
      <c r="P2" s="1" t="s">
        <f ref="P2:P21" t="shared" si="2">TEXT(D2,"mmm")</f>
        <v>23</v>
      </c>
    </row>
    <row r="3" ht="14.00" customHeight="true">
      <c r="A3" s="4">
        <v>101</v>
      </c>
      <c r="B3" s="4">
        <v>12</v>
      </c>
      <c r="C3" s="4">
        <v>302</v>
      </c>
      <c r="D3" s="8">
        <v>44270</v>
      </c>
      <c r="E3" s="5">
        <v>12</v>
      </c>
      <c r="F3" s="6"/>
      <c r="G3" s="5">
        <f ref="G3:G21" t="shared" si="6">E3-B3</f>
        <v>0</v>
      </c>
      <c r="H3" s="5" t="s">
        <f t="shared" si="5"/>
        <v>21</v>
      </c>
      <c r="I3" s="5">
        <v>0</v>
      </c>
      <c r="J3" s="5">
        <v>4</v>
      </c>
      <c r="K3" s="5">
        <v>202</v>
      </c>
      <c r="L3" s="5">
        <v>0</v>
      </c>
      <c r="M3" s="8">
        <v>44719</v>
      </c>
      <c r="N3" s="4">
        <f t="shared" si="4"/>
        <v>2021</v>
      </c>
      <c r="O3" s="1" t="s">
        <f t="shared" si="3"/>
        <v>22</v>
      </c>
      <c r="P3" s="1" t="s">
        <f t="shared" si="2"/>
        <v>24</v>
      </c>
    </row>
    <row r="4" ht="14.00" customHeight="true">
      <c r="A4" s="4">
        <v>112</v>
      </c>
      <c r="B4" s="4">
        <v>14</v>
      </c>
      <c r="C4" s="4">
        <v>306</v>
      </c>
      <c r="D4" s="8">
        <v>44331</v>
      </c>
      <c r="E4" s="5">
        <v>10</v>
      </c>
      <c r="F4" s="6"/>
      <c r="G4" s="5">
        <f t="shared" si="6"/>
        <v>-4</v>
      </c>
      <c r="H4" s="5" t="s">
        <f t="shared" si="5"/>
        <v>12</v>
      </c>
      <c r="I4" s="5">
        <v>5</v>
      </c>
      <c r="J4" s="5">
        <v>0</v>
      </c>
      <c r="K4" s="5">
        <v>204</v>
      </c>
      <c r="L4" s="5">
        <v>0</v>
      </c>
      <c r="M4" s="8">
        <v>44566</v>
      </c>
      <c r="N4" s="4">
        <f t="shared" si="4"/>
        <v>2021</v>
      </c>
      <c r="O4" s="1" t="s">
        <f t="shared" si="3"/>
        <v>25</v>
      </c>
      <c r="P4" s="1" t="s">
        <f t="shared" si="2"/>
        <v>26</v>
      </c>
    </row>
    <row r="5" ht="14.00" customHeight="true">
      <c r="A5" s="4">
        <v>118</v>
      </c>
      <c r="B5" s="4">
        <v>8</v>
      </c>
      <c r="C5" s="4">
        <v>309</v>
      </c>
      <c r="D5" s="8">
        <v>44390</v>
      </c>
      <c r="E5" s="5">
        <v>5</v>
      </c>
      <c r="F5" s="6"/>
      <c r="G5" s="5">
        <f t="shared" si="6"/>
        <v>-3</v>
      </c>
      <c r="H5" s="5" t="s">
        <f t="shared" si="5"/>
        <v>12</v>
      </c>
      <c r="I5" s="5">
        <v>0</v>
      </c>
      <c r="J5" s="5">
        <v>0</v>
      </c>
      <c r="K5" s="5">
        <v>206</v>
      </c>
      <c r="L5" s="5">
        <v>1</v>
      </c>
      <c r="M5" s="8">
        <v>44600</v>
      </c>
      <c r="N5" s="4">
        <f t="shared" si="4"/>
        <v>2021</v>
      </c>
      <c r="O5" s="1" t="s">
        <f t="shared" si="3"/>
        <v>27</v>
      </c>
      <c r="P5" s="1" t="s">
        <f t="shared" si="2"/>
        <v>28</v>
      </c>
    </row>
    <row r="6" ht="14.00" customHeight="true">
      <c r="A6" s="4">
        <v>105</v>
      </c>
      <c r="B6" s="4">
        <v>9</v>
      </c>
      <c r="C6" s="4">
        <v>308</v>
      </c>
      <c r="D6" s="8">
        <v>44392</v>
      </c>
      <c r="E6" s="5">
        <v>3</v>
      </c>
      <c r="F6" s="6"/>
      <c r="G6" s="5">
        <f t="shared" si="6"/>
        <v>-6</v>
      </c>
      <c r="H6" s="5" t="s">
        <f t="shared" si="5"/>
        <v>12</v>
      </c>
      <c r="I6" s="5">
        <v>0</v>
      </c>
      <c r="J6" s="5">
        <v>0</v>
      </c>
      <c r="K6" s="5">
        <v>205</v>
      </c>
      <c r="L6" s="5">
        <v>12</v>
      </c>
      <c r="M6" s="8">
        <v>44567</v>
      </c>
      <c r="N6" s="4">
        <f t="shared" si="4"/>
        <v>2021</v>
      </c>
      <c r="O6" s="1" t="s">
        <f t="shared" si="3"/>
        <v>27</v>
      </c>
      <c r="P6" s="1" t="s">
        <f t="shared" si="2"/>
        <v>28</v>
      </c>
    </row>
    <row r="7" ht="14.00" customHeight="true">
      <c r="A7" s="4">
        <v>108</v>
      </c>
      <c r="B7" s="4">
        <v>6</v>
      </c>
      <c r="C7" s="4">
        <v>304</v>
      </c>
      <c r="D7" s="8">
        <v>44498</v>
      </c>
      <c r="E7" s="5">
        <v>3</v>
      </c>
      <c r="F7" s="6"/>
      <c r="G7" s="5">
        <f t="shared" si="6"/>
        <v>-3</v>
      </c>
      <c r="H7" s="5" t="s">
        <f t="shared" si="5"/>
        <v>12</v>
      </c>
      <c r="I7" s="5">
        <v>0</v>
      </c>
      <c r="J7" s="5">
        <v>0</v>
      </c>
      <c r="K7" s="5">
        <v>203</v>
      </c>
      <c r="L7" s="5">
        <v>0</v>
      </c>
      <c r="M7" s="8">
        <v>44582</v>
      </c>
      <c r="N7" s="4">
        <f t="shared" si="4"/>
        <v>2021</v>
      </c>
      <c r="O7" s="1" t="s">
        <f t="shared" si="3"/>
        <v>29</v>
      </c>
      <c r="P7" s="1" t="s">
        <f t="shared" si="2"/>
        <v>30</v>
      </c>
    </row>
    <row r="8" ht="14.00" customHeight="true">
      <c r="A8" s="4">
        <v>105</v>
      </c>
      <c r="B8" s="4">
        <v>20</v>
      </c>
      <c r="C8" s="4">
        <v>303</v>
      </c>
      <c r="D8" s="8">
        <v>44515</v>
      </c>
      <c r="E8" s="5">
        <v>5</v>
      </c>
      <c r="F8" s="6"/>
      <c r="G8" s="5">
        <f t="shared" si="6"/>
        <v>-15</v>
      </c>
      <c r="H8" s="5" t="s">
        <f t="shared" si="5"/>
        <v>12</v>
      </c>
      <c r="I8" s="5">
        <v>0</v>
      </c>
      <c r="J8" s="5">
        <v>0</v>
      </c>
      <c r="K8" s="5">
        <v>202</v>
      </c>
      <c r="L8" s="5">
        <v>0</v>
      </c>
      <c r="M8" s="8">
        <v>44575</v>
      </c>
      <c r="N8" s="4">
        <f t="shared" si="4"/>
        <v>2021</v>
      </c>
      <c r="O8" s="1" t="s">
        <f t="shared" si="3"/>
        <v>29</v>
      </c>
      <c r="P8" s="1" t="s">
        <f t="shared" si="2"/>
        <v>31</v>
      </c>
    </row>
    <row r="9" ht="14.00" customHeight="true">
      <c r="A9" s="4">
        <v>114</v>
      </c>
      <c r="B9" s="4">
        <v>7</v>
      </c>
      <c r="C9" s="4">
        <v>307</v>
      </c>
      <c r="D9" s="8">
        <v>44515</v>
      </c>
      <c r="E9" s="5">
        <v>4</v>
      </c>
      <c r="F9" s="6"/>
      <c r="G9" s="5">
        <f t="shared" si="6"/>
        <v>-3</v>
      </c>
      <c r="H9" s="5" t="s">
        <f t="shared" si="5"/>
        <v>12</v>
      </c>
      <c r="I9" s="5">
        <v>0</v>
      </c>
      <c r="J9" s="5">
        <v>0</v>
      </c>
      <c r="K9" s="5">
        <v>205</v>
      </c>
      <c r="L9" s="5">
        <v>0</v>
      </c>
      <c r="M9" s="8">
        <v>44567</v>
      </c>
      <c r="N9" s="4">
        <f t="shared" si="4"/>
        <v>2021</v>
      </c>
      <c r="O9" s="1" t="s">
        <f t="shared" si="3"/>
        <v>29</v>
      </c>
      <c r="P9" s="1" t="s">
        <f t="shared" si="2"/>
        <v>31</v>
      </c>
    </row>
    <row r="10" ht="14.00" customHeight="true">
      <c r="A10" s="4">
        <v>101</v>
      </c>
      <c r="B10" s="4">
        <v>4</v>
      </c>
      <c r="C10" s="4">
        <v>301</v>
      </c>
      <c r="D10" s="8">
        <v>44518</v>
      </c>
      <c r="E10" s="5">
        <v>5</v>
      </c>
      <c r="F10" s="6"/>
      <c r="G10" s="5">
        <f t="shared" si="6"/>
        <v>1</v>
      </c>
      <c r="H10" s="5" t="s">
        <f t="shared" si="5"/>
        <v>21</v>
      </c>
      <c r="I10" s="5">
        <v>50</v>
      </c>
      <c r="J10" s="5">
        <v>0</v>
      </c>
      <c r="K10" s="5">
        <v>201</v>
      </c>
      <c r="L10" s="5">
        <v>5</v>
      </c>
      <c r="M10" s="8">
        <v>44586</v>
      </c>
      <c r="N10" s="4">
        <f t="shared" si="4"/>
        <v>2021</v>
      </c>
      <c r="O10" s="1" t="s">
        <f t="shared" si="3"/>
        <v>29</v>
      </c>
      <c r="P10" s="1" t="s">
        <f t="shared" si="2"/>
        <v>31</v>
      </c>
    </row>
    <row r="11" ht="14.00" customHeight="true">
      <c r="A11" s="4">
        <v>117</v>
      </c>
      <c r="B11" s="4">
        <v>16</v>
      </c>
      <c r="C11" s="4">
        <v>309</v>
      </c>
      <c r="D11" s="8">
        <v>44536</v>
      </c>
      <c r="E11" s="5">
        <v>10</v>
      </c>
      <c r="F11" s="6"/>
      <c r="G11" s="5">
        <f t="shared" si="6"/>
        <v>-6</v>
      </c>
      <c r="H11" s="5" t="s">
        <f t="shared" si="5"/>
        <v>12</v>
      </c>
      <c r="I11" s="5">
        <v>0</v>
      </c>
      <c r="J11" s="5">
        <v>0</v>
      </c>
      <c r="K11" s="5">
        <v>206</v>
      </c>
      <c r="L11" s="5">
        <v>0</v>
      </c>
      <c r="M11" s="8">
        <v>44593</v>
      </c>
      <c r="N11" s="4">
        <f t="shared" si="4"/>
        <v>2021</v>
      </c>
      <c r="O11" s="1" t="s">
        <f t="shared" si="3"/>
        <v>29</v>
      </c>
      <c r="P11" s="1" t="s">
        <f t="shared" si="2"/>
        <v>32</v>
      </c>
    </row>
    <row r="12" ht="14.00" customHeight="true">
      <c r="A12" s="4">
        <v>109</v>
      </c>
      <c r="B12" s="4">
        <v>4</v>
      </c>
      <c r="C12" s="4">
        <v>305</v>
      </c>
      <c r="D12" s="8">
        <v>44537</v>
      </c>
      <c r="E12" s="5">
        <v>4</v>
      </c>
      <c r="F12" s="6"/>
      <c r="G12" s="5">
        <f t="shared" si="6"/>
        <v>0</v>
      </c>
      <c r="H12" s="5" t="s">
        <f t="shared" si="5"/>
        <v>21</v>
      </c>
      <c r="I12" s="5">
        <v>0</v>
      </c>
      <c r="J12" s="5">
        <v>0</v>
      </c>
      <c r="K12" s="5">
        <v>203</v>
      </c>
      <c r="L12" s="5">
        <v>0</v>
      </c>
      <c r="M12" s="8">
        <v>44572</v>
      </c>
      <c r="N12" s="4">
        <f t="shared" si="4"/>
        <v>2021</v>
      </c>
      <c r="O12" s="1" t="s">
        <f t="shared" si="3"/>
        <v>29</v>
      </c>
      <c r="P12" s="1" t="s">
        <f t="shared" si="2"/>
        <v>32</v>
      </c>
    </row>
    <row r="13" ht="14.00" customHeight="true">
      <c r="A13" s="4">
        <v>106</v>
      </c>
      <c r="B13" s="4">
        <v>3</v>
      </c>
      <c r="C13" s="4">
        <v>303</v>
      </c>
      <c r="D13" s="8">
        <v>44540</v>
      </c>
      <c r="E13" s="5">
        <v>0</v>
      </c>
      <c r="F13" s="6"/>
      <c r="G13" s="5">
        <f t="shared" si="6"/>
        <v>-3</v>
      </c>
      <c r="H13" s="5" t="s">
        <f t="shared" si="5"/>
        <v>12</v>
      </c>
      <c r="I13" s="5">
        <v>0</v>
      </c>
      <c r="J13" s="5">
        <v>3</v>
      </c>
      <c r="K13" s="5">
        <v>202</v>
      </c>
      <c r="L13" s="5">
        <v>0</v>
      </c>
      <c r="M13" s="8">
        <v>44575</v>
      </c>
      <c r="N13" s="4">
        <f t="shared" si="4"/>
        <v>2021</v>
      </c>
      <c r="O13" s="1" t="s">
        <f t="shared" si="3"/>
        <v>29</v>
      </c>
      <c r="P13" s="1" t="s">
        <f t="shared" si="2"/>
        <v>32</v>
      </c>
    </row>
    <row r="14" ht="14.00" customHeight="true">
      <c r="A14" s="7">
        <v>102</v>
      </c>
      <c r="B14" s="4">
        <v>8</v>
      </c>
      <c r="C14" s="7">
        <v>306</v>
      </c>
      <c r="D14" s="8">
        <v>44544</v>
      </c>
      <c r="E14" s="5">
        <v>10</v>
      </c>
      <c r="F14" s="6"/>
      <c r="G14" s="5">
        <f t="shared" si="6"/>
        <v>2</v>
      </c>
      <c r="H14" s="5" t="s">
        <f t="shared" si="5"/>
        <v>21</v>
      </c>
      <c r="I14" s="5">
        <v>0</v>
      </c>
      <c r="J14" s="5">
        <v>0</v>
      </c>
      <c r="K14" s="5">
        <v>204</v>
      </c>
      <c r="L14" s="5">
        <v>0</v>
      </c>
      <c r="M14" s="8">
        <v>44642</v>
      </c>
      <c r="N14" s="4">
        <f t="shared" si="4"/>
        <v>2021</v>
      </c>
      <c r="O14" s="1" t="s">
        <f t="shared" si="3"/>
        <v>29</v>
      </c>
      <c r="P14" s="1" t="s">
        <f t="shared" si="2"/>
        <v>32</v>
      </c>
    </row>
    <row r="15" ht="14.00" customHeight="true">
      <c r="A15" s="4">
        <v>103</v>
      </c>
      <c r="B15" s="4">
        <v>10</v>
      </c>
      <c r="C15" s="4">
        <v>302</v>
      </c>
      <c r="D15" s="8">
        <v>44545</v>
      </c>
      <c r="E15" s="5">
        <v>5</v>
      </c>
      <c r="F15" s="6"/>
      <c r="G15" s="5">
        <f t="shared" si="6"/>
        <v>-5</v>
      </c>
      <c r="H15" s="5" t="s">
        <f t="shared" si="5"/>
        <v>12</v>
      </c>
      <c r="I15" s="5">
        <v>0</v>
      </c>
      <c r="J15" s="5">
        <v>0</v>
      </c>
      <c r="K15" s="5">
        <v>201</v>
      </c>
      <c r="L15" s="5">
        <v>0</v>
      </c>
      <c r="M15" s="8">
        <v>44586</v>
      </c>
      <c r="N15" s="4">
        <f t="shared" si="4"/>
        <v>2021</v>
      </c>
      <c r="O15" s="1" t="s">
        <f t="shared" si="3"/>
        <v>29</v>
      </c>
      <c r="P15" s="1" t="s">
        <f t="shared" si="2"/>
        <v>32</v>
      </c>
    </row>
    <row r="16" ht="14.00" customHeight="true">
      <c r="A16" s="4">
        <v>116</v>
      </c>
      <c r="B16" s="4">
        <v>14</v>
      </c>
      <c r="C16" s="4">
        <v>308</v>
      </c>
      <c r="D16" s="8">
        <v>44545</v>
      </c>
      <c r="E16" s="5">
        <v>15</v>
      </c>
      <c r="F16" s="6"/>
      <c r="G16" s="5">
        <f t="shared" si="6"/>
        <v>1</v>
      </c>
      <c r="H16" s="5" t="s">
        <f t="shared" si="5"/>
        <v>21</v>
      </c>
      <c r="I16" s="5">
        <v>0</v>
      </c>
      <c r="J16" s="5">
        <v>0</v>
      </c>
      <c r="K16" s="5">
        <v>206</v>
      </c>
      <c r="L16" s="5">
        <v>0</v>
      </c>
      <c r="M16" s="8">
        <v>44593</v>
      </c>
      <c r="N16" s="4">
        <f t="shared" si="4"/>
        <v>2021</v>
      </c>
      <c r="O16" s="1" t="s">
        <f t="shared" si="3"/>
        <v>29</v>
      </c>
      <c r="P16" s="1" t="s">
        <f t="shared" si="2"/>
        <v>32</v>
      </c>
    </row>
    <row r="17" ht="14.00" customHeight="true">
      <c r="A17" s="7">
        <v>102</v>
      </c>
      <c r="B17" s="4">
        <v>5</v>
      </c>
      <c r="C17" s="7">
        <v>304</v>
      </c>
      <c r="D17" s="8">
        <v>44551</v>
      </c>
      <c r="E17" s="5">
        <v>10</v>
      </c>
      <c r="F17" s="6"/>
      <c r="G17" s="5">
        <f t="shared" si="6"/>
        <v>5</v>
      </c>
      <c r="H17" s="5" t="s">
        <f t="shared" si="5"/>
        <v>21</v>
      </c>
      <c r="I17" s="5">
        <v>20</v>
      </c>
      <c r="J17" s="5">
        <v>0</v>
      </c>
      <c r="K17" s="5">
        <v>203</v>
      </c>
      <c r="L17" s="5">
        <v>2</v>
      </c>
      <c r="M17" s="8">
        <v>44582</v>
      </c>
      <c r="N17" s="4">
        <f t="shared" si="4"/>
        <v>2021</v>
      </c>
      <c r="O17" s="1" t="s">
        <f t="shared" si="3"/>
        <v>29</v>
      </c>
      <c r="P17" s="1" t="s">
        <f t="shared" si="2"/>
        <v>32</v>
      </c>
    </row>
    <row r="18" ht="14.00" customHeight="true">
      <c r="A18" s="4">
        <v>120</v>
      </c>
      <c r="B18" s="4">
        <v>2</v>
      </c>
      <c r="C18" s="4">
        <v>310</v>
      </c>
      <c r="D18" s="8">
        <v>44551</v>
      </c>
      <c r="E18" s="5">
        <v>2</v>
      </c>
      <c r="F18" s="6"/>
      <c r="G18" s="5">
        <f t="shared" si="6"/>
        <v>0</v>
      </c>
      <c r="H18" s="5" t="s">
        <f t="shared" si="5"/>
        <v>21</v>
      </c>
      <c r="I18" s="5">
        <v>0</v>
      </c>
      <c r="J18" s="5">
        <v>1</v>
      </c>
      <c r="K18" s="5">
        <v>207</v>
      </c>
      <c r="L18" s="5">
        <v>0</v>
      </c>
      <c r="M18" t="s" s="4">
        <v>33</v>
      </c>
      <c r="N18" s="4">
        <f t="shared" si="4"/>
        <v>2021</v>
      </c>
      <c r="O18" s="1" t="s">
        <f t="shared" si="3"/>
        <v>29</v>
      </c>
      <c r="P18" s="1" t="s">
        <f t="shared" si="2"/>
        <v>32</v>
      </c>
    </row>
    <row r="19" ht="14.00" customHeight="true">
      <c r="A19" s="4">
        <v>113</v>
      </c>
      <c r="B19" s="4">
        <v>25</v>
      </c>
      <c r="C19" s="4">
        <v>307</v>
      </c>
      <c r="D19" s="8">
        <v>44566</v>
      </c>
      <c r="E19" s="5">
        <v>6</v>
      </c>
      <c r="F19" s="6"/>
      <c r="G19" s="5">
        <f t="shared" si="6"/>
        <v>-19</v>
      </c>
      <c r="H19" s="5" t="s">
        <f t="shared" si="5"/>
        <v>12</v>
      </c>
      <c r="I19" s="5">
        <v>1</v>
      </c>
      <c r="J19" s="5">
        <v>0</v>
      </c>
      <c r="K19" s="5">
        <v>205</v>
      </c>
      <c r="L19" s="5">
        <v>0</v>
      </c>
      <c r="M19" s="8">
        <v>44567</v>
      </c>
      <c r="N19" s="4">
        <f t="shared" si="4"/>
        <v>2022</v>
      </c>
      <c r="O19" s="1" t="s">
        <f t="shared" si="3"/>
        <v>22</v>
      </c>
      <c r="P19" s="1" t="s">
        <f t="shared" si="2"/>
        <v>34</v>
      </c>
    </row>
    <row r="20" ht="14.00" customHeight="true">
      <c r="A20" s="4">
        <v>110</v>
      </c>
      <c r="B20" s="4">
        <v>21</v>
      </c>
      <c r="C20" s="4">
        <v>305</v>
      </c>
      <c r="D20" s="8">
        <v>44568</v>
      </c>
      <c r="E20" s="5">
        <v>22</v>
      </c>
      <c r="F20" s="6"/>
      <c r="G20" s="5">
        <f t="shared" si="6"/>
        <v>1</v>
      </c>
      <c r="H20" s="5" t="s">
        <f t="shared" si="5"/>
        <v>21</v>
      </c>
      <c r="I20" s="5">
        <v>0</v>
      </c>
      <c r="J20" s="5">
        <v>2</v>
      </c>
      <c r="K20" s="5">
        <v>204</v>
      </c>
      <c r="L20" s="5">
        <v>10</v>
      </c>
      <c r="M20" s="8">
        <v>44567</v>
      </c>
      <c r="N20" s="4">
        <f t="shared" si="4"/>
        <v>2022</v>
      </c>
      <c r="O20" s="1" t="s">
        <f t="shared" si="3"/>
        <v>22</v>
      </c>
      <c r="P20" s="1" t="s">
        <f t="shared" si="2"/>
        <v>34</v>
      </c>
    </row>
    <row r="21" ht="14.00" customHeight="true">
      <c r="A21" s="4">
        <v>104</v>
      </c>
      <c r="B21" s="4">
        <v>30</v>
      </c>
      <c r="C21" s="4">
        <v>310</v>
      </c>
      <c r="D21" s="8">
        <v>44568</v>
      </c>
      <c r="E21" s="5">
        <v>6</v>
      </c>
      <c r="F21" s="6"/>
      <c r="G21" s="5">
        <f t="shared" si="6"/>
        <v>-24</v>
      </c>
      <c r="H21" s="5" t="s">
        <f t="shared" si="5"/>
        <v>12</v>
      </c>
      <c r="I21" s="5">
        <v>5</v>
      </c>
      <c r="J21" s="5">
        <v>0</v>
      </c>
      <c r="K21" s="5">
        <v>207</v>
      </c>
      <c r="L21" s="5">
        <v>0</v>
      </c>
      <c r="M21" s="8">
        <v>44567</v>
      </c>
      <c r="N21" s="4">
        <f t="shared" si="4"/>
        <v>2022</v>
      </c>
      <c r="O21" s="1" t="s">
        <f t="shared" si="3"/>
        <v>22</v>
      </c>
      <c r="P21" s="1" t="s">
        <f t="shared" si="2"/>
        <v>34</v>
      </c>
    </row>
  </sheetData>
  <autoFilter ref="A1:P2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4" width="13.60" customWidth="1" hidden="0"/>
    <col min="5" max="5" width="13.45" customWidth="1" hidden="0"/>
  </cols>
  <sheetData>
    <row r="1" ht="14.00" customHeight="true">
      <c r="A1" t="s" s="4">
        <v>5</v>
      </c>
      <c r="B1" t="s" s="5">
        <v>9</v>
      </c>
      <c r="C1" t="s" s="4">
        <v>35</v>
      </c>
      <c r="D1" t="s" s="4">
        <v>8</v>
      </c>
      <c r="E1" t="s" s="4">
        <v>36</v>
      </c>
    </row>
    <row r="2" ht="14.00" customHeight="true">
      <c r="A2" s="7">
        <v>102</v>
      </c>
      <c r="B2" s="6">
        <v>10</v>
      </c>
      <c r="C2" s="7">
        <v>5</v>
      </c>
      <c r="D2" s="8">
        <v>44242</v>
      </c>
      <c r="E2" s="7">
        <v>5</v>
      </c>
    </row>
    <row r="3" ht="14.00" customHeight="true">
      <c r="A3" s="7">
        <v>101</v>
      </c>
      <c r="B3" s="6">
        <v>12</v>
      </c>
      <c r="C3" s="7">
        <v>12</v>
      </c>
      <c r="D3" s="8">
        <v>44270</v>
      </c>
      <c r="E3" s="7">
        <v>0</v>
      </c>
    </row>
    <row r="4" ht="14.00" customHeight="true">
      <c r="A4" s="4">
        <v>112</v>
      </c>
      <c r="B4" s="5">
        <v>10</v>
      </c>
      <c r="C4" s="4">
        <v>14</v>
      </c>
      <c r="D4" s="8">
        <v>44331</v>
      </c>
      <c r="E4" s="4">
        <v>-4</v>
      </c>
    </row>
    <row r="5" ht="14.00" customHeight="true">
      <c r="A5" s="4">
        <v>118</v>
      </c>
      <c r="B5" s="5">
        <v>5</v>
      </c>
      <c r="C5" s="4">
        <v>8</v>
      </c>
      <c r="D5" s="8">
        <v>44390</v>
      </c>
      <c r="E5" s="4">
        <v>-3</v>
      </c>
    </row>
    <row r="6" ht="14.00" customHeight="true">
      <c r="A6" s="7">
        <v>105</v>
      </c>
      <c r="B6" s="6">
        <v>3</v>
      </c>
      <c r="C6" s="7">
        <v>9</v>
      </c>
      <c r="D6" s="8">
        <v>44392</v>
      </c>
      <c r="E6" s="7">
        <v>-6</v>
      </c>
    </row>
    <row r="7" ht="14.00" customHeight="true">
      <c r="A7" s="4">
        <v>108</v>
      </c>
      <c r="B7" s="5">
        <v>3</v>
      </c>
      <c r="C7" s="4">
        <v>6</v>
      </c>
      <c r="D7" s="8">
        <v>44498</v>
      </c>
      <c r="E7" s="9">
        <v>-3</v>
      </c>
    </row>
    <row r="8" ht="14.00" customHeight="true">
      <c r="A8" s="7">
        <v>105</v>
      </c>
      <c r="B8" s="6">
        <v>3</v>
      </c>
      <c r="C8" s="7">
        <v>20</v>
      </c>
      <c r="D8" s="8">
        <v>44515</v>
      </c>
      <c r="E8" s="7">
        <v>-26</v>
      </c>
    </row>
    <row r="9" ht="14.00" customHeight="true">
      <c r="A9" s="4">
        <v>114</v>
      </c>
      <c r="B9" s="5">
        <v>4</v>
      </c>
      <c r="C9" s="4">
        <v>7</v>
      </c>
      <c r="D9" s="8">
        <v>44515</v>
      </c>
      <c r="E9" s="9">
        <v>-3</v>
      </c>
    </row>
    <row r="10" ht="14.00" customHeight="true">
      <c r="A10" s="7">
        <v>101</v>
      </c>
      <c r="B10" s="6">
        <v>12</v>
      </c>
      <c r="C10" s="7">
        <v>4</v>
      </c>
      <c r="D10" s="8">
        <v>44518</v>
      </c>
      <c r="E10" s="7">
        <v>-4</v>
      </c>
    </row>
    <row r="11" ht="14.00" customHeight="true">
      <c r="A11" s="4">
        <v>117</v>
      </c>
      <c r="B11" s="5">
        <v>10</v>
      </c>
      <c r="C11" s="4">
        <v>16</v>
      </c>
      <c r="D11" s="8">
        <v>44536</v>
      </c>
      <c r="E11" s="9">
        <v>-6</v>
      </c>
    </row>
    <row r="12" ht="14.00" customHeight="true">
      <c r="A12" s="4">
        <v>109</v>
      </c>
      <c r="B12" s="5">
        <v>4</v>
      </c>
      <c r="C12" s="4">
        <v>4</v>
      </c>
      <c r="D12" s="8">
        <v>44537</v>
      </c>
      <c r="E12" s="9">
        <v>0</v>
      </c>
    </row>
    <row r="13" ht="14.00" customHeight="true">
      <c r="A13" s="4">
        <v>106</v>
      </c>
      <c r="B13" s="5">
        <v>0</v>
      </c>
      <c r="C13" s="4">
        <v>3</v>
      </c>
      <c r="D13" s="8">
        <v>44540</v>
      </c>
      <c r="E13" s="9">
        <v>-3</v>
      </c>
    </row>
    <row r="14" ht="14.00" customHeight="true">
      <c r="A14" s="7">
        <v>102</v>
      </c>
      <c r="B14" s="6">
        <v>10</v>
      </c>
      <c r="C14" s="7">
        <v>8</v>
      </c>
      <c r="D14" s="8">
        <v>44544</v>
      </c>
      <c r="E14" s="7">
        <v>-3</v>
      </c>
    </row>
    <row r="15" ht="14.00" customHeight="true">
      <c r="A15" s="4">
        <v>103</v>
      </c>
      <c r="B15" s="5">
        <v>5</v>
      </c>
      <c r="C15" s="4">
        <v>10</v>
      </c>
      <c r="D15" s="8">
        <v>44545</v>
      </c>
      <c r="E15" s="9">
        <v>-5</v>
      </c>
    </row>
    <row r="16" ht="14.00" customHeight="true">
      <c r="A16" s="4">
        <v>116</v>
      </c>
      <c r="B16" s="5">
        <v>15</v>
      </c>
      <c r="C16" s="4">
        <v>14</v>
      </c>
      <c r="D16" s="8">
        <v>44545</v>
      </c>
      <c r="E16" s="9">
        <v>1</v>
      </c>
    </row>
    <row r="17" ht="14.00" customHeight="true">
      <c r="A17" s="7">
        <v>102</v>
      </c>
      <c r="B17" s="6">
        <v>10</v>
      </c>
      <c r="C17" s="7">
        <v>5</v>
      </c>
      <c r="D17" s="8">
        <v>44551</v>
      </c>
      <c r="E17" s="7">
        <v>-8</v>
      </c>
    </row>
    <row r="18" ht="14.00" customHeight="true">
      <c r="A18" s="4">
        <v>120</v>
      </c>
      <c r="B18" s="5">
        <v>2</v>
      </c>
      <c r="C18" s="4">
        <v>2</v>
      </c>
      <c r="D18" s="8">
        <v>44551</v>
      </c>
      <c r="E18" s="9">
        <v>0</v>
      </c>
    </row>
    <row r="19" ht="14.00" customHeight="true">
      <c r="A19" s="4">
        <v>113</v>
      </c>
      <c r="B19" s="5">
        <v>6</v>
      </c>
      <c r="C19" s="4">
        <v>25</v>
      </c>
      <c r="D19" s="8">
        <v>44566</v>
      </c>
      <c r="E19" s="9">
        <v>-19</v>
      </c>
    </row>
    <row r="20" ht="14.00" customHeight="true">
      <c r="A20" s="4">
        <v>110</v>
      </c>
      <c r="B20" s="5">
        <v>22</v>
      </c>
      <c r="C20" s="4">
        <v>21</v>
      </c>
      <c r="D20" s="8">
        <v>44568</v>
      </c>
      <c r="E20" s="9">
        <v>1</v>
      </c>
    </row>
    <row r="21" ht="14.00" customHeight="true">
      <c r="A21" s="4">
        <v>104</v>
      </c>
      <c r="B21" s="5">
        <v>6</v>
      </c>
      <c r="C21" s="4">
        <v>30</v>
      </c>
      <c r="D21" s="8">
        <v>44568</v>
      </c>
      <c r="E21" s="9">
        <v>-24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1" max="1" width="8.69" customWidth="1" hidden="0"/>
    <col min="2" max="2" width="4.77" customWidth="1" hidden="0"/>
    <col min="3" max="3" width="3.50" customWidth="1" hidden="0"/>
    <col min="4" max="4" width="8.41" customWidth="1" hidden="0"/>
    <col min="5" max="20" width="15.27" customWidth="1" hidden="0"/>
    <col min="21" max="21" width="10.51" customWidth="1" hidden="0"/>
  </cols>
  <sheetData>
    <row r="2" ht="14.00" customHeight="true">
      <c r="A2" t="s" s="10">
        <v>5</v>
      </c>
      <c r="B2" t="s" s="10">
        <v>37</v>
      </c>
      <c r="C2" t="s" s="10">
        <v>38</v>
      </c>
      <c r="D2" t="s" s="10">
        <v>39</v>
      </c>
    </row>
    <row r="3" ht="14.00" customHeight="true">
      <c r="A3" s="10">
        <v>102</v>
      </c>
      <c r="B3" s="11">
        <v>301</v>
      </c>
      <c r="C3" s="11">
        <v>4</v>
      </c>
      <c r="D3" s="11">
        <v>-1</v>
      </c>
    </row>
    <row r="4" ht="14.00" customHeight="true">
      <c r="A4" s="10">
        <v>103</v>
      </c>
      <c r="B4" s="11">
        <v>302</v>
      </c>
      <c r="C4" s="11">
        <v>5</v>
      </c>
      <c r="D4" s="11">
        <v>-5</v>
      </c>
    </row>
    <row r="5" ht="14.00" customHeight="true">
      <c r="A5" s="10">
        <v>105</v>
      </c>
      <c r="B5" s="11">
        <v>303</v>
      </c>
      <c r="C5" s="11">
        <v>5</v>
      </c>
      <c r="D5" s="11">
        <v>-15</v>
      </c>
    </row>
    <row r="6" ht="14.00" customHeight="true">
      <c r="A6" s="10">
        <v>106</v>
      </c>
      <c r="B6" s="11">
        <v>303</v>
      </c>
      <c r="C6" s="11">
        <v>0</v>
      </c>
      <c r="D6" s="11">
        <v>-3</v>
      </c>
    </row>
    <row r="7" ht="14.00" customHeight="true">
      <c r="A7" s="10">
        <v>107</v>
      </c>
      <c r="B7" s="11">
        <v>304</v>
      </c>
      <c r="C7" s="11">
        <v>1</v>
      </c>
      <c r="D7" s="11">
        <v>-4</v>
      </c>
    </row>
    <row r="8" ht="14.00" customHeight="true">
      <c r="A8" s="10">
        <v>108</v>
      </c>
      <c r="B8" s="11">
        <v>304</v>
      </c>
      <c r="C8" s="11">
        <v>3</v>
      </c>
      <c r="D8" s="11">
        <v>-3</v>
      </c>
    </row>
    <row r="9" ht="14.00" customHeight="true">
      <c r="A9" s="10">
        <v>111</v>
      </c>
      <c r="B9" s="11">
        <v>306</v>
      </c>
      <c r="C9" s="11">
        <v>4</v>
      </c>
      <c r="D9" s="11">
        <v>-4</v>
      </c>
    </row>
    <row r="10" ht="14.00" customHeight="true">
      <c r="A10" s="10">
        <v>112</v>
      </c>
      <c r="B10" s="11">
        <v>306</v>
      </c>
      <c r="C10" s="11">
        <v>10</v>
      </c>
      <c r="D10" s="11">
        <v>-4</v>
      </c>
    </row>
    <row r="11" ht="14.00" customHeight="true">
      <c r="A11" s="10">
        <v>113</v>
      </c>
      <c r="B11" s="11">
        <v>307</v>
      </c>
      <c r="C11" s="11">
        <v>6</v>
      </c>
      <c r="D11" s="11">
        <v>-19</v>
      </c>
    </row>
    <row r="12" ht="14.00" customHeight="true">
      <c r="A12" s="10">
        <v>114</v>
      </c>
      <c r="B12" s="11">
        <v>307</v>
      </c>
      <c r="C12" s="11">
        <v>4</v>
      </c>
      <c r="D12" s="11">
        <v>-3</v>
      </c>
    </row>
    <row r="13" ht="14.00" customHeight="true">
      <c r="A13" s="10">
        <v>115</v>
      </c>
      <c r="B13" s="11">
        <v>308</v>
      </c>
      <c r="C13" s="11">
        <v>3</v>
      </c>
      <c r="D13" s="11">
        <v>-6</v>
      </c>
    </row>
    <row r="14" ht="14.00" customHeight="true">
      <c r="A14" s="10">
        <v>117</v>
      </c>
      <c r="B14" s="11">
        <v>309</v>
      </c>
      <c r="C14" s="11">
        <v>10</v>
      </c>
      <c r="D14" s="11">
        <v>-6</v>
      </c>
    </row>
    <row r="15" ht="14.00" customHeight="true">
      <c r="A15" s="10">
        <v>118</v>
      </c>
      <c r="B15" s="11">
        <v>309</v>
      </c>
      <c r="C15" s="11">
        <v>5</v>
      </c>
      <c r="D15" s="11">
        <v>-3</v>
      </c>
    </row>
    <row r="16" ht="14.00" customHeight="true">
      <c r="A16" s="10">
        <v>119</v>
      </c>
      <c r="B16" s="11">
        <v>310</v>
      </c>
      <c r="C16" s="11">
        <v>6</v>
      </c>
      <c r="D16" s="11">
        <v>-24</v>
      </c>
    </row>
    <row r="17" ht="14.00" customHeight="true">
      <c r="A17" s="12"/>
      <c r="B17" s="12"/>
      <c r="C17" s="12"/>
      <c r="D17" s="1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3" width="8.69" customWidth="1" hidden="0"/>
    <col min="4" max="4" width="26.91" customWidth="1" hidden="0"/>
    <col min="5" max="5" width="9.39" customWidth="1" hidden="0"/>
    <col min="6" max="6" width="13.74" customWidth="1" hidden="0"/>
    <col min="7" max="11" width="8.69" customWidth="1" hidden="0"/>
    <col min="12" max="12" width="9.39" customWidth="1" hidden="0"/>
  </cols>
  <sheetData>
    <row r="1" ht="14.00" customHeight="true">
      <c r="A1" t="s" s="10">
        <v>5</v>
      </c>
      <c r="B1" t="s" s="10">
        <v>6</v>
      </c>
      <c r="C1" t="s" s="10">
        <v>7</v>
      </c>
      <c r="D1" t="s" s="10">
        <v>8</v>
      </c>
      <c r="E1" t="s" s="13">
        <v>9</v>
      </c>
      <c r="F1" t="s" s="13">
        <v>11</v>
      </c>
      <c r="G1" t="s" s="13">
        <v>12</v>
      </c>
      <c r="H1" t="s" s="13">
        <v>13</v>
      </c>
      <c r="I1" t="s" s="13">
        <v>14</v>
      </c>
      <c r="J1" t="s" s="13">
        <v>15</v>
      </c>
      <c r="K1" t="s" s="11">
        <v>16</v>
      </c>
      <c r="L1" t="s" s="11">
        <v>17</v>
      </c>
      <c r="M1" t="s" s="5">
        <v>39</v>
      </c>
    </row>
    <row r="2" ht="14.00" customHeight="true">
      <c r="A2" s="10">
        <v>101</v>
      </c>
      <c r="B2" s="10">
        <v>4</v>
      </c>
      <c r="C2" s="10">
        <v>301</v>
      </c>
      <c r="D2" s="14">
        <v>44518</v>
      </c>
      <c r="E2" s="13">
        <v>5</v>
      </c>
      <c r="F2" s="13">
        <f>E2-B2</f>
        <v>1</v>
      </c>
      <c r="G2" s="13" t="s">
        <f>IF(F2&lt;0,"Short","Fulfilled")</f>
        <v>21</v>
      </c>
      <c r="H2" s="13">
        <v>50</v>
      </c>
      <c r="I2" s="13">
        <v>0</v>
      </c>
      <c r="J2" s="13">
        <v>201</v>
      </c>
      <c r="K2" s="11">
        <v>5</v>
      </c>
      <c r="L2" s="14">
        <v>44586</v>
      </c>
    </row>
    <row r="3" ht="14.00" customHeight="true">
      <c r="A3" s="10">
        <v>102</v>
      </c>
      <c r="B3" s="10">
        <v>5</v>
      </c>
      <c r="C3" s="10">
        <v>301</v>
      </c>
      <c r="D3" s="14">
        <v>44545</v>
      </c>
      <c r="E3" s="13">
        <v>4</v>
      </c>
      <c r="F3" s="13">
        <f ref="F3:F21" t="shared" si="0">E3-B3</f>
        <v>-1</v>
      </c>
      <c r="G3" s="13" t="s">
        <f ref="G3:G21" t="shared" si="1">IF(F3&lt;0,"Short","Fulfilled")</f>
        <v>12</v>
      </c>
      <c r="H3" s="13">
        <v>0</v>
      </c>
      <c r="I3" s="13">
        <v>0</v>
      </c>
      <c r="J3" s="13">
        <v>201</v>
      </c>
      <c r="K3" s="11">
        <v>0</v>
      </c>
      <c r="L3" s="14">
        <v>44586</v>
      </c>
    </row>
    <row r="4" ht="14.00" customHeight="true">
      <c r="A4" s="10">
        <v>103</v>
      </c>
      <c r="B4" s="10">
        <v>10</v>
      </c>
      <c r="C4" s="10">
        <v>302</v>
      </c>
      <c r="D4" s="14">
        <v>44545</v>
      </c>
      <c r="E4" s="13">
        <v>5</v>
      </c>
      <c r="F4" s="13">
        <f t="shared" si="0"/>
        <v>-5</v>
      </c>
      <c r="G4" s="13" t="s">
        <f t="shared" si="1"/>
        <v>12</v>
      </c>
      <c r="H4" s="13">
        <v>0</v>
      </c>
      <c r="I4" s="13">
        <v>0</v>
      </c>
      <c r="J4" s="13">
        <v>201</v>
      </c>
      <c r="K4" s="11">
        <v>0</v>
      </c>
      <c r="L4" s="14">
        <v>44586</v>
      </c>
    </row>
    <row r="5" ht="14.00" customHeight="true">
      <c r="A5" s="10">
        <v>104</v>
      </c>
      <c r="B5" s="10">
        <v>12</v>
      </c>
      <c r="C5" s="10">
        <v>302</v>
      </c>
      <c r="D5" s="14">
        <v>44545</v>
      </c>
      <c r="E5" s="13">
        <v>12</v>
      </c>
      <c r="F5" s="13">
        <f t="shared" si="0"/>
        <v>0</v>
      </c>
      <c r="G5" s="13" t="s">
        <f t="shared" si="1"/>
        <v>21</v>
      </c>
      <c r="H5" s="13">
        <v>0</v>
      </c>
      <c r="I5" s="13">
        <v>4</v>
      </c>
      <c r="J5" s="13">
        <v>202</v>
      </c>
      <c r="K5" s="11">
        <v>0</v>
      </c>
      <c r="L5" s="14">
        <v>44719</v>
      </c>
    </row>
    <row r="6" ht="14.00" customHeight="true">
      <c r="A6" s="10">
        <v>105</v>
      </c>
      <c r="B6" s="10">
        <v>20</v>
      </c>
      <c r="C6" s="10">
        <v>303</v>
      </c>
      <c r="D6" s="14">
        <v>44515</v>
      </c>
      <c r="E6" s="13">
        <v>5</v>
      </c>
      <c r="F6" s="13">
        <f t="shared" si="0"/>
        <v>-15</v>
      </c>
      <c r="G6" s="13" t="s">
        <f t="shared" si="1"/>
        <v>12</v>
      </c>
      <c r="H6" s="13">
        <v>0</v>
      </c>
      <c r="I6" s="13">
        <v>0</v>
      </c>
      <c r="J6" s="13">
        <v>202</v>
      </c>
      <c r="K6" s="11">
        <v>0</v>
      </c>
      <c r="L6" s="14">
        <v>44575</v>
      </c>
    </row>
    <row r="7" ht="14.00" customHeight="true">
      <c r="A7" s="10">
        <v>106</v>
      </c>
      <c r="B7" s="10">
        <v>3</v>
      </c>
      <c r="C7" s="10">
        <v>303</v>
      </c>
      <c r="D7" s="14">
        <v>44540</v>
      </c>
      <c r="E7" s="13">
        <v>0</v>
      </c>
      <c r="F7" s="13">
        <f t="shared" si="0"/>
        <v>-3</v>
      </c>
      <c r="G7" s="13" t="s">
        <f t="shared" si="1"/>
        <v>12</v>
      </c>
      <c r="H7" s="13">
        <v>0</v>
      </c>
      <c r="I7" s="13">
        <v>3</v>
      </c>
      <c r="J7" s="13">
        <v>202</v>
      </c>
      <c r="K7" s="11">
        <v>0</v>
      </c>
      <c r="L7" s="14">
        <v>44575</v>
      </c>
    </row>
    <row r="8" ht="14.00" customHeight="true">
      <c r="A8" s="10">
        <v>107</v>
      </c>
      <c r="B8" s="10">
        <v>5</v>
      </c>
      <c r="C8" s="10">
        <v>304</v>
      </c>
      <c r="D8" s="14">
        <v>44551</v>
      </c>
      <c r="E8" s="13">
        <v>1</v>
      </c>
      <c r="F8" s="13">
        <f t="shared" si="0"/>
        <v>-4</v>
      </c>
      <c r="G8" s="13" t="s">
        <f t="shared" si="1"/>
        <v>12</v>
      </c>
      <c r="H8" s="13">
        <v>20</v>
      </c>
      <c r="I8" s="13">
        <v>0</v>
      </c>
      <c r="J8" s="13">
        <v>203</v>
      </c>
      <c r="K8" s="11">
        <v>2</v>
      </c>
      <c r="L8" s="14">
        <v>44582</v>
      </c>
    </row>
    <row r="9" ht="14.00" customHeight="true">
      <c r="A9" s="10">
        <v>108</v>
      </c>
      <c r="B9" s="10">
        <v>6</v>
      </c>
      <c r="C9" s="10">
        <v>304</v>
      </c>
      <c r="D9" s="14">
        <v>44498</v>
      </c>
      <c r="E9" s="13">
        <v>3</v>
      </c>
      <c r="F9" s="13">
        <f t="shared" si="0"/>
        <v>-3</v>
      </c>
      <c r="G9" s="13" t="s">
        <f t="shared" si="1"/>
        <v>12</v>
      </c>
      <c r="H9" s="13">
        <v>0</v>
      </c>
      <c r="I9" s="13">
        <v>0</v>
      </c>
      <c r="J9" s="13">
        <v>203</v>
      </c>
      <c r="K9" s="11">
        <v>0</v>
      </c>
      <c r="L9" s="14">
        <v>44582</v>
      </c>
    </row>
    <row r="10" ht="14.00" customHeight="true">
      <c r="A10" s="10">
        <v>109</v>
      </c>
      <c r="B10" s="10">
        <v>4</v>
      </c>
      <c r="C10" s="10">
        <v>305</v>
      </c>
      <c r="D10" s="14">
        <v>44537</v>
      </c>
      <c r="E10" s="13">
        <v>4</v>
      </c>
      <c r="F10" s="13">
        <f t="shared" si="0"/>
        <v>0</v>
      </c>
      <c r="G10" s="13" t="s">
        <f t="shared" si="1"/>
        <v>21</v>
      </c>
      <c r="H10" s="13">
        <v>0</v>
      </c>
      <c r="I10" s="13">
        <v>0</v>
      </c>
      <c r="J10" s="13">
        <v>203</v>
      </c>
      <c r="K10" s="11">
        <v>0</v>
      </c>
      <c r="L10" s="14">
        <v>44572</v>
      </c>
    </row>
    <row r="11" ht="14.00" customHeight="true">
      <c r="A11" s="10">
        <v>110</v>
      </c>
      <c r="B11" s="10">
        <v>21</v>
      </c>
      <c r="C11" s="10">
        <v>305</v>
      </c>
      <c r="D11" s="14">
        <v>44568</v>
      </c>
      <c r="E11" s="13">
        <v>22</v>
      </c>
      <c r="F11" s="13">
        <f t="shared" si="0"/>
        <v>1</v>
      </c>
      <c r="G11" s="13" t="s">
        <f t="shared" si="1"/>
        <v>21</v>
      </c>
      <c r="H11" s="13">
        <v>0</v>
      </c>
      <c r="I11" s="13">
        <v>2</v>
      </c>
      <c r="J11" s="13">
        <v>204</v>
      </c>
      <c r="K11" s="11">
        <v>10</v>
      </c>
      <c r="L11" s="14">
        <v>44567</v>
      </c>
    </row>
    <row r="12" ht="14.00" customHeight="true">
      <c r="A12" s="10">
        <v>111</v>
      </c>
      <c r="B12" s="10">
        <v>8</v>
      </c>
      <c r="C12" s="10">
        <v>306</v>
      </c>
      <c r="D12" s="14">
        <v>44544</v>
      </c>
      <c r="E12" s="13">
        <v>4</v>
      </c>
      <c r="F12" s="13">
        <f t="shared" si="0"/>
        <v>-4</v>
      </c>
      <c r="G12" s="13" t="s">
        <f t="shared" si="1"/>
        <v>12</v>
      </c>
      <c r="H12" s="13">
        <v>0</v>
      </c>
      <c r="I12" s="13">
        <v>0</v>
      </c>
      <c r="J12" s="13">
        <v>204</v>
      </c>
      <c r="K12" s="11">
        <v>0</v>
      </c>
      <c r="L12" s="14">
        <v>44642</v>
      </c>
    </row>
    <row r="13" ht="14.00" customHeight="true">
      <c r="A13" s="10">
        <v>112</v>
      </c>
      <c r="B13" s="10">
        <v>14</v>
      </c>
      <c r="C13" s="10">
        <v>306</v>
      </c>
      <c r="D13" s="14">
        <v>44515</v>
      </c>
      <c r="E13" s="13">
        <v>10</v>
      </c>
      <c r="F13" s="13">
        <f t="shared" si="0"/>
        <v>-4</v>
      </c>
      <c r="G13" s="13" t="s">
        <f t="shared" si="1"/>
        <v>12</v>
      </c>
      <c r="H13" s="13">
        <v>5</v>
      </c>
      <c r="I13" s="13">
        <v>0</v>
      </c>
      <c r="J13" s="13">
        <v>204</v>
      </c>
      <c r="K13" s="11">
        <v>0</v>
      </c>
      <c r="L13" s="14">
        <v>44566</v>
      </c>
    </row>
    <row r="14" ht="14.00" customHeight="true">
      <c r="A14" s="10">
        <v>113</v>
      </c>
      <c r="B14" s="10">
        <v>25</v>
      </c>
      <c r="C14" s="10">
        <v>307</v>
      </c>
      <c r="D14" s="14">
        <v>44566</v>
      </c>
      <c r="E14" s="13">
        <v>6</v>
      </c>
      <c r="F14" s="13">
        <f t="shared" si="0"/>
        <v>-19</v>
      </c>
      <c r="G14" s="13" t="s">
        <f t="shared" si="1"/>
        <v>12</v>
      </c>
      <c r="H14" s="13">
        <v>1</v>
      </c>
      <c r="I14" s="13">
        <v>0</v>
      </c>
      <c r="J14" s="13">
        <v>205</v>
      </c>
      <c r="K14" s="11">
        <v>0</v>
      </c>
      <c r="L14" s="14">
        <v>44567</v>
      </c>
    </row>
    <row r="15" ht="14.00" customHeight="true">
      <c r="A15" s="10">
        <v>114</v>
      </c>
      <c r="B15" s="10">
        <v>7</v>
      </c>
      <c r="C15" s="10">
        <v>307</v>
      </c>
      <c r="D15" s="14">
        <v>44515</v>
      </c>
      <c r="E15" s="13">
        <v>4</v>
      </c>
      <c r="F15" s="13">
        <f t="shared" si="0"/>
        <v>-3</v>
      </c>
      <c r="G15" s="13" t="s">
        <f t="shared" si="1"/>
        <v>12</v>
      </c>
      <c r="H15" s="13">
        <v>0</v>
      </c>
      <c r="I15" s="13">
        <v>0</v>
      </c>
      <c r="J15" s="13">
        <v>205</v>
      </c>
      <c r="K15" s="11">
        <v>0</v>
      </c>
      <c r="L15" s="14">
        <v>44567</v>
      </c>
    </row>
    <row r="16" ht="14.00" customHeight="true">
      <c r="A16" s="10">
        <v>115</v>
      </c>
      <c r="B16" s="10">
        <v>9</v>
      </c>
      <c r="C16" s="10">
        <v>308</v>
      </c>
      <c r="D16" s="14">
        <v>44545</v>
      </c>
      <c r="E16" s="13">
        <v>3</v>
      </c>
      <c r="F16" s="13">
        <f t="shared" si="0"/>
        <v>-6</v>
      </c>
      <c r="G16" s="13" t="s">
        <f t="shared" si="1"/>
        <v>12</v>
      </c>
      <c r="H16" s="13">
        <v>0</v>
      </c>
      <c r="I16" s="13">
        <v>0</v>
      </c>
      <c r="J16" s="13">
        <v>205</v>
      </c>
      <c r="K16" s="11">
        <v>12</v>
      </c>
      <c r="L16" s="14">
        <v>44567</v>
      </c>
    </row>
    <row r="17" ht="14.00" customHeight="true">
      <c r="A17" s="10">
        <v>116</v>
      </c>
      <c r="B17" s="10">
        <v>14</v>
      </c>
      <c r="C17" s="10">
        <v>308</v>
      </c>
      <c r="D17" s="14">
        <v>44545</v>
      </c>
      <c r="E17" s="13">
        <v>15</v>
      </c>
      <c r="F17" s="13">
        <f t="shared" si="0"/>
        <v>1</v>
      </c>
      <c r="G17" s="13" t="s">
        <f t="shared" si="1"/>
        <v>21</v>
      </c>
      <c r="H17" s="13">
        <v>0</v>
      </c>
      <c r="I17" s="13">
        <v>0</v>
      </c>
      <c r="J17" s="13">
        <v>206</v>
      </c>
      <c r="K17" s="11">
        <v>0</v>
      </c>
      <c r="L17" s="14">
        <v>44593</v>
      </c>
    </row>
    <row r="18" ht="14.00" customHeight="true">
      <c r="A18" s="10">
        <v>117</v>
      </c>
      <c r="B18" s="10">
        <v>16</v>
      </c>
      <c r="C18" s="10">
        <v>309</v>
      </c>
      <c r="D18" s="14">
        <v>44536</v>
      </c>
      <c r="E18" s="13">
        <v>10</v>
      </c>
      <c r="F18" s="13">
        <f t="shared" si="0"/>
        <v>-6</v>
      </c>
      <c r="G18" s="13" t="s">
        <f t="shared" si="1"/>
        <v>12</v>
      </c>
      <c r="H18" s="13">
        <v>0</v>
      </c>
      <c r="I18" s="13">
        <v>0</v>
      </c>
      <c r="J18" s="13">
        <v>206</v>
      </c>
      <c r="K18" s="11">
        <v>0</v>
      </c>
      <c r="L18" s="14">
        <v>44593</v>
      </c>
    </row>
    <row r="19" ht="14.00" customHeight="true">
      <c r="A19" s="10">
        <v>118</v>
      </c>
      <c r="B19" s="10">
        <v>8</v>
      </c>
      <c r="C19" s="10">
        <v>309</v>
      </c>
      <c r="D19" s="14">
        <v>44543</v>
      </c>
      <c r="E19" s="13">
        <v>5</v>
      </c>
      <c r="F19" s="13">
        <f t="shared" si="0"/>
        <v>-3</v>
      </c>
      <c r="G19" s="13" t="s">
        <f t="shared" si="1"/>
        <v>12</v>
      </c>
      <c r="H19" s="13">
        <v>0</v>
      </c>
      <c r="I19" s="13">
        <v>0</v>
      </c>
      <c r="J19" s="13">
        <v>206</v>
      </c>
      <c r="K19" s="11">
        <v>1</v>
      </c>
      <c r="L19" s="14">
        <v>44600</v>
      </c>
    </row>
    <row r="20" ht="14.00" customHeight="true">
      <c r="A20" s="10">
        <v>119</v>
      </c>
      <c r="B20" s="10">
        <v>30</v>
      </c>
      <c r="C20" s="10">
        <v>310</v>
      </c>
      <c r="D20" s="14">
        <v>44568</v>
      </c>
      <c r="E20" s="13">
        <v>6</v>
      </c>
      <c r="F20" s="13">
        <f t="shared" si="0"/>
        <v>-24</v>
      </c>
      <c r="G20" s="13" t="s">
        <f t="shared" si="1"/>
        <v>12</v>
      </c>
      <c r="H20" s="13">
        <v>5</v>
      </c>
      <c r="I20" s="13">
        <v>0</v>
      </c>
      <c r="J20" s="13">
        <v>207</v>
      </c>
      <c r="K20" s="11">
        <v>0</v>
      </c>
      <c r="L20" s="14">
        <v>44567</v>
      </c>
    </row>
    <row r="21" ht="14.00" customHeight="true">
      <c r="A21" s="10">
        <v>120</v>
      </c>
      <c r="B21" s="10">
        <v>2</v>
      </c>
      <c r="C21" s="10">
        <v>310</v>
      </c>
      <c r="D21" s="14">
        <v>44551</v>
      </c>
      <c r="E21" s="13">
        <v>2</v>
      </c>
      <c r="F21" s="13">
        <f t="shared" si="0"/>
        <v>0</v>
      </c>
      <c r="G21" s="13" t="s">
        <f t="shared" si="1"/>
        <v>21</v>
      </c>
      <c r="H21" s="13">
        <v>0</v>
      </c>
      <c r="I21" s="13">
        <v>1</v>
      </c>
      <c r="J21" s="13">
        <v>207</v>
      </c>
      <c r="K21" s="11">
        <v>0</v>
      </c>
      <c r="L21" t="s" s="10">
        <v>33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12</v>
      </c>
    </row>
    <row r="2" ht="14.00" customHeight="true">
      <c r="A2" t="s" s="1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6</vt:i4>
      </vt:variant>
    </vt:vector>
  </HeadingPairs>
  <TitlesOfParts>
    <vt:vector size="6" baseType="lpstr">
      <vt:lpstr>Dashboard 2</vt:lpstr>
      <vt:lpstr>Sample</vt:lpstr>
      <vt:lpstr>Data</vt:lpstr>
      <vt:lpstr>Sheet2</vt:lpstr>
      <vt:lpstr>Dashboard</vt:lpstr>
      <vt:lpstr>Data 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2026-05-31T20:05:29Z</dcterms:created>
  <dcterms:modified xsi:type="dcterms:W3CDTF">2026-05-31T20:05:29Z</dcterms:modified>
</cp:coreProperties>
</file>