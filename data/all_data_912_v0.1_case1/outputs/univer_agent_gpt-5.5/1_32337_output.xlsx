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149F837-D525-4DE5-A614-B1C60974948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bib">'[1]Data Peserta'!$B$1:$N$820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/>
  <c r="E14" i="1"/>
  <c r="O14" i="1"/>
  <c r="N14" i="1"/>
  <c r="M7" i="1"/>
  <c r="N7" i="1"/>
  <c r="O7" i="1"/>
  <c r="E7" i="1"/>
  <c r="N5" i="1"/>
  <c r="E5" i="1"/>
  <c r="O5" i="1"/>
  <c r="M5" i="1"/>
  <c r="M13" i="1"/>
  <c r="O13" i="1"/>
  <c r="N13" i="1"/>
  <c r="E13" i="1"/>
  <c r="N12" i="1"/>
  <c r="O12" i="1"/>
  <c r="M12" i="1"/>
  <c r="E12" i="1"/>
  <c r="E10" i="1"/>
  <c r="N10" i="1"/>
  <c r="O10" i="1"/>
  <c r="M10" i="1"/>
  <c r="N9" i="1"/>
  <c r="M9" i="1"/>
  <c r="E9" i="1"/>
  <c r="O9" i="1"/>
  <c r="N15" i="1"/>
  <c r="M15" i="1"/>
  <c r="E15" i="1"/>
  <c r="O15" i="1"/>
  <c r="M4" i="1"/>
  <c r="N4" i="1"/>
  <c r="E4" i="1"/>
  <c r="O4" i="1"/>
  <c r="E3" i="1"/>
  <c r="M3" i="1"/>
  <c r="N3" i="1"/>
  <c r="O3" i="1"/>
  <c r="M11" i="1"/>
  <c r="N11" i="1"/>
  <c r="O11" i="1"/>
  <c r="E11" i="1"/>
  <c r="E8" i="1"/>
  <c r="M8" i="1"/>
  <c r="O8" i="1"/>
  <c r="N8" i="1"/>
  <c r="O6" i="1"/>
  <c r="M6" i="1"/>
  <c r="N6" i="1"/>
  <c r="E6" i="1"/>
</calcChain>
</file>

<file path=xl/sharedStrings.xml><?xml version="1.0" encoding="utf-8"?>
<sst xmlns="http://schemas.openxmlformats.org/spreadsheetml/2006/main" count="70" uniqueCount="17">
  <si>
    <t>REPORT Date</t>
  </si>
  <si>
    <t>NAME</t>
  </si>
  <si>
    <t>GENDER</t>
  </si>
  <si>
    <t>DATE OF BIRTH</t>
  </si>
  <si>
    <t>EASY FORMULA or DIRECT FORMULA </t>
  </si>
  <si>
    <t>Expected Result</t>
  </si>
  <si>
    <t>YEAR (age)</t>
  </si>
  <si>
    <t>CATEGORY</t>
  </si>
  <si>
    <t>age (year)</t>
  </si>
  <si>
    <t>XXX</t>
  </si>
  <si>
    <t>M</t>
  </si>
  <si>
    <t>?</t>
  </si>
  <si>
    <t>A</t>
  </si>
  <si>
    <t>F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</si>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</sst>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4">
    <font>
      <sz val="11"/>
      <color theme="1"/>
      <name val="Arial"/>
      <family val="2"/>
      <scheme val="minor"/>
    </font>
    <font>
      <name val="宋体"/>
      <sz val="10.00"/>
      <b/>
      <color rgb="FF000000"/>
      <family val="2"/>
    </font>
    <font>
      <name val="Arial Unicode MS"/>
      <sz val="10.00"/>
      <color rgb="FF000000"/>
      <family val="2"/>
    </font>
    <font>
      <name val="宋体"/>
      <sz val="10.00"/>
      <color rgb="FF000000"/>
      <family val="2"/>
    </font>
  </fonts>
  <fills count="7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1" applyNumberFormat="1" fontId="1" applyFont="1" fillId="2" applyFill="1" applyAlignment="1">
      <alignment vertical="top" horizontal="left"/>
    </xf>
    <xf numFmtId="1" applyNumberFormat="1" fontId="2" applyFont="1" applyAlignment="1">
      <alignment vertical="center" horizontal="left"/>
    </xf>
    <xf numFmtId="2" applyNumberFormat="1" fontId="3" applyFont="1" fillId="2" applyFill="1" applyAlignment="1">
      <alignment vertical="top" horizontal="left"/>
    </xf>
    <xf numFmtId="1" applyNumberFormat="1" fontId="3" applyFont="1" fillId="2" applyFill="1" applyAlignment="1">
      <alignment vertical="top" horizontal="left"/>
    </xf>
    <xf numFmtId="2" applyNumberFormat="1" fontId="1" applyFont="1" fillId="3" applyFill="1" applyAlignment="1">
      <alignment vertical="top" horizontal="left"/>
    </xf>
    <xf numFmtId="1" applyNumberFormat="1" fontId="1" applyFont="1" fillId="4" applyFill="1" borderId="1" applyBorder="1" applyAlignment="1">
      <alignment vertical="center" horizontal="center" wrapText="1"/>
    </xf>
    <xf numFmtId="2" applyNumberFormat="1" fontId="3" applyFont="1" fillId="5" applyFill="1" borderId="1" applyBorder="1" applyAlignment="1">
      <alignment vertical="top" horizontal="center"/>
    </xf>
    <xf numFmtId="2" applyNumberFormat="1" fontId="3" applyFont="1" fillId="6" applyFill="1" borderId="1" applyBorder="1" applyAlignment="1">
      <alignment vertical="top" horizontal="center"/>
    </xf>
    <xf numFmtId="1" applyNumberFormat="1" fontId="3" applyFont="1" fillId="2" applyFill="1" borderId="1" applyBorder="1" applyAlignment="1">
      <alignment vertical="top" horizontal="left"/>
    </xf>
    <xf numFmtId="1" applyNumberFormat="1" fontId="1" applyFont="1" fillId="5" applyFill="1" borderId="1" applyBorder="1" applyAlignment="1">
      <alignment vertical="center" horizontal="center" wrapText="1"/>
    </xf>
    <xf numFmtId="1" applyNumberFormat="1" fontId="3" applyFont="1" fillId="6" applyFill="1" borderId="1" applyBorder="1" applyAlignment="1">
      <alignment vertical="top" horizontal="center"/>
    </xf>
    <xf numFmtId="1" applyNumberFormat="1" fontId="3" applyFont="1" fillId="5" applyFill="1" borderId="1" applyBorder="1" applyAlignment="1">
      <alignment vertical="top" horizontal="center"/>
    </xf>
  </cellStyleXfs>
  <cellXfs count="13">
    <xf numFmtId="0" fontId="0" fillId="0" borderId="0" xfId="0"/>
    <xf xfId="4" quotePrefix="0" pivotButton="0" numFmtId="1" applyNumberFormat="1" fontId="3" applyFont="1" fillId="2" applyFill="1" applyAlignment="1">
      <alignment vertical="top" horizontal="left"/>
    </xf>
    <xf xfId="5" quotePrefix="0" pivotButton="0" numFmtId="2" applyNumberFormat="1" fontId="1" applyFont="1" fillId="3" applyFill="1" applyAlignment="1">
      <alignment vertical="top" horizontal="left"/>
    </xf>
    <xf xfId="10" quotePrefix="0" pivotButton="0" numFmtId="1" applyNumberFormat="1" fontId="1" applyFont="1" fillId="5" applyFill="1" borderId="1" applyBorder="1" applyAlignment="1">
      <alignment vertical="center" horizontal="center" wrapText="1"/>
    </xf>
    <xf xfId="6" quotePrefix="0" pivotButton="0" numFmtId="1" applyNumberFormat="1" fontId="1" applyFont="1" fillId="4" applyFill="1" borderId="1" applyBorder="1" applyAlignment="1">
      <alignment vertical="center" horizontal="center" wrapText="1"/>
    </xf>
    <xf xfId="1" quotePrefix="0" pivotButton="0" numFmtId="1" applyNumberFormat="1" fontId="1" applyFont="1" fillId="2" applyFill="1" applyAlignment="1">
      <alignment vertical="top" horizontal="left"/>
    </xf>
    <xf xfId="11" quotePrefix="0" pivotButton="0" numFmtId="1" applyNumberFormat="1" fontId="3" applyFont="1" fillId="6" applyFill="1" borderId="1" applyBorder="1" applyAlignment="1">
      <alignment vertical="top" horizontal="center"/>
    </xf>
    <xf xfId="2" quotePrefix="0" pivotButton="0" numFmtId="1" applyNumberFormat="1" fontId="2" applyFont="1" applyAlignment="1">
      <alignment vertical="center" horizontal="left"/>
    </xf>
    <xf xfId="12" quotePrefix="0" pivotButton="0" numFmtId="1" applyNumberFormat="1" fontId="3" applyFont="1" fillId="5" applyFill="1" borderId="1" applyBorder="1" applyAlignment="1">
      <alignment vertical="top" horizontal="center"/>
    </xf>
    <xf xfId="7" quotePrefix="0" pivotButton="0" numFmtId="2" applyNumberFormat="1" fontId="3" applyFont="1" fillId="5" applyFill="1" borderId="1" applyBorder="1" applyAlignment="1">
      <alignment vertical="top" horizontal="center"/>
    </xf>
    <xf xfId="8" quotePrefix="0" pivotButton="0" numFmtId="2" applyNumberFormat="1" fontId="3" applyFont="1" fillId="6" applyFill="1" borderId="1" applyBorder="1" applyAlignment="1">
      <alignment vertical="top" horizontal="center"/>
    </xf>
    <xf xfId="9" quotePrefix="0" pivotButton="0" numFmtId="1" applyNumberFormat="1" fontId="3" applyFont="1" fillId="2" applyFill="1" borderId="1" applyBorder="1" applyAlignment="1">
      <alignment vertical="top" horizontal="left"/>
    </xf>
    <xf xfId="3" quotePrefix="0" pivotButton="0" numFmtId="2" applyNumberFormat="1" fontId="3" applyFont="1" fillId="2" applyFill="1" applyAlignment="1">
      <alignment vertical="top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21"/>
  <sheetData>
    <row r="1" ht="14.00" customHeight="true">
      <c r="A1" t="s" s="1">
        <v>0</v>
      </c>
      <c r="B1" s="2">
        <v>45291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60.00" customHeight="true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s="5"/>
      <c r="G2" s="5"/>
      <c r="H2" t="s" s="6">
        <v>6</v>
      </c>
      <c r="I2" t="s" s="6">
        <v>7</v>
      </c>
      <c r="J2" s="5"/>
      <c r="K2" s="5"/>
      <c r="L2" s="5"/>
      <c r="M2" s="5"/>
      <c r="N2" s="5"/>
      <c r="O2" t="s" s="7">
        <v>8</v>
      </c>
    </row>
    <row r="3" ht="14.00" customHeight="true">
      <c r="A3" t="s" s="8">
        <v>9</v>
      </c>
      <c r="B3" t="s" s="8">
        <v>10</v>
      </c>
      <c r="C3" s="9">
        <v>42782</v>
      </c>
      <c r="D3" t="s" s="10">
        <v>11</v>
      </c>
      <c r="E3" s="9" t="s">
        <f>VLOOKUP(ROUND(($B$1-C3)/365,0),$H$3:$I$11,2,FALSE)</f>
        <v>12</v>
      </c>
      <c r="F3" s="1"/>
      <c r="G3" s="1"/>
      <c r="H3" s="11">
        <v>6</v>
      </c>
      <c r="I3" t="s" s="11">
        <v>12</v>
      </c>
      <c r="J3" s="1"/>
      <c r="K3" s="1"/>
      <c r="L3" s="1"/>
      <c r="M3" s="12">
        <f>$B$1</f>
        <v>45291</v>
      </c>
      <c r="N3" s="1">
        <f>(M3-C3)/365</f>
        <v>6.873972602739726</v>
      </c>
      <c r="O3" s="1">
        <f>ROUND(N3,0)</f>
        <v>7</v>
      </c>
    </row>
    <row r="4" ht="14.00" customHeight="true">
      <c r="A4" t="s" s="8">
        <v>9</v>
      </c>
      <c r="B4" t="s" s="8">
        <v>13</v>
      </c>
      <c r="C4" s="9">
        <v>43032</v>
      </c>
      <c r="D4" t="s" s="10">
        <v>11</v>
      </c>
      <c r="E4" s="9" t="s">
        <f>VLOOKUP(ROUND(($B$1-C4)/365,0),$H$3:$I$11,2,FALSE)</f>
        <v>12</v>
      </c>
      <c r="F4" s="1"/>
      <c r="G4" s="1"/>
      <c r="H4" s="11">
        <v>7</v>
      </c>
      <c r="I4" t="s" s="11">
        <v>12</v>
      </c>
      <c r="J4" s="1"/>
      <c r="K4" s="1"/>
      <c r="L4" s="1"/>
      <c r="M4" s="12">
        <f>$B$1</f>
        <v>45291</v>
      </c>
      <c r="N4" s="1">
        <f>(M4-C4)/365</f>
        <v>6.189041095890411</v>
      </c>
      <c r="O4" s="1">
        <f>ROUND(N4,0)</f>
        <v>6</v>
      </c>
    </row>
    <row r="5" ht="14.00" customHeight="true">
      <c r="A5" t="s" s="8">
        <v>9</v>
      </c>
      <c r="B5" t="s" s="8">
        <v>13</v>
      </c>
      <c r="C5" s="9">
        <v>42339</v>
      </c>
      <c r="D5" t="s" s="10">
        <v>11</v>
      </c>
      <c r="E5" s="9" t="s">
        <f>VLOOKUP(ROUND(($B$1-C5)/365,0),$H$3:$I$11,2,FALSE)</f>
        <v>14</v>
      </c>
      <c r="F5" s="1"/>
      <c r="G5" s="1"/>
      <c r="H5" s="11">
        <v>8</v>
      </c>
      <c r="I5" t="s" s="11">
        <v>14</v>
      </c>
      <c r="J5" s="1"/>
      <c r="K5" s="1"/>
      <c r="L5" s="1"/>
      <c r="M5" s="12">
        <f>$B$1</f>
        <v>45291</v>
      </c>
      <c r="N5" s="1">
        <f>(M5-C5)/365</f>
        <v>8.087671232876712</v>
      </c>
      <c r="O5" s="1">
        <f>ROUND(N5,0)</f>
        <v>8</v>
      </c>
    </row>
    <row r="6" ht="14.00" customHeight="true">
      <c r="A6" t="s" s="8">
        <v>9</v>
      </c>
      <c r="B6" t="s" s="8">
        <v>13</v>
      </c>
      <c r="C6" s="9">
        <v>42290</v>
      </c>
      <c r="D6" t="s" s="10">
        <v>11</v>
      </c>
      <c r="E6" s="9" t="s">
        <f>VLOOKUP(ROUND(($B$1-C6)/365,0),$H$3:$I$11,2,FALSE)</f>
        <v>14</v>
      </c>
      <c r="F6" s="1"/>
      <c r="G6" s="1"/>
      <c r="H6" s="11">
        <v>9</v>
      </c>
      <c r="I6" t="s" s="11">
        <v>14</v>
      </c>
      <c r="J6" s="1"/>
      <c r="K6" s="1"/>
      <c r="L6" s="1"/>
      <c r="M6" s="12">
        <f>$B$1</f>
        <v>45291</v>
      </c>
      <c r="N6" s="1">
        <f>(M6-C6)/365</f>
        <v>8.221917808219178</v>
      </c>
      <c r="O6" s="1">
        <f>ROUND(N6,0)</f>
        <v>8</v>
      </c>
    </row>
    <row r="7" ht="14.00" customHeight="true">
      <c r="A7" t="s" s="8">
        <v>9</v>
      </c>
      <c r="B7" t="s" s="8">
        <v>13</v>
      </c>
      <c r="C7" s="9">
        <v>42480</v>
      </c>
      <c r="D7" t="s" s="10">
        <v>11</v>
      </c>
      <c r="E7" s="9" t="s">
        <f>VLOOKUP(ROUND(($B$1-C7)/365,0),$H$3:$I$11,2,FALSE)</f>
        <v>14</v>
      </c>
      <c r="F7" s="1"/>
      <c r="G7" s="1"/>
      <c r="H7" s="11">
        <v>10</v>
      </c>
      <c r="I7" t="s" s="11">
        <v>15</v>
      </c>
      <c r="J7" s="1"/>
      <c r="K7" s="1"/>
      <c r="L7" s="1"/>
      <c r="M7" s="12">
        <f>$B$1</f>
        <v>45291</v>
      </c>
      <c r="N7" s="1">
        <f>(M7-C7)/365</f>
        <v>7.701369863013698</v>
      </c>
      <c r="O7" s="1">
        <f>ROUND(N7,0)</f>
        <v>8</v>
      </c>
    </row>
    <row r="8" ht="14.00" customHeight="true">
      <c r="A8" t="s" s="8">
        <v>9</v>
      </c>
      <c r="B8" t="s" s="8">
        <v>13</v>
      </c>
      <c r="C8" s="9">
        <v>41843</v>
      </c>
      <c r="D8" t="s" s="10">
        <v>11</v>
      </c>
      <c r="E8" s="9" t="s">
        <f>VLOOKUP(ROUND(($B$1-C8)/365,0),$H$3:$I$11,2,FALSE)</f>
        <v>14</v>
      </c>
      <c r="F8" s="1"/>
      <c r="G8" s="1"/>
      <c r="H8" s="11">
        <v>11</v>
      </c>
      <c r="I8" t="s" s="11">
        <v>15</v>
      </c>
      <c r="J8" s="1"/>
      <c r="K8" s="1"/>
      <c r="L8" s="1"/>
      <c r="M8" s="12">
        <f>$B$1</f>
        <v>45291</v>
      </c>
      <c r="N8" s="1">
        <f>(M8-C8)/365</f>
        <v>9.446575342465753</v>
      </c>
      <c r="O8" s="1">
        <f>ROUND(N8,0)</f>
        <v>9</v>
      </c>
    </row>
    <row r="9" ht="14.00" customHeight="true">
      <c r="A9" t="s" s="8">
        <v>9</v>
      </c>
      <c r="B9" t="s" s="8">
        <v>13</v>
      </c>
      <c r="C9" s="9">
        <v>41940</v>
      </c>
      <c r="D9" t="s" s="10">
        <v>11</v>
      </c>
      <c r="E9" s="9" t="s">
        <f>VLOOKUP(ROUND(($B$1-C9)/365,0),$H$3:$I$11,2,FALSE)</f>
        <v>14</v>
      </c>
      <c r="F9" s="1"/>
      <c r="G9" s="1"/>
      <c r="H9" s="11">
        <v>12</v>
      </c>
      <c r="I9" t="s" s="11">
        <v>16</v>
      </c>
      <c r="J9" s="1"/>
      <c r="K9" s="1"/>
      <c r="L9" s="1"/>
      <c r="M9" s="12">
        <f>$B$1</f>
        <v>45291</v>
      </c>
      <c r="N9" s="1">
        <f>(M9-C9)/365</f>
        <v>9.180821917808219</v>
      </c>
      <c r="O9" s="1">
        <f>ROUND(N9,0)</f>
        <v>9</v>
      </c>
    </row>
    <row r="10" ht="14.00" customHeight="true">
      <c r="A10" t="s" s="8">
        <v>9</v>
      </c>
      <c r="B10" t="s" s="8">
        <v>13</v>
      </c>
      <c r="C10" s="9">
        <v>41881</v>
      </c>
      <c r="D10" t="s" s="10">
        <v>11</v>
      </c>
      <c r="E10" s="9" t="s">
        <f>VLOOKUP(ROUND(($B$1-C10)/365,0),$H$3:$I$11,2,FALSE)</f>
        <v>14</v>
      </c>
      <c r="F10" s="1"/>
      <c r="G10" s="1"/>
      <c r="H10" s="11">
        <v>13</v>
      </c>
      <c r="I10" t="s" s="11">
        <v>16</v>
      </c>
      <c r="J10" s="1"/>
      <c r="K10" s="1"/>
      <c r="L10" s="1"/>
      <c r="M10" s="12">
        <f>$B$1</f>
        <v>45291</v>
      </c>
      <c r="N10" s="1">
        <f>(M10-C10)/365</f>
        <v>9.342465753424657</v>
      </c>
      <c r="O10" s="1">
        <f>ROUND(N10,0)</f>
        <v>9</v>
      </c>
    </row>
    <row r="11" ht="14.00" customHeight="true">
      <c r="A11" t="s" s="8">
        <v>9</v>
      </c>
      <c r="B11" t="s" s="8">
        <v>13</v>
      </c>
      <c r="C11" s="9">
        <v>42499</v>
      </c>
      <c r="D11" t="s" s="10">
        <v>11</v>
      </c>
      <c r="E11" s="9" t="s">
        <f>VLOOKUP(ROUND(($B$1-C11)/365,0),$H$3:$I$11,2,FALSE)</f>
        <v>14</v>
      </c>
      <c r="F11" s="1"/>
      <c r="G11" s="1"/>
      <c r="H11" s="11">
        <v>14</v>
      </c>
      <c r="I11" t="s" s="11">
        <v>16</v>
      </c>
      <c r="J11" s="1"/>
      <c r="K11" s="1"/>
      <c r="L11" s="1"/>
      <c r="M11" s="12">
        <f>$B$1</f>
        <v>45291</v>
      </c>
      <c r="N11" s="1">
        <f>(M11-C11)/365</f>
        <v>7.64931506849315</v>
      </c>
      <c r="O11" s="1">
        <f>ROUND(N11,0)</f>
        <v>8</v>
      </c>
    </row>
    <row r="12" ht="14.00" customHeight="true">
      <c r="A12" t="s" s="8">
        <v>9</v>
      </c>
      <c r="B12" t="s" s="8">
        <v>13</v>
      </c>
      <c r="C12" s="9">
        <v>41599</v>
      </c>
      <c r="D12" t="s" s="10">
        <v>11</v>
      </c>
      <c r="E12" s="9" t="s">
        <f>VLOOKUP(ROUND(($B$1-C12)/365,0),$H$3:$I$11,2,FALSE)</f>
        <v>15</v>
      </c>
      <c r="F12" s="1"/>
      <c r="G12" s="1"/>
      <c r="H12" s="1"/>
      <c r="I12" s="1"/>
      <c r="J12" s="1"/>
      <c r="K12" s="1"/>
      <c r="L12" s="1"/>
      <c r="M12" s="12">
        <f>$B$1</f>
        <v>45291</v>
      </c>
      <c r="N12" s="1">
        <f>(M12-C12)/365</f>
        <v>10.115068493150686</v>
      </c>
      <c r="O12" s="1">
        <f>ROUND(N12,0)</f>
        <v>10</v>
      </c>
    </row>
    <row r="13" ht="14.00" customHeight="true">
      <c r="A13" t="s" s="8">
        <v>9</v>
      </c>
      <c r="B13" t="s" s="8">
        <v>13</v>
      </c>
      <c r="C13" s="9">
        <v>41661</v>
      </c>
      <c r="D13" t="s" s="10">
        <v>11</v>
      </c>
      <c r="E13" s="9" t="s">
        <f>VLOOKUP(ROUND(($B$1-C13)/365,0),$H$3:$I$11,2,FALSE)</f>
        <v>15</v>
      </c>
      <c r="F13" s="1"/>
      <c r="G13" s="1"/>
      <c r="H13" s="1"/>
      <c r="I13" s="1"/>
      <c r="J13" s="1"/>
      <c r="K13" s="1"/>
      <c r="L13" s="1"/>
      <c r="M13" s="12">
        <f>$B$1</f>
        <v>45291</v>
      </c>
      <c r="N13" s="1">
        <f>(M13-C13)/365</f>
        <v>9.945205479452055</v>
      </c>
      <c r="O13" s="1">
        <f>ROUND(N13,0)</f>
        <v>10</v>
      </c>
    </row>
    <row r="14" ht="14.00" customHeight="true">
      <c r="A14" t="s" s="8">
        <v>9</v>
      </c>
      <c r="B14" t="s" s="8">
        <v>13</v>
      </c>
      <c r="C14" s="9">
        <v>41815</v>
      </c>
      <c r="D14" t="s" s="10">
        <v>11</v>
      </c>
      <c r="E14" s="9" t="s">
        <f>VLOOKUP(ROUND(($B$1-C14)/365,0),$H$3:$I$11,2,FALSE)</f>
        <v>15</v>
      </c>
      <c r="F14" s="1"/>
      <c r="G14" s="1"/>
      <c r="H14" s="1"/>
      <c r="I14" s="1"/>
      <c r="J14" s="1"/>
      <c r="K14" s="1"/>
      <c r="L14" s="1"/>
      <c r="M14" s="12">
        <f>$B$1</f>
        <v>45291</v>
      </c>
      <c r="N14" s="1">
        <f>(M14-C14)/365</f>
        <v>9.523287671232877</v>
      </c>
      <c r="O14" s="1">
        <f>ROUND(N14,0)</f>
        <v>10</v>
      </c>
    </row>
    <row r="15" ht="14.00" customHeight="true">
      <c r="A15" t="s" s="8">
        <v>9</v>
      </c>
      <c r="B15" t="s" s="8">
        <v>13</v>
      </c>
      <c r="C15" s="9">
        <v>41056</v>
      </c>
      <c r="D15" t="s" s="10">
        <v>11</v>
      </c>
      <c r="E15" s="9" t="s">
        <f>VLOOKUP(ROUND(($B$1-C15)/365,0),$H$3:$I$11,2,FALSE)</f>
        <v>16</v>
      </c>
      <c r="F15" s="1"/>
      <c r="G15" s="1"/>
      <c r="H15" s="1"/>
      <c r="I15" s="1"/>
      <c r="J15" s="1"/>
      <c r="K15" s="1"/>
      <c r="L15" s="1"/>
      <c r="M15" s="12">
        <f>$B$1</f>
        <v>45291</v>
      </c>
      <c r="N15" s="1">
        <f>(M15-C15)/365</f>
        <v>11.602739726027398</v>
      </c>
      <c r="O15" s="1">
        <f>ROUND(N15,0)</f>
        <v>12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2026-05-31T22:08:57Z</dcterms:created>
  <dcterms:modified xsi:type="dcterms:W3CDTF">2026-05-31T22:08:57Z</dcterms:modified>
</cp:coreProperties>
</file>