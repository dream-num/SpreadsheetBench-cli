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BD5D6C-6426-4329-A543-D76C7F11A2F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Vat" sheetId="1" r:id="rId1"/>
  </sheets>
  <definedNames>
    <definedName name="CFADSZmOutLeft">#REF!</definedName>
    <definedName name="CFADSZmOutTop">#REF!</definedName>
    <definedName name="CFSFinancing">OFFSET(#REF!,,,,COUNTIF(#REF!,"&lt;&gt;0")-1)</definedName>
    <definedName name="CFSInvesting">OFFSET(#REF!,,,,COUNTIF(#REF!,"&lt;&gt;0")-1)</definedName>
    <definedName name="EquityCFCumulative">OFFSET(#REF!,,,,COUNTIF(#REF!,"&lt;&gt;0")-1)</definedName>
    <definedName name="EquityZmInLeft">#REF!</definedName>
    <definedName name="JLFixed">#REF!</definedName>
    <definedName name="RatiosDebtEBITDA">OFFSET(#REF!,,,,COUNTIF(#REF!,"&lt;&gt;0")-1)</definedName>
    <definedName name="Range3">#REF!</definedName>
    <definedName name="CFSNetCash">OFFSET(#REF!,,,,COUNTIF(#REF!,"&lt;&gt;0")-1)</definedName>
    <definedName name="CFSZmInWidth">#REF!</definedName>
    <definedName name="CFSZmOutLeft">#REF!</definedName>
    <definedName name="EquityZmInWidth">#REF!</definedName>
    <definedName name="RatiosDSCR">OFFSET(#REF!,,,,COUNTIF(#REF!,"&lt;&gt;0")-1)</definedName>
    <definedName name="RatiosZmInLeft">#REF!</definedName>
    <definedName name="SHLTenor">#REF!</definedName>
    <definedName name="CFADSYearly">OFFSET(#REF!,,,,COUNTIF(#REF!,"&lt;&gt;0")-1)</definedName>
    <definedName name="CFADSZmInTop">#REF!</definedName>
    <definedName name="CFSOperations">OFFSET(#REF!,,,,COUNTIF(#REF!,"&lt;&gt;0")-1)</definedName>
    <definedName name="RatiosZmInTop">#REF!</definedName>
    <definedName name="EquityZmInTop">#REF!</definedName>
    <definedName name="EquityZmOutLeft">#REF!</definedName>
    <definedName name="Range2">#REF!</definedName>
    <definedName name="CFSZmOutTop">#REF!</definedName>
    <definedName name="CFSZmOutWidth">#REF!</definedName>
    <definedName name="DashBoard">#REF!</definedName>
    <definedName name="EquityZmOutTop">#REF!</definedName>
    <definedName name="RatiosDebtService">OFFSET(#REF!,,,,COUNTIF(#REF!,"&lt;&gt;0")-1)</definedName>
    <definedName name="RatiosZmOutLeft">#REF!</definedName>
    <definedName name="CFADSZmInLeft">#REF!</definedName>
    <definedName name="CFADSZmOutWidth">#REF!</definedName>
    <definedName name="CFSZmInLeft">#REF!</definedName>
    <definedName name="OffsetRange2">#REF!</definedName>
    <definedName name="RatiosZmOutTop">#REF!</definedName>
    <definedName name="CFADSZmInWidth">#REF!</definedName>
    <definedName name="CFSZmInTop">#REF!</definedName>
    <definedName name="EquityCFYearly">OFFSET(#REF!,,,,COUNTIF(#REF!,"&lt;&gt;0")-1)</definedName>
    <definedName name="EquityZmOutWidth">#REF!</definedName>
    <definedName name="Range1">#REF!</definedName>
    <definedName name="RatiosInterestCoveer">OFFSET(#REF!,,,,COUNTIF(#REF!,"&lt;&gt;0")-1)</definedName>
    <definedName name="RatiosZmInWidth">#REF!</definedName>
    <definedName name="RatiosZmOutWid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/>
  <c r="I4" i="1"/>
  <c r="N4" i="1"/>
  <c r="F4" i="1"/>
  <c r="E4" i="1"/>
  <c r="J4" i="1"/>
  <c r="P4" i="1"/>
  <c r="Q4" i="1"/>
  <c r="M4" i="1"/>
  <c r="O4" i="1"/>
  <c r="H4" i="1"/>
  <c r="L4" i="1"/>
  <c r="G4" i="1"/>
  <c r="H15" i="1"/>
  <c r="K15" i="1"/>
  <c r="L15" i="1"/>
  <c r="P15" i="1"/>
  <c r="E15" i="1"/>
  <c r="Q15" i="1"/>
  <c r="M15" i="1"/>
  <c r="D15" i="1"/>
  <c r="G15" i="1"/>
  <c r="J15" i="1"/>
  <c r="N15" i="1"/>
  <c r="C15" i="1"/>
  <c r="F15" i="1"/>
  <c r="I15" i="1"/>
  <c r="O15" i="1"/>
  <c r="Q18" i="1"/>
  <c r="K18" i="1"/>
  <c r="D18" i="1"/>
  <c r="F18" i="1"/>
  <c r="I18" i="1"/>
  <c r="M18" i="1"/>
  <c r="P18" i="1"/>
  <c r="E18" i="1"/>
  <c r="C18" i="1"/>
  <c r="O18" i="1"/>
  <c r="L18" i="1"/>
  <c r="J18" i="1"/>
  <c r="G18" i="1"/>
  <c r="H18" i="1"/>
  <c r="N18" i="1"/>
  <c r="J23" i="1"/>
  <c r="D23" i="1"/>
  <c r="K23" i="1"/>
  <c r="I23" i="1"/>
  <c r="L23" i="1"/>
  <c r="Q23" i="1"/>
  <c r="O23" i="1"/>
  <c r="H23" i="1"/>
  <c r="F23" i="1"/>
  <c r="P23" i="1"/>
  <c r="M23" i="1"/>
  <c r="E23" i="1"/>
  <c r="N23" i="1"/>
  <c r="G23" i="1"/>
  <c r="C23" i="1"/>
  <c r="P8" i="1"/>
  <c r="N8" i="1"/>
  <c r="L8" i="1"/>
  <c r="H8" i="1"/>
  <c r="F8" i="1"/>
  <c r="O8" i="1"/>
  <c r="Q8" i="1"/>
  <c r="K8" i="1"/>
  <c r="D8" i="1"/>
  <c r="E8" i="1"/>
  <c r="J8" i="1"/>
  <c r="I8" i="1"/>
  <c r="G8" i="1"/>
  <c r="M8" i="1"/>
  <c r="F9" i="1"/>
  <c r="K9" i="1"/>
  <c r="O9" i="1"/>
  <c r="G9" i="1"/>
  <c r="M9" i="1"/>
  <c r="Q9" i="1"/>
  <c r="D9" i="1"/>
  <c r="P9" i="1"/>
  <c r="J9" i="1"/>
  <c r="N9" i="1"/>
  <c r="E9" i="1"/>
  <c r="H9" i="1"/>
  <c r="I9" i="1"/>
  <c r="L9" i="1"/>
  <c r="Q13" i="1"/>
  <c r="P13" i="1"/>
  <c r="D13" i="1"/>
  <c r="J13" i="1"/>
  <c r="H13" i="1"/>
  <c r="E13" i="1"/>
  <c r="K13" i="1"/>
  <c r="C13" i="1"/>
  <c r="G13" i="1"/>
  <c r="L13" i="1"/>
  <c r="F13" i="1"/>
  <c r="M13" i="1"/>
  <c r="N13" i="1"/>
  <c r="O13" i="1"/>
  <c r="I13" i="1"/>
  <c r="P22" i="1"/>
  <c r="J22" i="1"/>
  <c r="H22" i="1"/>
  <c r="D22" i="1"/>
  <c r="N22" i="1"/>
  <c r="L22" i="1"/>
  <c r="K22" i="1"/>
  <c r="M22" i="1"/>
  <c r="C22" i="1"/>
  <c r="G22" i="1"/>
  <c r="F22" i="1"/>
  <c r="I22" i="1"/>
  <c r="E22" i="1"/>
  <c r="Q22" i="1"/>
  <c r="O22" i="1"/>
  <c r="M21" i="1"/>
  <c r="L21" i="1"/>
  <c r="N21" i="1"/>
  <c r="H21" i="1"/>
  <c r="O21" i="1"/>
  <c r="Q21" i="1"/>
  <c r="P21" i="1"/>
  <c r="J21" i="1"/>
  <c r="G21" i="1"/>
  <c r="D21" i="1"/>
  <c r="E21" i="1"/>
  <c r="F21" i="1"/>
  <c r="I21" i="1"/>
  <c r="K21" i="1"/>
  <c r="C21" i="1"/>
  <c r="G19" i="1"/>
  <c r="P19" i="1"/>
  <c r="N19" i="1"/>
  <c r="F19" i="1"/>
  <c r="I19" i="1"/>
  <c r="H19" i="1"/>
  <c r="K19" i="1"/>
  <c r="Q19" i="1"/>
  <c r="D19" i="1"/>
  <c r="C19" i="1"/>
  <c r="L19" i="1"/>
  <c r="J19" i="1"/>
  <c r="M19" i="1"/>
  <c r="O19" i="1"/>
  <c r="E19" i="1"/>
  <c r="M20" i="1"/>
  <c r="Q20" i="1"/>
  <c r="P20" i="1"/>
  <c r="F20" i="1"/>
  <c r="C20" i="1"/>
  <c r="G20" i="1"/>
  <c r="K20" i="1"/>
  <c r="D20" i="1"/>
  <c r="N20" i="1"/>
  <c r="E20" i="1"/>
  <c r="O20" i="1"/>
  <c r="I20" i="1"/>
  <c r="L20" i="1"/>
  <c r="H20" i="1"/>
  <c r="J20" i="1"/>
  <c r="Q17" i="1"/>
  <c r="D17" i="1"/>
  <c r="L17" i="1"/>
  <c r="F17" i="1"/>
  <c r="K17" i="1"/>
  <c r="G17" i="1"/>
  <c r="E17" i="1"/>
  <c r="C17" i="1"/>
  <c r="P17" i="1"/>
  <c r="O17" i="1"/>
  <c r="I17" i="1"/>
  <c r="H17" i="1"/>
  <c r="N17" i="1"/>
  <c r="J17" i="1"/>
  <c r="M17" i="1"/>
  <c r="F14" i="1"/>
  <c r="M14" i="1"/>
  <c r="P14" i="1"/>
  <c r="J14" i="1"/>
  <c r="C14" i="1"/>
  <c r="I14" i="1"/>
  <c r="K14" i="1"/>
  <c r="Q14" i="1"/>
  <c r="L14" i="1"/>
  <c r="G14" i="1"/>
  <c r="N14" i="1"/>
  <c r="D14" i="1"/>
  <c r="H14" i="1"/>
  <c r="O14" i="1"/>
  <c r="E14" i="1"/>
  <c r="H5" i="1"/>
  <c r="P5" i="1"/>
  <c r="M5" i="1"/>
  <c r="F5" i="1"/>
  <c r="J5" i="1"/>
  <c r="K5" i="1"/>
  <c r="I5" i="1"/>
  <c r="D5" i="1"/>
  <c r="G5" i="1"/>
  <c r="L5" i="1"/>
  <c r="O5" i="1"/>
  <c r="Q5" i="1"/>
  <c r="E5" i="1"/>
  <c r="N5" i="1"/>
  <c r="K16" i="1"/>
  <c r="E16" i="1"/>
  <c r="P16" i="1"/>
  <c r="F16" i="1"/>
  <c r="I16" i="1"/>
  <c r="D16" i="1"/>
  <c r="Q16" i="1"/>
  <c r="H16" i="1"/>
  <c r="O16" i="1"/>
  <c r="N16" i="1"/>
  <c r="G16" i="1"/>
  <c r="L16" i="1"/>
  <c r="M16" i="1"/>
  <c r="J16" i="1"/>
  <c r="C16" i="1"/>
  <c r="F3" i="1"/>
  <c r="H3" i="1"/>
  <c r="M3" i="1"/>
  <c r="J3" i="1"/>
  <c r="P3" i="1"/>
  <c r="Q3" i="1"/>
  <c r="I3" i="1"/>
  <c r="G3" i="1"/>
  <c r="O3" i="1"/>
  <c r="K3" i="1"/>
  <c r="N3" i="1"/>
  <c r="E3" i="1"/>
  <c r="L3" i="1"/>
  <c r="D24" i="1"/>
  <c r="K24" i="1"/>
  <c r="H24" i="1"/>
  <c r="E24" i="1"/>
  <c r="Q24" i="1"/>
  <c r="M24" i="1"/>
  <c r="L24" i="1"/>
  <c r="P24" i="1"/>
  <c r="O24" i="1"/>
  <c r="J24" i="1"/>
  <c r="F24" i="1"/>
  <c r="N24" i="1"/>
  <c r="I24" i="1"/>
  <c r="G24" i="1"/>
  <c r="L12" i="1"/>
  <c r="Q12" i="1"/>
  <c r="K12" i="1"/>
  <c r="E12" i="1"/>
  <c r="D12" i="1"/>
  <c r="M12" i="1"/>
  <c r="H12" i="1"/>
  <c r="G12" i="1"/>
  <c r="I12" i="1"/>
  <c r="J12" i="1"/>
  <c r="F12" i="1"/>
  <c r="C12" i="1"/>
  <c r="P12" i="1"/>
  <c r="O12" i="1"/>
  <c r="N12" i="1"/>
</calcChain>
</file>

<file path=xl/sharedStrings.xml><?xml version="1.0" encoding="utf-8"?>
<sst xmlns="http://schemas.openxmlformats.org/spreadsheetml/2006/main" count="1" uniqueCount="1">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</sst>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_-* #,##0.000_-;\-* #,##0.000_-;_-* &quot;-&quot;??_-;_-@_-"/>
    <numFmt numFmtId="3" formatCode="0"/>
    <numFmt numFmtId="4" formatCode="_-* #,##0_-;\-* #,##0_-;_-* &quot;-&quot;??_-;_-@_-"/>
    <numFmt numFmtId="5" formatCode="0_ ;[Red]\-0\ "/>
    <numFmt numFmtId="6" formatCode="dd/mmm/yy;\-dd/mmm/yy;\-;@"/>
    <numFmt numFmtId="7" formatCode="&quot;R&quot;#,##0.000;[Red]\-&quot;R&quot;#,##0.00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family val="2"/>
    </font>
    <font>
      <name val="等线"/>
      <sz val="11.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1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2" applyNumberFormat="1" fontId="1" applyFont="1" borderId="1" applyBorder="1" applyAlignment="1">
      <alignment/>
    </xf>
    <xf numFmtId="3" applyNumberFormat="1" fontId="1" applyFont="1" applyAlignment="1">
      <alignment horizontal="center"/>
    </xf>
    <xf numFmtId="4" applyNumberFormat="1" fontId="2" applyFont="1" borderId="2" applyBorder="1" applyAlignment="1">
      <alignment horizontal="center"/>
    </xf>
    <xf numFmtId="2" applyNumberFormat="1" fontId="1" applyFont="1" applyAlignment="1">
      <alignment/>
    </xf>
    <xf numFmtId="5" applyNumberFormat="1" fontId="2" applyFont="1" applyAlignment="1">
      <alignment horizontal="center"/>
    </xf>
    <xf numFmtId="1" applyNumberFormat="1" fontId="1" applyFont="1" applyAlignment="1">
      <alignment horizontal="center"/>
    </xf>
    <xf numFmtId="6" applyNumberFormat="1" fontId="1" applyFont="1" applyAlignment="1">
      <alignment horizontal="left"/>
    </xf>
    <xf numFmtId="3" applyNumberFormat="1" fontId="1" applyFont="1" applyAlignment="1">
      <alignment horizontal="center"/>
    </xf>
    <xf numFmtId="4" applyNumberFormat="1" fontId="2" applyFont="1" borderId="2" applyBorder="1" applyAlignment="1">
      <alignment horizontal="center"/>
    </xf>
    <xf numFmtId="2" applyNumberFormat="1" fontId="1" applyFont="1" applyAlignment="1">
      <alignment/>
    </xf>
    <xf numFmtId="6" applyNumberFormat="1" fontId="1" applyFont="1" applyAlignment="1">
      <alignment horizontal="left"/>
    </xf>
    <xf numFmtId="3" applyNumberFormat="1" fontId="1" applyFont="1" applyAlignment="1">
      <alignment horizontal="center"/>
    </xf>
    <xf numFmtId="1" applyNumberFormat="1" fontId="1" applyFont="1" applyAlignment="1">
      <alignment/>
    </xf>
    <xf numFmtId="2" applyNumberFormat="1" fontId="1" applyFont="1" borderId="1" applyBorder="1" applyAlignment="1">
      <alignment/>
    </xf>
    <xf numFmtId="2" applyNumberFormat="1" fontId="1" applyFont="1" applyAlignment="1">
      <alignment/>
    </xf>
    <xf numFmtId="7" applyNumberFormat="1" fontId="3" applyFont="1" borderId="2" applyBorder="1" applyAlignment="1">
      <alignment horizontal="center"/>
    </xf>
    <xf numFmtId="3" applyNumberFormat="1" fontId="1" applyFont="1" applyAlignment="1">
      <alignment horizontal="center"/>
    </xf>
    <xf numFmtId="2" applyNumberFormat="1" fontId="1" applyFont="1" applyAlignment="1">
      <alignment/>
    </xf>
  </cellStyleXfs>
  <cellXfs count="19">
    <xf numFmtId="0" fontId="0" fillId="0" borderId="0" xfId="0"/>
    <xf xfId="8" quotePrefix="0" pivotButton="0" numFmtId="1" applyNumberFormat="1" fontId="1" applyFont="1" applyAlignment="1">
      <alignment horizontal="center"/>
    </xf>
    <xf xfId="19" quotePrefix="0" pivotButton="0" numFmtId="3" applyNumberFormat="1" fontId="1" applyFont="1" applyAlignment="1">
      <alignment horizontal="center"/>
    </xf>
    <xf xfId="4" quotePrefix="0" pivotButton="0" numFmtId="3" applyNumberFormat="1" fontId="1" applyFont="1" applyAlignment="1">
      <alignment horizontal="center"/>
    </xf>
    <xf xfId="9" quotePrefix="0" pivotButton="0" numFmtId="6" applyNumberFormat="1" fontId="1" applyFont="1" applyAlignment="1">
      <alignment horizontal="left"/>
    </xf>
    <xf xfId="13" quotePrefix="0" pivotButton="0" numFmtId="6" applyNumberFormat="1" fontId="1" applyFont="1" applyAlignment="1">
      <alignment horizontal="left"/>
    </xf>
    <xf xfId="15" quotePrefix="0" pivotButton="0" numFmtId="1" applyNumberFormat="1" fontId="1" applyFont="1" applyAlignment="1">
      <alignment/>
    </xf>
    <xf xfId="10" quotePrefix="0" pivotButton="0" numFmtId="3" applyNumberFormat="1" fontId="1" applyFont="1" applyAlignment="1">
      <alignment horizontal="center"/>
    </xf>
    <xf xfId="14" quotePrefix="0" pivotButton="0" numFmtId="3" applyNumberFormat="1" fontId="1" applyFont="1" applyAlignment="1">
      <alignment horizontal="center"/>
    </xf>
    <xf xfId="18" quotePrefix="0" pivotButton="0" numFmtId="7" applyNumberFormat="1" fontId="3" applyFont="1" borderId="2" applyBorder="1" applyAlignment="1">
      <alignment horizontal="center"/>
    </xf>
    <xf xfId="11" quotePrefix="0" pivotButton="0" numFmtId="4" applyNumberFormat="1" fontId="2" applyFont="1" borderId="2" applyBorder="1" applyAlignment="1">
      <alignment horizontal="center"/>
    </xf>
    <xf xfId="5" quotePrefix="0" pivotButton="0" numFmtId="4" applyNumberFormat="1" fontId="2" applyFont="1" borderId="2" applyBorder="1" applyAlignment="1">
      <alignment horizontal="center"/>
    </xf>
    <xf xfId="7" quotePrefix="0" pivotButton="0" numFmtId="5" applyNumberFormat="1" fontId="2" applyFont="1" applyAlignment="1">
      <alignment horizontal="center"/>
    </xf>
    <xf xfId="6" quotePrefix="0" pivotButton="0" numFmtId="2" applyNumberFormat="1" fontId="1" applyFont="1" applyAlignment="1">
      <alignment/>
    </xf>
    <xf xfId="12" quotePrefix="0" pivotButton="0" numFmtId="2" applyNumberFormat="1" fontId="1" applyFont="1" applyAlignment="1">
      <alignment/>
    </xf>
    <xf xfId="16" quotePrefix="0" pivotButton="0" numFmtId="2" applyNumberFormat="1" fontId="1" applyFont="1" borderId="1" applyBorder="1" applyAlignment="1">
      <alignment/>
    </xf>
    <xf xfId="3" quotePrefix="0" pivotButton="0" numFmtId="2" applyNumberFormat="1" fontId="1" applyFont="1" borderId="1" applyBorder="1" applyAlignment="1">
      <alignment/>
    </xf>
    <xf xfId="17" quotePrefix="0" pivotButton="0" numFmtId="2" applyNumberFormat="1" fontId="1" applyFont="1" applyAlignment="1">
      <alignment/>
    </xf>
    <xf xfId="20" quotePrefix="0" pivotButton="0" numFmtId="2" applyNumberFormat="1" fontId="1" applyFont="1" applyAlignment="1">
      <alignment/>
    </xf>
  </cellXfs>
  <cellStyles count="1">
    <cellStyle name="normal" xfId="0" builtinId="0"/>
  </cellStyles>
  <dxfs count="2">
    <dxf>
      <font/>
      <fill>
        <patternFill>
          <bgColor rgb="FFe2f0d9"/>
        </patternFill>
      </fill>
      <alignment/>
    </dxf>
    <dxf>
      <font/>
      <fill>
        <patternFill>
          <bgColor rgb="FFfff2cc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3" max="17" width="11.49" customWidth="1" hidden="0"/>
  </cols>
  <sheetData>
    <row r="3" ht="14.00" customHeight="true">
      <c r="C3" s="1"/>
      <c r="D3" s="2">
        <v>1</v>
      </c>
      <c r="E3" s="3">
        <f ref="E3:O3" t="shared" si="1">D3+1</f>
        <v>2</v>
      </c>
      <c r="F3" s="2">
        <f t="shared" si="1"/>
        <v>3</v>
      </c>
      <c r="G3" s="2">
        <f t="shared" si="1"/>
        <v>4</v>
      </c>
      <c r="H3" s="2">
        <f t="shared" si="1"/>
        <v>5</v>
      </c>
      <c r="I3" s="2">
        <f t="shared" si="1"/>
        <v>6</v>
      </c>
      <c r="J3" s="2">
        <f t="shared" si="1"/>
        <v>7</v>
      </c>
      <c r="K3" s="2">
        <f t="shared" si="1"/>
        <v>8</v>
      </c>
      <c r="L3" s="2">
        <f t="shared" si="1"/>
        <v>9</v>
      </c>
      <c r="M3" s="2">
        <f t="shared" si="1"/>
        <v>10</v>
      </c>
      <c r="N3" s="2">
        <f t="shared" si="1"/>
        <v>11</v>
      </c>
      <c r="O3" s="2">
        <f t="shared" si="1"/>
        <v>12</v>
      </c>
      <c r="P3" s="2">
        <f>O3+1</f>
        <v>13</v>
      </c>
      <c r="Q3" s="2">
        <f>P3+1</f>
        <v>14</v>
      </c>
    </row>
    <row r="4" ht="14.00" customHeight="true">
      <c r="C4" s="1"/>
      <c r="D4" s="4">
        <v>44256</v>
      </c>
      <c r="E4" s="5">
        <f>D5+1</f>
        <v>44378</v>
      </c>
      <c r="F4" s="4">
        <f ref="F4:Q4" t="shared" si="3">E5+1</f>
        <v>44501</v>
      </c>
      <c r="G4" s="4">
        <f t="shared" si="3"/>
        <v>44621</v>
      </c>
      <c r="H4" s="4">
        <f t="shared" si="3"/>
        <v>44743</v>
      </c>
      <c r="I4" s="4">
        <f t="shared" si="3"/>
        <v>44866</v>
      </c>
      <c r="J4" s="4">
        <f t="shared" si="3"/>
        <v>44986</v>
      </c>
      <c r="K4" s="4">
        <f t="shared" si="3"/>
        <v>45108</v>
      </c>
      <c r="L4" s="4">
        <f t="shared" si="3"/>
        <v>45231</v>
      </c>
      <c r="M4" s="4">
        <f t="shared" si="3"/>
        <v>45352</v>
      </c>
      <c r="N4" s="4">
        <f t="shared" si="3"/>
        <v>45474</v>
      </c>
      <c r="O4" s="4">
        <f t="shared" si="3"/>
        <v>45597</v>
      </c>
      <c r="P4" s="4">
        <f t="shared" si="3"/>
        <v>45717</v>
      </c>
      <c r="Q4" s="4">
        <f t="shared" si="3"/>
        <v>45839</v>
      </c>
    </row>
    <row r="5" ht="14.00" customHeight="true">
      <c r="C5" s="1"/>
      <c r="D5" s="4">
        <f>EOMONTH(D4,3)</f>
        <v>44377</v>
      </c>
      <c r="E5" s="5">
        <f>EOMONTH(E4,3)</f>
        <v>44500</v>
      </c>
      <c r="F5" s="4">
        <f>EOMONTH(F4,3)</f>
        <v>44620</v>
      </c>
      <c r="G5" s="4">
        <f>EOMONTH(G4,3)</f>
        <v>44742</v>
      </c>
      <c r="H5" s="4">
        <f>EOMONTH(H4,3)</f>
        <v>44865</v>
      </c>
      <c r="I5" s="4">
        <f>EOMONTH(I4,3)</f>
        <v>44985</v>
      </c>
      <c r="J5" s="4">
        <f>EOMONTH(J4,3)</f>
        <v>45107</v>
      </c>
      <c r="K5" s="4">
        <f>EOMONTH(K4,3)</f>
        <v>45230</v>
      </c>
      <c r="L5" s="4">
        <f>EOMONTH(L4,3)</f>
        <v>45351</v>
      </c>
      <c r="M5" s="4">
        <f>EOMONTH(M4,3)</f>
        <v>45473</v>
      </c>
      <c r="N5" s="4">
        <f>EOMONTH(N4,3)</f>
        <v>45596</v>
      </c>
      <c r="O5" s="4">
        <f>EOMONTH(O4,3)</f>
        <v>45716</v>
      </c>
      <c r="P5" s="4">
        <f>EOMONTH(P4,3)</f>
        <v>45838</v>
      </c>
      <c r="Q5" s="4">
        <f>EOMONTH(Q4,3)</f>
        <v>45961</v>
      </c>
    </row>
    <row r="6" ht="14.00" customHeight="true">
      <c r="C6" s="1"/>
      <c r="D6" s="2"/>
      <c r="E6" s="3"/>
      <c r="F6" s="2"/>
      <c r="G6" s="2"/>
    </row>
    <row r="7" ht="14.00" customHeight="true">
      <c r="C7" s="1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14.00" customHeight="true">
      <c r="C8" s="6"/>
      <c r="D8" s="7">
        <f>MONTH(D$4)</f>
        <v>3</v>
      </c>
      <c r="E8" s="8">
        <f ref="E8:Q8" t="shared" si="4">MONTH(E$4)</f>
        <v>7</v>
      </c>
      <c r="F8" s="7">
        <f t="shared" si="4"/>
        <v>11</v>
      </c>
      <c r="G8" s="7">
        <f t="shared" si="4"/>
        <v>3</v>
      </c>
      <c r="H8" s="7">
        <f t="shared" si="4"/>
        <v>7</v>
      </c>
      <c r="I8" s="7">
        <f t="shared" si="4"/>
        <v>11</v>
      </c>
      <c r="J8" s="7">
        <f t="shared" si="4"/>
        <v>3</v>
      </c>
      <c r="K8" s="7">
        <f t="shared" si="4"/>
        <v>7</v>
      </c>
      <c r="L8" s="7">
        <f t="shared" si="4"/>
        <v>11</v>
      </c>
      <c r="M8" s="7">
        <f t="shared" si="4"/>
        <v>3</v>
      </c>
      <c r="N8" s="7">
        <f t="shared" si="4"/>
        <v>7</v>
      </c>
      <c r="O8" s="7">
        <f t="shared" si="4"/>
        <v>11</v>
      </c>
      <c r="P8" s="7">
        <f t="shared" si="4"/>
        <v>3</v>
      </c>
      <c r="Q8" s="7">
        <f t="shared" si="4"/>
        <v>7</v>
      </c>
    </row>
    <row r="9" ht="14.00" customHeight="true">
      <c r="D9" s="7">
        <f>MONTH(D$5)</f>
        <v>6</v>
      </c>
      <c r="E9" s="7">
        <f ref="E9:Q9" t="shared" si="5">MONTH(E$5)</f>
        <v>10</v>
      </c>
      <c r="F9" s="8">
        <f t="shared" si="5"/>
        <v>2</v>
      </c>
      <c r="G9" s="7">
        <f t="shared" si="5"/>
        <v>6</v>
      </c>
      <c r="H9" s="7">
        <f t="shared" si="5"/>
        <v>10</v>
      </c>
      <c r="I9" s="7">
        <f t="shared" si="5"/>
        <v>2</v>
      </c>
      <c r="J9" s="7">
        <f t="shared" si="5"/>
        <v>6</v>
      </c>
      <c r="K9" s="7">
        <f t="shared" si="5"/>
        <v>10</v>
      </c>
      <c r="L9" s="7">
        <f t="shared" si="5"/>
        <v>2</v>
      </c>
      <c r="M9" s="7">
        <f t="shared" si="5"/>
        <v>6</v>
      </c>
      <c r="N9" s="7">
        <f t="shared" si="5"/>
        <v>10</v>
      </c>
      <c r="O9" s="7">
        <f t="shared" si="5"/>
        <v>2</v>
      </c>
      <c r="P9" s="7">
        <f t="shared" si="5"/>
        <v>6</v>
      </c>
      <c r="Q9" s="7">
        <f t="shared" si="5"/>
        <v>10</v>
      </c>
    </row>
    <row r="11" ht="14.00" customHeight="true">
      <c r="C11" t="s" s="9">
        <v>0</v>
      </c>
      <c r="D11" s="10">
        <v>1</v>
      </c>
      <c r="E11" s="11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0">
        <v>14</v>
      </c>
    </row>
    <row r="12" ht="14.00" customHeight="true">
      <c r="C12" s="12">
        <f>MONTH($D$4)</f>
        <v>3</v>
      </c>
      <c r="D12" s="13">
        <f>IF(D$8&lt;=D$9,IF(AND($C12&gt;=D$8,$C12&lt;=D$9),1,0),IF(OR($C12&gt;=D$8,$C12&lt;=D$9),1,0))</f>
        <v>1</v>
      </c>
      <c r="E12" s="14">
        <f>IF(E$8&lt;=E$9,IF(AND($C12&gt;=E$8,$C12&lt;=E$9),1,0),IF(OR($C12&gt;=E$8,$C12&lt;=E$9),1,0))</f>
        <v>0</v>
      </c>
      <c r="F12" s="13">
        <f>IF(F$8&lt;=F$9,IF(AND($C12&gt;=F$8,$C12&lt;=F$9),1,0),IF(OR($C12&gt;=F$8,$C12&lt;=F$9),1,0))</f>
        <v>0</v>
      </c>
      <c r="G12" s="13">
        <f>IF(G$8&lt;=G$9,IF(AND($C12&gt;=G$8,$C12&lt;=G$9),1,0),IF(OR($C12&gt;=G$8,$C12&lt;=G$9),1,0))</f>
        <v>1</v>
      </c>
      <c r="H12" s="13">
        <f>IF(H$8&lt;=H$9,IF(AND($C12&gt;=H$8,$C12&lt;=H$9),1,0),IF(OR($C12&gt;=H$8,$C12&lt;=H$9),1,0))</f>
        <v>0</v>
      </c>
      <c r="I12" s="13">
        <f>IF(I$8&lt;=I$9,IF(AND($C12&gt;=I$8,$C12&lt;=I$9),1,0),IF(OR($C12&gt;=I$8,$C12&lt;=I$9),1,0))</f>
        <v>0</v>
      </c>
      <c r="J12" s="13">
        <f>IF(J$8&lt;=J$9,IF(AND($C12&gt;=J$8,$C12&lt;=J$9),1,0),IF(OR($C12&gt;=J$8,$C12&lt;=J$9),1,0))</f>
        <v>1</v>
      </c>
      <c r="K12" s="13">
        <f>IF(K$8&lt;=K$9,IF(AND($C12&gt;=K$8,$C12&lt;=K$9),1,0),IF(OR($C12&gt;=K$8,$C12&lt;=K$9),1,0))</f>
        <v>0</v>
      </c>
      <c r="L12" s="13">
        <f>IF(L$8&lt;=L$9,IF(AND($C12&gt;=L$8,$C12&lt;=L$9),1,0),IF(OR($C12&gt;=L$8,$C12&lt;=L$9),1,0))</f>
        <v>0</v>
      </c>
      <c r="M12" s="13">
        <f>IF(M$8&lt;=M$9,IF(AND($C12&gt;=M$8,$C12&lt;=M$9),1,0),IF(OR($C12&gt;=M$8,$C12&lt;=M$9),1,0))</f>
        <v>1</v>
      </c>
      <c r="N12" s="13">
        <f>IF(N$8&lt;=N$9,IF(AND($C12&gt;=N$8,$C12&lt;=N$9),1,0),IF(OR($C12&gt;=N$8,$C12&lt;=N$9),1,0))</f>
        <v>0</v>
      </c>
      <c r="O12" s="13">
        <f>IF(O$8&lt;=O$9,IF(AND($C12&gt;=O$8,$C12&lt;=O$9),1,0),IF(OR($C12&gt;=O$8,$C12&lt;=O$9),1,0))</f>
        <v>0</v>
      </c>
      <c r="P12" s="13">
        <f>IF(P$8&lt;=P$9,IF(AND($C12&gt;=P$8,$C12&lt;=P$9),1,0),IF(OR($C12&gt;=P$8,$C12&lt;=P$9),1,0))</f>
        <v>1</v>
      </c>
      <c r="Q12" s="13">
        <f>IF(Q$8&lt;=Q$9,IF(AND($C12&gt;=Q$8,$C12&lt;=Q$9),1,0),IF(OR($C12&gt;=Q$8,$C12&lt;=Q$9),1,0))</f>
        <v>0</v>
      </c>
    </row>
    <row r="13" ht="14.00" customHeight="true">
      <c r="C13" s="12">
        <f>IF(C12=12,1,C12+1)</f>
        <v>4</v>
      </c>
      <c r="D13" s="13">
        <f>IF(D$8&lt;=D$9,IF(AND($C13&gt;=D$8,$C13&lt;=D$9),1,0),IF(OR($C13&gt;=D$8,$C13&lt;=D$9),1,0))</f>
        <v>1</v>
      </c>
      <c r="E13" s="14">
        <f>IF(E$8&lt;=E$9,IF(AND($C13&gt;=E$8,$C13&lt;=E$9),1,0),IF(OR($C13&gt;=E$8,$C13&lt;=E$9),1,0))</f>
        <v>0</v>
      </c>
      <c r="F13" s="13">
        <f>IF(F$8&lt;=F$9,IF(AND($C13&gt;=F$8,$C13&lt;=F$9),1,0),IF(OR($C13&gt;=F$8,$C13&lt;=F$9),1,0))</f>
        <v>0</v>
      </c>
      <c r="G13" s="13">
        <f>IF(G$8&lt;=G$9,IF(AND($C13&gt;=G$8,$C13&lt;=G$9),1,0),IF(OR($C13&gt;=G$8,$C13&lt;=G$9),1,0))</f>
        <v>1</v>
      </c>
      <c r="H13" s="13">
        <f>IF(H$8&lt;=H$9,IF(AND($C13&gt;=H$8,$C13&lt;=H$9),1,0),IF(OR($C13&gt;=H$8,$C13&lt;=H$9),1,0))</f>
        <v>0</v>
      </c>
      <c r="I13" s="13">
        <f>IF(I$8&lt;=I$9,IF(AND($C13&gt;=I$8,$C13&lt;=I$9),1,0),IF(OR($C13&gt;=I$8,$C13&lt;=I$9),1,0))</f>
        <v>0</v>
      </c>
      <c r="J13" s="13">
        <f>IF(J$8&lt;=J$9,IF(AND($C13&gt;=J$8,$C13&lt;=J$9),1,0),IF(OR($C13&gt;=J$8,$C13&lt;=J$9),1,0))</f>
        <v>1</v>
      </c>
      <c r="K13" s="13">
        <f>IF(K$8&lt;=K$9,IF(AND($C13&gt;=K$8,$C13&lt;=K$9),1,0),IF(OR($C13&gt;=K$8,$C13&lt;=K$9),1,0))</f>
        <v>0</v>
      </c>
      <c r="L13" s="13">
        <f>IF(L$8&lt;=L$9,IF(AND($C13&gt;=L$8,$C13&lt;=L$9),1,0),IF(OR($C13&gt;=L$8,$C13&lt;=L$9),1,0))</f>
        <v>0</v>
      </c>
      <c r="M13" s="13">
        <f>IF(M$8&lt;=M$9,IF(AND($C13&gt;=M$8,$C13&lt;=M$9),1,0),IF(OR($C13&gt;=M$8,$C13&lt;=M$9),1,0))</f>
        <v>1</v>
      </c>
      <c r="N13" s="13">
        <f>IF(N$8&lt;=N$9,IF(AND($C13&gt;=N$8,$C13&lt;=N$9),1,0),IF(OR($C13&gt;=N$8,$C13&lt;=N$9),1,0))</f>
        <v>0</v>
      </c>
      <c r="O13" s="13">
        <f>IF(O$8&lt;=O$9,IF(AND($C13&gt;=O$8,$C13&lt;=O$9),1,0),IF(OR($C13&gt;=O$8,$C13&lt;=O$9),1,0))</f>
        <v>0</v>
      </c>
      <c r="P13" s="13">
        <f>IF(P$8&lt;=P$9,IF(AND($C13&gt;=P$8,$C13&lt;=P$9),1,0),IF(OR($C13&gt;=P$8,$C13&lt;=P$9),1,0))</f>
        <v>1</v>
      </c>
      <c r="Q13" s="13">
        <f>IF(Q$8&lt;=Q$9,IF(AND($C13&gt;=Q$8,$C13&lt;=Q$9),1,0),IF(OR($C13&gt;=Q$8,$C13&lt;=Q$9),1,0))</f>
        <v>0</v>
      </c>
    </row>
    <row r="14" ht="14.00" customHeight="true">
      <c r="C14" s="12">
        <f ref="C14:C23" t="shared" si="0">IF(C13=12,1,C13+1)</f>
        <v>5</v>
      </c>
      <c r="D14" s="13">
        <f>IF(D$8&lt;=D$9,IF(AND($C14&gt;=D$8,$C14&lt;=D$9),1,0),IF(OR($C14&gt;=D$8,$C14&lt;=D$9),1,0))</f>
        <v>1</v>
      </c>
      <c r="E14" s="14">
        <f>IF(E$8&lt;=E$9,IF(AND($C14&gt;=E$8,$C14&lt;=E$9),1,0),IF(OR($C14&gt;=E$8,$C14&lt;=E$9),1,0))</f>
        <v>0</v>
      </c>
      <c r="F14" s="13">
        <f>IF(F$8&lt;=F$9,IF(AND($C14&gt;=F$8,$C14&lt;=F$9),1,0),IF(OR($C14&gt;=F$8,$C14&lt;=F$9),1,0))</f>
        <v>0</v>
      </c>
      <c r="G14" s="13">
        <f>IF(G$8&lt;=G$9,IF(AND($C14&gt;=G$8,$C14&lt;=G$9),1,0),IF(OR($C14&gt;=G$8,$C14&lt;=G$9),1,0))</f>
        <v>1</v>
      </c>
      <c r="H14" s="13">
        <f>IF(H$8&lt;=H$9,IF(AND($C14&gt;=H$8,$C14&lt;=H$9),1,0),IF(OR($C14&gt;=H$8,$C14&lt;=H$9),1,0))</f>
        <v>0</v>
      </c>
      <c r="I14" s="13">
        <f>IF(I$8&lt;=I$9,IF(AND($C14&gt;=I$8,$C14&lt;=I$9),1,0),IF(OR($C14&gt;=I$8,$C14&lt;=I$9),1,0))</f>
        <v>0</v>
      </c>
      <c r="J14" s="13">
        <f>IF(J$8&lt;=J$9,IF(AND($C14&gt;=J$8,$C14&lt;=J$9),1,0),IF(OR($C14&gt;=J$8,$C14&lt;=J$9),1,0))</f>
        <v>1</v>
      </c>
      <c r="K14" s="13">
        <f>IF(K$8&lt;=K$9,IF(AND($C14&gt;=K$8,$C14&lt;=K$9),1,0),IF(OR($C14&gt;=K$8,$C14&lt;=K$9),1,0))</f>
        <v>0</v>
      </c>
      <c r="L14" s="13">
        <f>IF(L$8&lt;=L$9,IF(AND($C14&gt;=L$8,$C14&lt;=L$9),1,0),IF(OR($C14&gt;=L$8,$C14&lt;=L$9),1,0))</f>
        <v>0</v>
      </c>
      <c r="M14" s="13">
        <f>IF(M$8&lt;=M$9,IF(AND($C14&gt;=M$8,$C14&lt;=M$9),1,0),IF(OR($C14&gt;=M$8,$C14&lt;=M$9),1,0))</f>
        <v>1</v>
      </c>
      <c r="N14" s="13">
        <f>IF(N$8&lt;=N$9,IF(AND($C14&gt;=N$8,$C14&lt;=N$9),1,0),IF(OR($C14&gt;=N$8,$C14&lt;=N$9),1,0))</f>
        <v>0</v>
      </c>
      <c r="O14" s="13">
        <f>IF(O$8&lt;=O$9,IF(AND($C14&gt;=O$8,$C14&lt;=O$9),1,0),IF(OR($C14&gt;=O$8,$C14&lt;=O$9),1,0))</f>
        <v>0</v>
      </c>
      <c r="P14" s="13">
        <f>IF(P$8&lt;=P$9,IF(AND($C14&gt;=P$8,$C14&lt;=P$9),1,0),IF(OR($C14&gt;=P$8,$C14&lt;=P$9),1,0))</f>
        <v>1</v>
      </c>
      <c r="Q14" s="13">
        <f>IF(Q$8&lt;=Q$9,IF(AND($C14&gt;=Q$8,$C14&lt;=Q$9),1,0),IF(OR($C14&gt;=Q$8,$C14&lt;=Q$9),1,0))</f>
        <v>0</v>
      </c>
    </row>
    <row r="15" ht="14.00" customHeight="true">
      <c r="C15" s="12">
        <f t="shared" si="0"/>
        <v>6</v>
      </c>
      <c r="D15" s="13">
        <f>IF(D$8&lt;=D$9,IF(AND($C15&gt;=D$8,$C15&lt;=D$9),1,0),IF(OR($C15&gt;=D$8,$C15&lt;=D$9),1,0))</f>
        <v>1</v>
      </c>
      <c r="E15" s="14">
        <f>IF(E$8&lt;=E$9,IF(AND($C15&gt;=E$8,$C15&lt;=E$9),1,0),IF(OR($C15&gt;=E$8,$C15&lt;=E$9),1,0))</f>
        <v>0</v>
      </c>
      <c r="F15" s="13">
        <f>IF(F$8&lt;=F$9,IF(AND($C15&gt;=F$8,$C15&lt;=F$9),1,0),IF(OR($C15&gt;=F$8,$C15&lt;=F$9),1,0))</f>
        <v>0</v>
      </c>
      <c r="G15" s="13">
        <f>IF(G$8&lt;=G$9,IF(AND($C15&gt;=G$8,$C15&lt;=G$9),1,0),IF(OR($C15&gt;=G$8,$C15&lt;=G$9),1,0))</f>
        <v>1</v>
      </c>
      <c r="H15" s="13">
        <f>IF(H$8&lt;=H$9,IF(AND($C15&gt;=H$8,$C15&lt;=H$9),1,0),IF(OR($C15&gt;=H$8,$C15&lt;=H$9),1,0))</f>
        <v>0</v>
      </c>
      <c r="I15" s="13">
        <f>IF(I$8&lt;=I$9,IF(AND($C15&gt;=I$8,$C15&lt;=I$9),1,0),IF(OR($C15&gt;=I$8,$C15&lt;=I$9),1,0))</f>
        <v>0</v>
      </c>
      <c r="J15" s="13">
        <f>IF(J$8&lt;=J$9,IF(AND($C15&gt;=J$8,$C15&lt;=J$9),1,0),IF(OR($C15&gt;=J$8,$C15&lt;=J$9),1,0))</f>
        <v>1</v>
      </c>
      <c r="K15" s="13">
        <f>IF(K$8&lt;=K$9,IF(AND($C15&gt;=K$8,$C15&lt;=K$9),1,0),IF(OR($C15&gt;=K$8,$C15&lt;=K$9),1,0))</f>
        <v>0</v>
      </c>
      <c r="L15" s="13">
        <f>IF(L$8&lt;=L$9,IF(AND($C15&gt;=L$8,$C15&lt;=L$9),1,0),IF(OR($C15&gt;=L$8,$C15&lt;=L$9),1,0))</f>
        <v>0</v>
      </c>
      <c r="M15" s="13">
        <f>IF(M$8&lt;=M$9,IF(AND($C15&gt;=M$8,$C15&lt;=M$9),1,0),IF(OR($C15&gt;=M$8,$C15&lt;=M$9),1,0))</f>
        <v>1</v>
      </c>
      <c r="N15" s="13">
        <f>IF(N$8&lt;=N$9,IF(AND($C15&gt;=N$8,$C15&lt;=N$9),1,0),IF(OR($C15&gt;=N$8,$C15&lt;=N$9),1,0))</f>
        <v>0</v>
      </c>
      <c r="O15" s="13">
        <f>IF(O$8&lt;=O$9,IF(AND($C15&gt;=O$8,$C15&lt;=O$9),1,0),IF(OR($C15&gt;=O$8,$C15&lt;=O$9),1,0))</f>
        <v>0</v>
      </c>
      <c r="P15" s="13">
        <f>IF(P$8&lt;=P$9,IF(AND($C15&gt;=P$8,$C15&lt;=P$9),1,0),IF(OR($C15&gt;=P$8,$C15&lt;=P$9),1,0))</f>
        <v>1</v>
      </c>
      <c r="Q15" s="13">
        <f>IF(Q$8&lt;=Q$9,IF(AND($C15&gt;=Q$8,$C15&lt;=Q$9),1,0),IF(OR($C15&gt;=Q$8,$C15&lt;=Q$9),1,0))</f>
        <v>0</v>
      </c>
    </row>
    <row r="16" ht="14.00" customHeight="true">
      <c r="C16" s="12">
        <f t="shared" si="0"/>
        <v>7</v>
      </c>
      <c r="D16" s="13">
        <f>IF(D$8&lt;=D$9,IF(AND($C16&gt;=D$8,$C16&lt;=D$9),1,0),IF(OR($C16&gt;=D$8,$C16&lt;=D$9),1,0))</f>
        <v>0</v>
      </c>
      <c r="E16" s="14">
        <f>IF(E$8&lt;=E$9,IF(AND($C16&gt;=E$8,$C16&lt;=E$9),1,0),IF(OR($C16&gt;=E$8,$C16&lt;=E$9),1,0))</f>
        <v>1</v>
      </c>
      <c r="F16" s="13">
        <f>IF(F$8&lt;=F$9,IF(AND($C16&gt;=F$8,$C16&lt;=F$9),1,0),IF(OR($C16&gt;=F$8,$C16&lt;=F$9),1,0))</f>
        <v>0</v>
      </c>
      <c r="G16" s="13">
        <f>IF(G$8&lt;=G$9,IF(AND($C16&gt;=G$8,$C16&lt;=G$9),1,0),IF(OR($C16&gt;=G$8,$C16&lt;=G$9),1,0))</f>
        <v>0</v>
      </c>
      <c r="H16" s="13">
        <f>IF(H$8&lt;=H$9,IF(AND($C16&gt;=H$8,$C16&lt;=H$9),1,0),IF(OR($C16&gt;=H$8,$C16&lt;=H$9),1,0))</f>
        <v>1</v>
      </c>
      <c r="I16" s="13">
        <f>IF(I$8&lt;=I$9,IF(AND($C16&gt;=I$8,$C16&lt;=I$9),1,0),IF(OR($C16&gt;=I$8,$C16&lt;=I$9),1,0))</f>
        <v>0</v>
      </c>
      <c r="J16" s="13">
        <f>IF(J$8&lt;=J$9,IF(AND($C16&gt;=J$8,$C16&lt;=J$9),1,0),IF(OR($C16&gt;=J$8,$C16&lt;=J$9),1,0))</f>
        <v>0</v>
      </c>
      <c r="K16" s="13">
        <f>IF(K$8&lt;=K$9,IF(AND($C16&gt;=K$8,$C16&lt;=K$9),1,0),IF(OR($C16&gt;=K$8,$C16&lt;=K$9),1,0))</f>
        <v>1</v>
      </c>
      <c r="L16" s="13">
        <f>IF(L$8&lt;=L$9,IF(AND($C16&gt;=L$8,$C16&lt;=L$9),1,0),IF(OR($C16&gt;=L$8,$C16&lt;=L$9),1,0))</f>
        <v>0</v>
      </c>
      <c r="M16" s="13">
        <f>IF(M$8&lt;=M$9,IF(AND($C16&gt;=M$8,$C16&lt;=M$9),1,0),IF(OR($C16&gt;=M$8,$C16&lt;=M$9),1,0))</f>
        <v>0</v>
      </c>
      <c r="N16" s="13">
        <f>IF(N$8&lt;=N$9,IF(AND($C16&gt;=N$8,$C16&lt;=N$9),1,0),IF(OR($C16&gt;=N$8,$C16&lt;=N$9),1,0))</f>
        <v>1</v>
      </c>
      <c r="O16" s="13">
        <f>IF(O$8&lt;=O$9,IF(AND($C16&gt;=O$8,$C16&lt;=O$9),1,0),IF(OR($C16&gt;=O$8,$C16&lt;=O$9),1,0))</f>
        <v>0</v>
      </c>
      <c r="P16" s="13">
        <f>IF(P$8&lt;=P$9,IF(AND($C16&gt;=P$8,$C16&lt;=P$9),1,0),IF(OR($C16&gt;=P$8,$C16&lt;=P$9),1,0))</f>
        <v>0</v>
      </c>
      <c r="Q16" s="13">
        <f>IF(Q$8&lt;=Q$9,IF(AND($C16&gt;=Q$8,$C16&lt;=Q$9),1,0),IF(OR($C16&gt;=Q$8,$C16&lt;=Q$9),1,0))</f>
        <v>1</v>
      </c>
    </row>
    <row r="17" ht="14.00" customHeight="true">
      <c r="C17" s="12">
        <f t="shared" si="0"/>
        <v>8</v>
      </c>
      <c r="D17" s="13">
        <f>IF(D$8&lt;=D$9,IF(AND($C17&gt;=D$8,$C17&lt;=D$9),1,0),IF(OR($C17&gt;=D$8,$C17&lt;=D$9),1,0))</f>
        <v>0</v>
      </c>
      <c r="E17" s="14">
        <f>IF(E$8&lt;=E$9,IF(AND($C17&gt;=E$8,$C17&lt;=E$9),1,0),IF(OR($C17&gt;=E$8,$C17&lt;=E$9),1,0))</f>
        <v>1</v>
      </c>
      <c r="F17" s="13">
        <f>IF(F$8&lt;=F$9,IF(AND($C17&gt;=F$8,$C17&lt;=F$9),1,0),IF(OR($C17&gt;=F$8,$C17&lt;=F$9),1,0))</f>
        <v>0</v>
      </c>
      <c r="G17" s="13">
        <f>IF(G$8&lt;=G$9,IF(AND($C17&gt;=G$8,$C17&lt;=G$9),1,0),IF(OR($C17&gt;=G$8,$C17&lt;=G$9),1,0))</f>
        <v>0</v>
      </c>
      <c r="H17" s="13">
        <f>IF(H$8&lt;=H$9,IF(AND($C17&gt;=H$8,$C17&lt;=H$9),1,0),IF(OR($C17&gt;=H$8,$C17&lt;=H$9),1,0))</f>
        <v>1</v>
      </c>
      <c r="I17" s="13">
        <f>IF(I$8&lt;=I$9,IF(AND($C17&gt;=I$8,$C17&lt;=I$9),1,0),IF(OR($C17&gt;=I$8,$C17&lt;=I$9),1,0))</f>
        <v>0</v>
      </c>
      <c r="J17" s="13">
        <f>IF(J$8&lt;=J$9,IF(AND($C17&gt;=J$8,$C17&lt;=J$9),1,0),IF(OR($C17&gt;=J$8,$C17&lt;=J$9),1,0))</f>
        <v>0</v>
      </c>
      <c r="K17" s="13">
        <f>IF(K$8&lt;=K$9,IF(AND($C17&gt;=K$8,$C17&lt;=K$9),1,0),IF(OR($C17&gt;=K$8,$C17&lt;=K$9),1,0))</f>
        <v>1</v>
      </c>
      <c r="L17" s="13">
        <f>IF(L$8&lt;=L$9,IF(AND($C17&gt;=L$8,$C17&lt;=L$9),1,0),IF(OR($C17&gt;=L$8,$C17&lt;=L$9),1,0))</f>
        <v>0</v>
      </c>
      <c r="M17" s="13">
        <f>IF(M$8&lt;=M$9,IF(AND($C17&gt;=M$8,$C17&lt;=M$9),1,0),IF(OR($C17&gt;=M$8,$C17&lt;=M$9),1,0))</f>
        <v>0</v>
      </c>
      <c r="N17" s="13">
        <f>IF(N$8&lt;=N$9,IF(AND($C17&gt;=N$8,$C17&lt;=N$9),1,0),IF(OR($C17&gt;=N$8,$C17&lt;=N$9),1,0))</f>
        <v>1</v>
      </c>
      <c r="O17" s="13">
        <f>IF(O$8&lt;=O$9,IF(AND($C17&gt;=O$8,$C17&lt;=O$9),1,0),IF(OR($C17&gt;=O$8,$C17&lt;=O$9),1,0))</f>
        <v>0</v>
      </c>
      <c r="P17" s="13">
        <f>IF(P$8&lt;=P$9,IF(AND($C17&gt;=P$8,$C17&lt;=P$9),1,0),IF(OR($C17&gt;=P$8,$C17&lt;=P$9),1,0))</f>
        <v>0</v>
      </c>
      <c r="Q17" s="13">
        <f>IF(Q$8&lt;=Q$9,IF(AND($C17&gt;=Q$8,$C17&lt;=Q$9),1,0),IF(OR($C17&gt;=Q$8,$C17&lt;=Q$9),1,0))</f>
        <v>1</v>
      </c>
    </row>
    <row r="18" ht="14.00" customHeight="true">
      <c r="C18" s="12">
        <f t="shared" si="0"/>
        <v>9</v>
      </c>
      <c r="D18" s="13">
        <f>IF(D$8&lt;=D$9,IF(AND($C18&gt;=D$8,$C18&lt;=D$9),1,0),IF(OR($C18&gt;=D$8,$C18&lt;=D$9),1,0))</f>
        <v>0</v>
      </c>
      <c r="E18" s="14">
        <f>IF(E$8&lt;=E$9,IF(AND($C18&gt;=E$8,$C18&lt;=E$9),1,0),IF(OR($C18&gt;=E$8,$C18&lt;=E$9),1,0))</f>
        <v>1</v>
      </c>
      <c r="F18" s="13">
        <f>IF(F$8&lt;=F$9,IF(AND($C18&gt;=F$8,$C18&lt;=F$9),1,0),IF(OR($C18&gt;=F$8,$C18&lt;=F$9),1,0))</f>
        <v>0</v>
      </c>
      <c r="G18" s="13">
        <f>IF(G$8&lt;=G$9,IF(AND($C18&gt;=G$8,$C18&lt;=G$9),1,0),IF(OR($C18&gt;=G$8,$C18&lt;=G$9),1,0))</f>
        <v>0</v>
      </c>
      <c r="H18" s="13">
        <f>IF(H$8&lt;=H$9,IF(AND($C18&gt;=H$8,$C18&lt;=H$9),1,0),IF(OR($C18&gt;=H$8,$C18&lt;=H$9),1,0))</f>
        <v>1</v>
      </c>
      <c r="I18" s="13">
        <f>IF(I$8&lt;=I$9,IF(AND($C18&gt;=I$8,$C18&lt;=I$9),1,0),IF(OR($C18&gt;=I$8,$C18&lt;=I$9),1,0))</f>
        <v>0</v>
      </c>
      <c r="J18" s="13">
        <f>IF(J$8&lt;=J$9,IF(AND($C18&gt;=J$8,$C18&lt;=J$9),1,0),IF(OR($C18&gt;=J$8,$C18&lt;=J$9),1,0))</f>
        <v>0</v>
      </c>
      <c r="K18" s="13">
        <f>IF(K$8&lt;=K$9,IF(AND($C18&gt;=K$8,$C18&lt;=K$9),1,0),IF(OR($C18&gt;=K$8,$C18&lt;=K$9),1,0))</f>
        <v>1</v>
      </c>
      <c r="L18" s="13">
        <f>IF(L$8&lt;=L$9,IF(AND($C18&gt;=L$8,$C18&lt;=L$9),1,0),IF(OR($C18&gt;=L$8,$C18&lt;=L$9),1,0))</f>
        <v>0</v>
      </c>
      <c r="M18" s="13">
        <f>IF(M$8&lt;=M$9,IF(AND($C18&gt;=M$8,$C18&lt;=M$9),1,0),IF(OR($C18&gt;=M$8,$C18&lt;=M$9),1,0))</f>
        <v>0</v>
      </c>
      <c r="N18" s="13">
        <f>IF(N$8&lt;=N$9,IF(AND($C18&gt;=N$8,$C18&lt;=N$9),1,0),IF(OR($C18&gt;=N$8,$C18&lt;=N$9),1,0))</f>
        <v>1</v>
      </c>
      <c r="O18" s="13">
        <f>IF(O$8&lt;=O$9,IF(AND($C18&gt;=O$8,$C18&lt;=O$9),1,0),IF(OR($C18&gt;=O$8,$C18&lt;=O$9),1,0))</f>
        <v>0</v>
      </c>
      <c r="P18" s="13">
        <f>IF(P$8&lt;=P$9,IF(AND($C18&gt;=P$8,$C18&lt;=P$9),1,0),IF(OR($C18&gt;=P$8,$C18&lt;=P$9),1,0))</f>
        <v>0</v>
      </c>
      <c r="Q18" s="13">
        <f>IF(Q$8&lt;=Q$9,IF(AND($C18&gt;=Q$8,$C18&lt;=Q$9),1,0),IF(OR($C18&gt;=Q$8,$C18&lt;=Q$9),1,0))</f>
        <v>1</v>
      </c>
    </row>
    <row r="19" ht="14.00" customHeight="true">
      <c r="C19" s="12">
        <f t="shared" si="0"/>
        <v>10</v>
      </c>
      <c r="D19" s="13">
        <f>IF(D$8&lt;=D$9,IF(AND($C19&gt;=D$8,$C19&lt;=D$9),1,0),IF(OR($C19&gt;=D$8,$C19&lt;=D$9),1,0))</f>
        <v>0</v>
      </c>
      <c r="E19" s="14">
        <f>IF(E$8&lt;=E$9,IF(AND($C19&gt;=E$8,$C19&lt;=E$9),1,0),IF(OR($C19&gt;=E$8,$C19&lt;=E$9),1,0))</f>
        <v>1</v>
      </c>
      <c r="F19" s="13">
        <f>IF(F$8&lt;=F$9,IF(AND($C19&gt;=F$8,$C19&lt;=F$9),1,0),IF(OR($C19&gt;=F$8,$C19&lt;=F$9),1,0))</f>
        <v>0</v>
      </c>
      <c r="G19" s="13">
        <f>IF(G$8&lt;=G$9,IF(AND($C19&gt;=G$8,$C19&lt;=G$9),1,0),IF(OR($C19&gt;=G$8,$C19&lt;=G$9),1,0))</f>
        <v>0</v>
      </c>
      <c r="H19" s="13">
        <f>IF(H$8&lt;=H$9,IF(AND($C19&gt;=H$8,$C19&lt;=H$9),1,0),IF(OR($C19&gt;=H$8,$C19&lt;=H$9),1,0))</f>
        <v>1</v>
      </c>
      <c r="I19" s="13">
        <f>IF(I$8&lt;=I$9,IF(AND($C19&gt;=I$8,$C19&lt;=I$9),1,0),IF(OR($C19&gt;=I$8,$C19&lt;=I$9),1,0))</f>
        <v>0</v>
      </c>
      <c r="J19" s="13">
        <f>IF(J$8&lt;=J$9,IF(AND($C19&gt;=J$8,$C19&lt;=J$9),1,0),IF(OR($C19&gt;=J$8,$C19&lt;=J$9),1,0))</f>
        <v>0</v>
      </c>
      <c r="K19" s="13">
        <f>IF(K$8&lt;=K$9,IF(AND($C19&gt;=K$8,$C19&lt;=K$9),1,0),IF(OR($C19&gt;=K$8,$C19&lt;=K$9),1,0))</f>
        <v>1</v>
      </c>
      <c r="L19" s="13">
        <f>IF(L$8&lt;=L$9,IF(AND($C19&gt;=L$8,$C19&lt;=L$9),1,0),IF(OR($C19&gt;=L$8,$C19&lt;=L$9),1,0))</f>
        <v>0</v>
      </c>
      <c r="M19" s="13">
        <f>IF(M$8&lt;=M$9,IF(AND($C19&gt;=M$8,$C19&lt;=M$9),1,0),IF(OR($C19&gt;=M$8,$C19&lt;=M$9),1,0))</f>
        <v>0</v>
      </c>
      <c r="N19" s="13">
        <f>IF(N$8&lt;=N$9,IF(AND($C19&gt;=N$8,$C19&lt;=N$9),1,0),IF(OR($C19&gt;=N$8,$C19&lt;=N$9),1,0))</f>
        <v>1</v>
      </c>
      <c r="O19" s="13">
        <f>IF(O$8&lt;=O$9,IF(AND($C19&gt;=O$8,$C19&lt;=O$9),1,0),IF(OR($C19&gt;=O$8,$C19&lt;=O$9),1,0))</f>
        <v>0</v>
      </c>
      <c r="P19" s="13">
        <f>IF(P$8&lt;=P$9,IF(AND($C19&gt;=P$8,$C19&lt;=P$9),1,0),IF(OR($C19&gt;=P$8,$C19&lt;=P$9),1,0))</f>
        <v>0</v>
      </c>
      <c r="Q19" s="13">
        <f>IF(Q$8&lt;=Q$9,IF(AND($C19&gt;=Q$8,$C19&lt;=Q$9),1,0),IF(OR($C19&gt;=Q$8,$C19&lt;=Q$9),1,0))</f>
        <v>1</v>
      </c>
    </row>
    <row r="20" ht="14.00" customHeight="true">
      <c r="C20" s="12">
        <f t="shared" si="0"/>
        <v>11</v>
      </c>
      <c r="D20" s="13">
        <f>IF(D$8&lt;=D$9,IF(AND($C20&gt;=D$8,$C20&lt;=D$9),1,0),IF(OR($C20&gt;=D$8,$C20&lt;=D$9),1,0))</f>
        <v>0</v>
      </c>
      <c r="E20" s="14">
        <f>IF(E$8&lt;=E$9,IF(AND($C20&gt;=E$8,$C20&lt;=E$9),1,0),IF(OR($C20&gt;=E$8,$C20&lt;=E$9),1,0))</f>
        <v>0</v>
      </c>
      <c r="F20" s="13">
        <f>IF(F$8&lt;=F$9,IF(AND($C20&gt;=F$8,$C20&lt;=F$9),1,0),IF(OR($C20&gt;=F$8,$C20&lt;=F$9),1,0))</f>
        <v>1</v>
      </c>
      <c r="G20" s="13">
        <f>IF(G$8&lt;=G$9,IF(AND($C20&gt;=G$8,$C20&lt;=G$9),1,0),IF(OR($C20&gt;=G$8,$C20&lt;=G$9),1,0))</f>
        <v>0</v>
      </c>
      <c r="H20" s="13">
        <f>IF(H$8&lt;=H$9,IF(AND($C20&gt;=H$8,$C20&lt;=H$9),1,0),IF(OR($C20&gt;=H$8,$C20&lt;=H$9),1,0))</f>
        <v>0</v>
      </c>
      <c r="I20" s="13">
        <f>IF(I$8&lt;=I$9,IF(AND($C20&gt;=I$8,$C20&lt;=I$9),1,0),IF(OR($C20&gt;=I$8,$C20&lt;=I$9),1,0))</f>
        <v>1</v>
      </c>
      <c r="J20" s="13">
        <f>IF(J$8&lt;=J$9,IF(AND($C20&gt;=J$8,$C20&lt;=J$9),1,0),IF(OR($C20&gt;=J$8,$C20&lt;=J$9),1,0))</f>
        <v>0</v>
      </c>
      <c r="K20" s="13">
        <f>IF(K$8&lt;=K$9,IF(AND($C20&gt;=K$8,$C20&lt;=K$9),1,0),IF(OR($C20&gt;=K$8,$C20&lt;=K$9),1,0))</f>
        <v>0</v>
      </c>
      <c r="L20" s="13">
        <f>IF(L$8&lt;=L$9,IF(AND($C20&gt;=L$8,$C20&lt;=L$9),1,0),IF(OR($C20&gt;=L$8,$C20&lt;=L$9),1,0))</f>
        <v>1</v>
      </c>
      <c r="M20" s="13">
        <f>IF(M$8&lt;=M$9,IF(AND($C20&gt;=M$8,$C20&lt;=M$9),1,0),IF(OR($C20&gt;=M$8,$C20&lt;=M$9),1,0))</f>
        <v>0</v>
      </c>
      <c r="N20" s="13">
        <f>IF(N$8&lt;=N$9,IF(AND($C20&gt;=N$8,$C20&lt;=N$9),1,0),IF(OR($C20&gt;=N$8,$C20&lt;=N$9),1,0))</f>
        <v>0</v>
      </c>
      <c r="O20" s="13">
        <f>IF(O$8&lt;=O$9,IF(AND($C20&gt;=O$8,$C20&lt;=O$9),1,0),IF(OR($C20&gt;=O$8,$C20&lt;=O$9),1,0))</f>
        <v>1</v>
      </c>
      <c r="P20" s="13">
        <f>IF(P$8&lt;=P$9,IF(AND($C20&gt;=P$8,$C20&lt;=P$9),1,0),IF(OR($C20&gt;=P$8,$C20&lt;=P$9),1,0))</f>
        <v>0</v>
      </c>
      <c r="Q20" s="13">
        <f>IF(Q$8&lt;=Q$9,IF(AND($C20&gt;=Q$8,$C20&lt;=Q$9),1,0),IF(OR($C20&gt;=Q$8,$C20&lt;=Q$9),1,0))</f>
        <v>0</v>
      </c>
    </row>
    <row r="21" ht="14.00" customHeight="true">
      <c r="C21" s="12">
        <f t="shared" si="0"/>
        <v>12</v>
      </c>
      <c r="D21" s="13">
        <f>IF(D$8&lt;=D$9,IF(AND($C21&gt;=D$8,$C21&lt;=D$9),1,0),IF(OR($C21&gt;=D$8,$C21&lt;=D$9),1,0))</f>
        <v>0</v>
      </c>
      <c r="E21" s="14">
        <f>IF(E$8&lt;=E$9,IF(AND($C21&gt;=E$8,$C21&lt;=E$9),1,0),IF(OR($C21&gt;=E$8,$C21&lt;=E$9),1,0))</f>
        <v>0</v>
      </c>
      <c r="F21" s="13">
        <f>IF(F$8&lt;=F$9,IF(AND($C21&gt;=F$8,$C21&lt;=F$9),1,0),IF(OR($C21&gt;=F$8,$C21&lt;=F$9),1,0))</f>
        <v>1</v>
      </c>
      <c r="G21" s="13">
        <f>IF(G$8&lt;=G$9,IF(AND($C21&gt;=G$8,$C21&lt;=G$9),1,0),IF(OR($C21&gt;=G$8,$C21&lt;=G$9),1,0))</f>
        <v>0</v>
      </c>
      <c r="H21" s="13">
        <f>IF(H$8&lt;=H$9,IF(AND($C21&gt;=H$8,$C21&lt;=H$9),1,0),IF(OR($C21&gt;=H$8,$C21&lt;=H$9),1,0))</f>
        <v>0</v>
      </c>
      <c r="I21" s="13">
        <f>IF(I$8&lt;=I$9,IF(AND($C21&gt;=I$8,$C21&lt;=I$9),1,0),IF(OR($C21&gt;=I$8,$C21&lt;=I$9),1,0))</f>
        <v>1</v>
      </c>
      <c r="J21" s="13">
        <f>IF(J$8&lt;=J$9,IF(AND($C21&gt;=J$8,$C21&lt;=J$9),1,0),IF(OR($C21&gt;=J$8,$C21&lt;=J$9),1,0))</f>
        <v>0</v>
      </c>
      <c r="K21" s="13">
        <f>IF(K$8&lt;=K$9,IF(AND($C21&gt;=K$8,$C21&lt;=K$9),1,0),IF(OR($C21&gt;=K$8,$C21&lt;=K$9),1,0))</f>
        <v>0</v>
      </c>
      <c r="L21" s="13">
        <f>IF(L$8&lt;=L$9,IF(AND($C21&gt;=L$8,$C21&lt;=L$9),1,0),IF(OR($C21&gt;=L$8,$C21&lt;=L$9),1,0))</f>
        <v>1</v>
      </c>
      <c r="M21" s="13">
        <f>IF(M$8&lt;=M$9,IF(AND($C21&gt;=M$8,$C21&lt;=M$9),1,0),IF(OR($C21&gt;=M$8,$C21&lt;=M$9),1,0))</f>
        <v>0</v>
      </c>
      <c r="N21" s="13">
        <f>IF(N$8&lt;=N$9,IF(AND($C21&gt;=N$8,$C21&lt;=N$9),1,0),IF(OR($C21&gt;=N$8,$C21&lt;=N$9),1,0))</f>
        <v>0</v>
      </c>
      <c r="O21" s="13">
        <f>IF(O$8&lt;=O$9,IF(AND($C21&gt;=O$8,$C21&lt;=O$9),1,0),IF(OR($C21&gt;=O$8,$C21&lt;=O$9),1,0))</f>
        <v>1</v>
      </c>
      <c r="P21" s="13">
        <f>IF(P$8&lt;=P$9,IF(AND($C21&gt;=P$8,$C21&lt;=P$9),1,0),IF(OR($C21&gt;=P$8,$C21&lt;=P$9),1,0))</f>
        <v>0</v>
      </c>
      <c r="Q21" s="13">
        <f>IF(Q$8&lt;=Q$9,IF(AND($C21&gt;=Q$8,$C21&lt;=Q$9),1,0),IF(OR($C21&gt;=Q$8,$C21&lt;=Q$9),1,0))</f>
        <v>0</v>
      </c>
    </row>
    <row r="22" ht="14.00" customHeight="true">
      <c r="C22" s="12">
        <f t="shared" si="0"/>
        <v>1</v>
      </c>
      <c r="D22" s="13">
        <f>IF(D$8&lt;=D$9,IF(AND($C22&gt;=D$8,$C22&lt;=D$9),1,0),IF(OR($C22&gt;=D$8,$C22&lt;=D$9),1,0))</f>
        <v>0</v>
      </c>
      <c r="E22" s="14">
        <f>IF(E$8&lt;=E$9,IF(AND($C22&gt;=E$8,$C22&lt;=E$9),1,0),IF(OR($C22&gt;=E$8,$C22&lt;=E$9),1,0))</f>
        <v>0</v>
      </c>
      <c r="F22" s="13">
        <f>IF(F$8&lt;=F$9,IF(AND($C22&gt;=F$8,$C22&lt;=F$9),1,0),IF(OR($C22&gt;=F$8,$C22&lt;=F$9),1,0))</f>
        <v>1</v>
      </c>
      <c r="G22" s="13">
        <f>IF(G$8&lt;=G$9,IF(AND($C22&gt;=G$8,$C22&lt;=G$9),1,0),IF(OR($C22&gt;=G$8,$C22&lt;=G$9),1,0))</f>
        <v>0</v>
      </c>
      <c r="H22" s="13">
        <f>IF(H$8&lt;=H$9,IF(AND($C22&gt;=H$8,$C22&lt;=H$9),1,0),IF(OR($C22&gt;=H$8,$C22&lt;=H$9),1,0))</f>
        <v>0</v>
      </c>
      <c r="I22" s="13">
        <f>IF(I$8&lt;=I$9,IF(AND($C22&gt;=I$8,$C22&lt;=I$9),1,0),IF(OR($C22&gt;=I$8,$C22&lt;=I$9),1,0))</f>
        <v>1</v>
      </c>
      <c r="J22" s="13">
        <f>IF(J$8&lt;=J$9,IF(AND($C22&gt;=J$8,$C22&lt;=J$9),1,0),IF(OR($C22&gt;=J$8,$C22&lt;=J$9),1,0))</f>
        <v>0</v>
      </c>
      <c r="K22" s="13">
        <f>IF(K$8&lt;=K$9,IF(AND($C22&gt;=K$8,$C22&lt;=K$9),1,0),IF(OR($C22&gt;=K$8,$C22&lt;=K$9),1,0))</f>
        <v>0</v>
      </c>
      <c r="L22" s="13">
        <f>IF(L$8&lt;=L$9,IF(AND($C22&gt;=L$8,$C22&lt;=L$9),1,0),IF(OR($C22&gt;=L$8,$C22&lt;=L$9),1,0))</f>
        <v>1</v>
      </c>
      <c r="M22" s="13">
        <f>IF(M$8&lt;=M$9,IF(AND($C22&gt;=M$8,$C22&lt;=M$9),1,0),IF(OR($C22&gt;=M$8,$C22&lt;=M$9),1,0))</f>
        <v>0</v>
      </c>
      <c r="N22" s="13">
        <f>IF(N$8&lt;=N$9,IF(AND($C22&gt;=N$8,$C22&lt;=N$9),1,0),IF(OR($C22&gt;=N$8,$C22&lt;=N$9),1,0))</f>
        <v>0</v>
      </c>
      <c r="O22" s="13">
        <f>IF(O$8&lt;=O$9,IF(AND($C22&gt;=O$8,$C22&lt;=O$9),1,0),IF(OR($C22&gt;=O$8,$C22&lt;=O$9),1,0))</f>
        <v>1</v>
      </c>
      <c r="P22" s="13">
        <f>IF(P$8&lt;=P$9,IF(AND($C22&gt;=P$8,$C22&lt;=P$9),1,0),IF(OR($C22&gt;=P$8,$C22&lt;=P$9),1,0))</f>
        <v>0</v>
      </c>
      <c r="Q22" s="13">
        <f>IF(Q$8&lt;=Q$9,IF(AND($C22&gt;=Q$8,$C22&lt;=Q$9),1,0),IF(OR($C22&gt;=Q$8,$C22&lt;=Q$9),1,0))</f>
        <v>0</v>
      </c>
    </row>
    <row r="23" ht="14.00" customHeight="true">
      <c r="C23" s="12">
        <f t="shared" si="0"/>
        <v>2</v>
      </c>
      <c r="D23" s="13">
        <f>IF(D$8&lt;=D$9,IF(AND($C23&gt;=D$8,$C23&lt;=D$9),1,0),IF(OR($C23&gt;=D$8,$C23&lt;=D$9),1,0))</f>
        <v>0</v>
      </c>
      <c r="E23" s="14">
        <f>IF(E$8&lt;=E$9,IF(AND($C23&gt;=E$8,$C23&lt;=E$9),1,0),IF(OR($C23&gt;=E$8,$C23&lt;=E$9),1,0))</f>
        <v>0</v>
      </c>
      <c r="F23" s="13">
        <f>IF(F$8&lt;=F$9,IF(AND($C23&gt;=F$8,$C23&lt;=F$9),1,0),IF(OR($C23&gt;=F$8,$C23&lt;=F$9),1,0))</f>
        <v>1</v>
      </c>
      <c r="G23" s="13">
        <f>IF(G$8&lt;=G$9,IF(AND($C23&gt;=G$8,$C23&lt;=G$9),1,0),IF(OR($C23&gt;=G$8,$C23&lt;=G$9),1,0))</f>
        <v>0</v>
      </c>
      <c r="H23" s="13">
        <f>IF(H$8&lt;=H$9,IF(AND($C23&gt;=H$8,$C23&lt;=H$9),1,0),IF(OR($C23&gt;=H$8,$C23&lt;=H$9),1,0))</f>
        <v>0</v>
      </c>
      <c r="I23" s="13">
        <f>IF(I$8&lt;=I$9,IF(AND($C23&gt;=I$8,$C23&lt;=I$9),1,0),IF(OR($C23&gt;=I$8,$C23&lt;=I$9),1,0))</f>
        <v>1</v>
      </c>
      <c r="J23" s="13">
        <f>IF(J$8&lt;=J$9,IF(AND($C23&gt;=J$8,$C23&lt;=J$9),1,0),IF(OR($C23&gt;=J$8,$C23&lt;=J$9),1,0))</f>
        <v>0</v>
      </c>
      <c r="K23" s="13">
        <f>IF(K$8&lt;=K$9,IF(AND($C23&gt;=K$8,$C23&lt;=K$9),1,0),IF(OR($C23&gt;=K$8,$C23&lt;=K$9),1,0))</f>
        <v>0</v>
      </c>
      <c r="L23" s="13">
        <f>IF(L$8&lt;=L$9,IF(AND($C23&gt;=L$8,$C23&lt;=L$9),1,0),IF(OR($C23&gt;=L$8,$C23&lt;=L$9),1,0))</f>
        <v>1</v>
      </c>
      <c r="M23" s="13">
        <f>IF(M$8&lt;=M$9,IF(AND($C23&gt;=M$8,$C23&lt;=M$9),1,0),IF(OR($C23&gt;=M$8,$C23&lt;=M$9),1,0))</f>
        <v>0</v>
      </c>
      <c r="N23" s="13">
        <f>IF(N$8&lt;=N$9,IF(AND($C23&gt;=N$8,$C23&lt;=N$9),1,0),IF(OR($C23&gt;=N$8,$C23&lt;=N$9),1,0))</f>
        <v>0</v>
      </c>
      <c r="O23" s="13">
        <f>IF(O$8&lt;=O$9,IF(AND($C23&gt;=O$8,$C23&lt;=O$9),1,0),IF(OR($C23&gt;=O$8,$C23&lt;=O$9),1,0))</f>
        <v>1</v>
      </c>
      <c r="P23" s="13">
        <f>IF(P$8&lt;=P$9,IF(AND($C23&gt;=P$8,$C23&lt;=P$9),1,0),IF(OR($C23&gt;=P$8,$C23&lt;=P$9),1,0))</f>
        <v>0</v>
      </c>
      <c r="Q23" s="13">
        <f>IF(Q$8&lt;=Q$9,IF(AND($C23&gt;=Q$8,$C23&lt;=Q$9),1,0),IF(OR($C23&gt;=Q$8,$C23&lt;=Q$9),1,0))</f>
        <v>0</v>
      </c>
    </row>
    <row r="24" ht="14.75" customHeight="true">
      <c r="C24" s="6"/>
      <c r="D24" s="15">
        <f>SUM(D12:D23)</f>
        <v>4</v>
      </c>
      <c r="E24" s="16">
        <f ref="E24:Q24" t="shared" si="2">SUM(E12:E23)</f>
        <v>4</v>
      </c>
      <c r="F24" s="15">
        <f t="shared" si="2"/>
        <v>4</v>
      </c>
      <c r="G24" s="15">
        <f t="shared" si="2"/>
        <v>4</v>
      </c>
      <c r="H24" s="15">
        <f t="shared" si="2"/>
        <v>4</v>
      </c>
      <c r="I24" s="15">
        <f t="shared" si="2"/>
        <v>4</v>
      </c>
      <c r="J24" s="15">
        <f t="shared" si="2"/>
        <v>4</v>
      </c>
      <c r="K24" s="15">
        <f t="shared" si="2"/>
        <v>4</v>
      </c>
      <c r="L24" s="15">
        <f t="shared" si="2"/>
        <v>4</v>
      </c>
      <c r="M24" s="15">
        <f t="shared" si="2"/>
        <v>4</v>
      </c>
      <c r="N24" s="15">
        <f t="shared" si="2"/>
        <v>4</v>
      </c>
      <c r="O24" s="15">
        <f t="shared" si="2"/>
        <v>4</v>
      </c>
      <c r="P24" s="15">
        <f t="shared" si="2"/>
        <v>4</v>
      </c>
      <c r="Q24" s="15">
        <f t="shared" si="2"/>
        <v>4</v>
      </c>
    </row>
    <row r="25" ht="14.00" customHeight="true">
      <c r="C25" s="6"/>
      <c r="E25" s="17"/>
      <c r="F25" s="18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4.00" customHeight="true">
      <c r="C26" s="6"/>
      <c r="E26" s="17"/>
      <c r="F26" s="1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</sheetData>
  <phoneticPr fontId="0" type="noConversion"/>
  <conditionalFormatting sqref="H3:I3">
    <cfRule priority="1" type="cellIs" dxfId="0" operator="equal">
      <formula>"Post Lease"</formula>
    </cfRule>
  </conditionalFormatting>
  <conditionalFormatting sqref="H3:I3">
    <cfRule priority="2" type="cellIs" dxfId="1" operator="equal">
      <formula>"Lease"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Vat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2026-05-31T20:28:22Z</dcterms:created>
  <dcterms:modified xsi:type="dcterms:W3CDTF">2026-05-31T20:28:22Z</dcterms:modified>
</cp:coreProperties>
</file>