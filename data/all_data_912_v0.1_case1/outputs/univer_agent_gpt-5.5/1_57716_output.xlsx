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926F1D-B136-4EF1-AC93-FB87F2D0D2F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alendar" sheetId="1" r:id="rId1"/>
  </sheets>
  <definedNames>
    <definedName name="ColumnTitleRegion33..D154.1">Calendar!$D$153</definedName>
    <definedName name="Calendar2Year">Calendar!$B$15</definedName>
    <definedName name="ColumnTitleRegion13..H68.1">Calendar!$B$58</definedName>
    <definedName name="ColumnTitleRegion18..D84.1">Calendar!$D$83</definedName>
    <definedName name="ColumnTitleRegion26..C126.1">Calendar!$B$114</definedName>
    <definedName name="ColumnTitleRegion8..C42.1">Calendar!$B$30</definedName>
    <definedName name="Calendar5Month">Calendar!$C$57</definedName>
    <definedName name="Calendar5MonthOption">MATCH(Calendar5Month,Months,0)</definedName>
    <definedName name="ColumnTitleRegion7..H40.1">Calendar!$B$30</definedName>
    <definedName name="Calendar4Year">Calendar!$B$43</definedName>
    <definedName name="Calendar7MonthOption">MATCH(Calendar7Month,Months,0)</definedName>
    <definedName name="Calendar4Month">Calendar!$C$43</definedName>
    <definedName name="ColumnTitleRegion17..C84.1">Calendar!$B$72</definedName>
    <definedName name="Calendar3Year">Calendar!$B$29</definedName>
    <definedName name="Calendar6Month">Calendar!$C$71</definedName>
    <definedName name="Calendar6MonthOption">MATCH(Calendar6Month,Months,0)</definedName>
    <definedName name="Calendar6Year">Calendar!$B$71</definedName>
    <definedName name="Calendar7Month">Calendar!$C$85</definedName>
    <definedName name="ColumnTitleRegion16..H82.1">Calendar!$B$72</definedName>
    <definedName name="Calendar10Month">Calendar!$C$127</definedName>
    <definedName name="Calendar10Year">Calendar!$B$127</definedName>
    <definedName name="ColumnTitleRegion30..D140.1">Calendar!$D$139</definedName>
    <definedName name="ColumnTitleRegion6..D28.1">Calendar!$D$27</definedName>
    <definedName name="Calendar12MonthOption">MATCH(Calendar12Month,Months,0)</definedName>
    <definedName name="ColumnTitleRegion19..H96.1">Calendar!$B$86</definedName>
    <definedName name="ColumnTitleRegion24..D112.1">Calendar!$D$111</definedName>
    <definedName name="Months">{"January","February","March","April","May","June","July","August","September","October","November","December"}</definedName>
    <definedName name="Calendar11MonthOption">MATCH(Calendar11Month,Months,0)</definedName>
    <definedName name="Calendar12Month">Calendar!$C$155</definedName>
    <definedName name="Calendar2MonthOption">MATCH(Calendar2Month,Months,0)</definedName>
    <definedName name="Calendar8Year">Calendar!$B$99</definedName>
    <definedName name="Calendar9Month">Calendar!$C$113</definedName>
    <definedName name="ColumnTitleRegion14..C70.1">Calendar!$B$58</definedName>
    <definedName name="Calendar12Year">Calendar!$B$155</definedName>
    <definedName name="Calendar1Year">Calendar!$B$1</definedName>
    <definedName name="ColumnTitleRegion23..C112.1">Calendar!$B$100</definedName>
    <definedName name="Days">{0,1,2,3,4,5,6}</definedName>
    <definedName name="WeekdayOption">MATCH(WeekStart,Weekdays,0)+10</definedName>
    <definedName name="WeekStart">Calendar!$B$2</definedName>
    <definedName name="Calendar11Year">Calendar!$B$141</definedName>
    <definedName name="Calendar8Month">Calendar!$C$99</definedName>
    <definedName name="ColumnTitleRegion12..D56.1">Calendar!$D$55</definedName>
    <definedName name="ColumnTitleRegion31..H152.1">Calendar!$B$142</definedName>
    <definedName name="ColumnTitleRegion36..D168.1">Calendar!$D$167</definedName>
    <definedName name="Calendar1MonthOption">MATCH(Calendar1Month,Months,0)</definedName>
    <definedName name="ColumnTitleRegion10..H54.1">Calendar!$B$44</definedName>
    <definedName name="Calendar1Month">Calendar!$C$1</definedName>
    <definedName name="ColumnTitleRegion15..D70.1">Calendar!$D$69</definedName>
    <definedName name="ColumnTitleRegion22..H110.1">Calendar!$B$100</definedName>
    <definedName name="ColumnTitleRegion3..D14.1">Calendar!$D$13</definedName>
    <definedName name="Calendar11Month">Calendar!$C$141</definedName>
    <definedName name="ColumnTitleRegion20..C98.1">Calendar!$B$86</definedName>
    <definedName name="ColumnTitleRegion11..C56.1">Calendar!$B$44</definedName>
    <definedName name="ColumnTitleRegion29..C140.1">Calendar!$B$128</definedName>
    <definedName name="ColumnTitleRegion32..C154.1">Calendar!$B$142</definedName>
    <definedName name="ColumnTitleRegion9..D42.1">Calendar!$D$41</definedName>
    <definedName name="Calendar4MonthOption">MATCH(Calendar4Month,Months,0)</definedName>
    <definedName name="Calendar7Year">Calendar!$B$85</definedName>
    <definedName name="Weekdays">{"Monday","Tuesday","Wednesday","Thursday","Friday","Saturday","Sunday"}</definedName>
    <definedName name="WeekStartValue">IF(WeekStart="Monday",2,1)</definedName>
    <definedName name="ColumnTitleRegion2..C14.1">Calendar!$B$2</definedName>
    <definedName name="_xlnm.Print_Area" localSheetId="0">Calendar!$B$1:$I$168</definedName>
    <definedName name="Calendar9MonthOption">MATCH(Calendar9Month,Months,0)</definedName>
    <definedName name="ColumnTitleRegion25..H124.1">Calendar!$B$114</definedName>
    <definedName name="ColumnTitleRegion28..H138.1">Calendar!$B$128</definedName>
    <definedName name="Calendar10MonthOption">MATCH(Calendar10Month,Months,0)</definedName>
    <definedName name="Calendar3MonthOption">MATCH(Calendar3Month,Months,0)</definedName>
    <definedName name="ColumnTitleRegion21..D98.1">Calendar!$D$97</definedName>
    <definedName name="ColumnTitleRegion27..D126.1">Calendar!$D$125</definedName>
    <definedName name="ColumnTitleRegion35..C168.1">Calendar!$B$156</definedName>
    <definedName name="ColumnTitleRegion4..H26.1">Calendar!$B$16</definedName>
    <definedName name="Calendar3Month">Calendar!$C$29</definedName>
    <definedName name="Calendar9Year">Calendar!$B$113</definedName>
    <definedName name="Calendar8MonthOption">MATCH(Calendar8Month,Months,0)</definedName>
    <definedName name="ColumnTitleRegion1..H12.1">Calendar!$B$2</definedName>
    <definedName name="ColumnTitleRegion34..H166.1">Calendar!$B$156</definedName>
    <definedName name="ColumnTitleRegion5..C28.1">Calendar!$B$16</definedName>
    <definedName name="Calendar2Month">Calendar!$C$15</definedName>
    <definedName name="Calendar5Year">Calendar!$B$57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/>
  <c r="B117" i="1"/>
  <c r="D100" i="1"/>
  <c r="E100" i="1"/>
  <c r="F100" i="1"/>
  <c r="G100" i="1"/>
  <c r="H100" i="1"/>
  <c r="B100" i="1"/>
  <c r="C100" i="1"/>
  <c r="B49" i="1"/>
  <c r="B85" i="1"/>
  <c r="C85" i="1"/>
  <c r="B107" i="1"/>
  <c r="B137" i="1"/>
  <c r="G86" i="1"/>
  <c r="H86" i="1"/>
  <c r="B86" i="1"/>
  <c r="C86" i="1"/>
  <c r="D86" i="1"/>
  <c r="E86" i="1"/>
  <c r="F86" i="1"/>
  <c r="B59" i="1"/>
  <c r="G128" i="1"/>
  <c r="H128" i="1"/>
  <c r="D128" i="1"/>
  <c r="E128" i="1"/>
  <c r="F128" i="1"/>
  <c r="B128" i="1"/>
  <c r="C128" i="1"/>
  <c r="B25" i="1"/>
  <c r="F114" i="1"/>
  <c r="G114" i="1"/>
  <c r="H114" i="1"/>
  <c r="B114" i="1"/>
  <c r="C114" i="1"/>
  <c r="D114" i="1"/>
  <c r="E114" i="1"/>
  <c r="B15" i="1"/>
  <c r="C15" i="1"/>
  <c r="I12" i="1"/>
  <c r="B91" i="1"/>
  <c r="B151" i="1"/>
  <c r="B73" i="1"/>
  <c r="B123" i="1"/>
  <c r="C2" i="1"/>
  <c r="G2" i="1"/>
  <c r="F2" i="1"/>
  <c r="H2" i="1"/>
  <c r="E2" i="1"/>
  <c r="D2" i="1"/>
  <c r="B167" i="1"/>
  <c r="B161" i="1"/>
  <c r="B105" i="1"/>
  <c r="B43" i="1"/>
  <c r="C43" i="1"/>
  <c r="B69" i="1"/>
  <c r="B33" i="1"/>
  <c r="B7" i="1"/>
  <c r="B119" i="1"/>
  <c r="B127" i="1"/>
  <c r="C127" i="1"/>
  <c r="B65" i="1"/>
  <c r="B75" i="1"/>
  <c r="B139" i="1"/>
  <c r="B27" i="1"/>
  <c r="B3" i="1"/>
  <c r="D72" i="1"/>
  <c r="E72" i="1"/>
  <c r="F72" i="1"/>
  <c r="G72" i="1"/>
  <c r="H72" i="1"/>
  <c r="B72" i="1"/>
  <c r="C72" i="1"/>
  <c r="H16" i="1"/>
  <c r="B16" i="1"/>
  <c r="C16" i="1"/>
  <c r="D16" i="1"/>
  <c r="E16" i="1"/>
  <c r="F16" i="1"/>
  <c r="G16" i="1"/>
  <c r="G44" i="1"/>
  <c r="H44" i="1"/>
  <c r="B44" i="1"/>
  <c r="C44" i="1"/>
  <c r="D44" i="1"/>
  <c r="E44" i="1"/>
  <c r="F44" i="1"/>
  <c r="B55" i="1"/>
  <c r="B87" i="1"/>
  <c r="B83" i="1"/>
  <c r="B149" i="1"/>
  <c r="B23" i="1"/>
  <c r="B71" i="1"/>
  <c r="C71" i="1"/>
  <c r="B51" i="1"/>
  <c r="B53" i="1"/>
  <c r="B131" i="1"/>
  <c r="B145" i="1"/>
  <c r="B17" i="1"/>
  <c r="B97" i="1"/>
  <c r="I4" i="1"/>
  <c r="B115" i="1"/>
  <c r="B99" i="1"/>
  <c r="C99" i="1"/>
  <c r="G156" i="1"/>
  <c r="B156" i="1"/>
  <c r="C156" i="1"/>
  <c r="H156" i="1"/>
  <c r="D156" i="1"/>
  <c r="E156" i="1"/>
  <c r="F156" i="1"/>
  <c r="E142" i="1"/>
  <c r="F142" i="1"/>
  <c r="G142" i="1"/>
  <c r="H142" i="1"/>
  <c r="C142" i="1"/>
  <c r="B142" i="1"/>
  <c r="D142" i="1"/>
  <c r="B129" i="1"/>
  <c r="I8" i="1"/>
  <c r="B147" i="1"/>
  <c r="B45" i="1"/>
  <c r="B41" i="1"/>
  <c r="B11" i="1"/>
  <c r="B135" i="1"/>
  <c r="B165" i="1"/>
  <c r="B103" i="1"/>
  <c r="B13" i="1"/>
  <c r="B39" i="1"/>
  <c r="B9" i="1"/>
  <c r="I10" i="1"/>
  <c r="B89" i="1"/>
  <c r="B93" i="1"/>
  <c r="B79" i="1"/>
  <c r="B163" i="1"/>
  <c r="B47" i="1"/>
  <c r="B19" i="1"/>
  <c r="B101" i="1"/>
  <c r="B141" i="1"/>
  <c r="C141" i="1"/>
  <c r="B61" i="1"/>
  <c r="B125" i="1"/>
  <c r="B113" i="1"/>
  <c r="C113" i="1"/>
  <c r="B29" i="1"/>
  <c r="C29" i="1"/>
  <c r="C57" i="1"/>
  <c r="B57" i="1"/>
  <c r="B77" i="1"/>
  <c r="B111" i="1"/>
  <c r="B5" i="1"/>
  <c r="B157" i="1"/>
  <c r="B21" i="1"/>
  <c r="B35" i="1"/>
  <c r="H58" i="1"/>
  <c r="B58" i="1"/>
  <c r="C58" i="1"/>
  <c r="D58" i="1"/>
  <c r="E58" i="1"/>
  <c r="F58" i="1"/>
  <c r="G58" i="1"/>
  <c r="B159" i="1"/>
  <c r="B153" i="1"/>
  <c r="B81" i="1"/>
  <c r="B31" i="1"/>
  <c r="B121" i="1"/>
  <c r="B37" i="1"/>
  <c r="C30" i="1"/>
  <c r="D30" i="1"/>
  <c r="E30" i="1"/>
  <c r="F30" i="1"/>
  <c r="G30" i="1"/>
  <c r="H30" i="1"/>
  <c r="B30" i="1"/>
  <c r="B143" i="1"/>
  <c r="B109" i="1"/>
  <c r="B67" i="1"/>
  <c r="I6" i="1"/>
  <c r="B133" i="1"/>
  <c r="B95" i="1"/>
  <c r="B155" i="1"/>
  <c r="C155" i="1"/>
  <c r="B6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<sst xmlns="http://schemas.openxmlformats.org/spreadsheetml/2006/main" count="124" uniqueCount="25">
  <si>
    <t>April</t>
  </si>
  <si>
    <t>MONDAY</t>
  </si>
  <si>
    <t>TUESDAY</t>
  </si>
  <si>
    <t>WEDNESDAY</t>
  </si>
  <si>
    <t>THURSDAY</t>
  </si>
  <si>
    <t>FRIDAY</t>
  </si>
  <si>
    <t>SATURDAY</t>
  </si>
  <si>
    <t>SUNDAY</t>
  </si>
  <si>
    <t>Weekly Total</t>
  </si>
  <si>
    <t>London 20</t>
  </si>
  <si>
    <t>Bristol 50</t>
  </si>
  <si>
    <t>Brighton 30</t>
  </si>
  <si>
    <t>#SPILL!</t>
  </si>
  <si>
    <t>Notes: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</si>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</sst>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d"/>
    <numFmt numFmtId="3" formatCode="MMM-YY"/>
  </numFmts>
  <fonts count="10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Trebuchet MS"/>
      <sz val="11.00"/>
      <family val="2"/>
    </font>
    <font>
      <name val="Arial"/>
      <sz val="28.00"/>
      <b/>
      <color rgb="FFFFFFFF"/>
      <family val="2"/>
    </font>
    <font>
      <name val="Arial"/>
      <sz val="11.00"/>
      <b/>
      <color rgb="FFFFFFFF"/>
      <family val="2"/>
    </font>
    <font>
      <name val="Trebuchet MS"/>
      <sz val="16.00"/>
      <color rgb="FF000000"/>
      <family val="2"/>
    </font>
    <font>
      <name val="Trebuchet MS"/>
      <sz val="36.00"/>
      <color rgb="FF267770"/>
      <family val="2"/>
    </font>
    <font>
      <name val="Trebuchet MS"/>
      <sz val="11.00"/>
      <color rgb="FF000000"/>
      <family val="2"/>
    </font>
    <font>
      <name val="Trebuchet MS"/>
      <sz val="11.00"/>
      <b/>
      <family val="2"/>
    </font>
    <font>
      <name val="Century Gothic"/>
      <sz val="10.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67770"/>
        <bgColor indexed="64"/>
      </patternFill>
    </fill>
    <fill>
      <patternFill patternType="solid">
        <fgColor rgb="FF3d5921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ck">
        <color rgb="FFFFFFFF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19">
    <xf numFmtId="0" fontId="0" fillId="0" borderId="0"/>
    <xf numFmtId="1" applyNumberFormat="1" fontId="1" applyFont="1" borderId="1" applyBorder="1" applyAlignment="1">
      <alignment vertical="top" horizontal="left" wrapText="1"/>
    </xf>
    <xf numFmtId="1" applyNumberFormat="1" fontId="2" applyFont="1" fillId="2" applyFill="1" applyAlignment="1">
      <alignment/>
    </xf>
    <xf numFmtId="1" applyNumberFormat="1" fontId="3" applyFont="1" fillId="3" applyFill="1" applyAlignment="1">
      <alignment horizontal="center"/>
    </xf>
    <xf numFmtId="1" applyNumberFormat="1" fontId="4" applyFont="1" fillId="3" applyFill="1" borderId="2" applyBorder="1" applyAlignment="1">
      <alignment vertical="center" horizontal="left"/>
    </xf>
    <xf numFmtId="1" applyNumberFormat="1" fontId="1" applyFont="1" borderId="3" applyBorder="1" applyAlignment="1">
      <alignment vertical="top" horizontal="left" wrapText="1"/>
    </xf>
    <xf numFmtId="1" applyNumberFormat="1" fontId="1" applyFont="1" borderId="1" applyBorder="1" applyAlignment="1">
      <alignment vertical="top" horizontal="left" wrapText="1"/>
    </xf>
    <xf numFmtId="1" applyNumberFormat="1" fontId="4" applyFont="1" fillId="4" applyFill="1" borderId="2" applyBorder="1" applyAlignment="1">
      <alignment vertical="center" horizontal="left"/>
    </xf>
    <xf numFmtId="2" applyNumberFormat="1" fontId="5" applyFont="1" borderId="4" applyBorder="1" applyAlignment="1">
      <alignment vertical="center" horizontal="left" wrapText="1"/>
    </xf>
    <xf numFmtId="1" applyNumberFormat="1" fontId="6" applyFont="1" applyAlignment="1">
      <alignment horizontal="left"/>
    </xf>
    <xf numFmtId="1" applyNumberFormat="1" fontId="2" applyFont="1" borderId="5" applyBorder="1" applyAlignment="1">
      <alignment vertical="center" horizontal="left" wrapText="1"/>
    </xf>
    <xf numFmtId="1" applyNumberFormat="1" fontId="7" applyFont="1" applyAlignment="1">
      <alignment vertical="top" horizontal="left" wrapText="1"/>
    </xf>
    <xf numFmtId="1" applyNumberFormat="1" fontId="1" applyFont="1" borderId="6" applyBorder="1" applyAlignment="1">
      <alignment vertical="top" horizontal="left" wrapText="1"/>
    </xf>
    <xf numFmtId="1" applyNumberFormat="1" fontId="2" applyFont="1" fillId="2" applyFill="1" applyAlignment="1">
      <alignment/>
    </xf>
    <xf numFmtId="3" applyNumberFormat="1" fontId="1" applyFont="1" borderId="3" applyBorder="1" applyAlignment="1">
      <alignment vertical="top" horizontal="left" wrapText="1"/>
    </xf>
    <xf numFmtId="1" applyNumberFormat="1" fontId="8" applyFont="1" applyAlignment="1">
      <alignment/>
    </xf>
    <xf numFmtId="2" applyNumberFormat="1" fontId="2" applyFont="1" borderId="5" applyBorder="1" applyAlignment="1">
      <alignment vertical="center" horizontal="left" wrapText="1"/>
    </xf>
    <xf numFmtId="1" applyNumberFormat="1" fontId="9" applyFont="1" applyAlignment="1">
      <alignment/>
    </xf>
    <xf numFmtId="2" applyNumberFormat="1" fontId="5" applyFont="1" borderId="5" applyBorder="1" applyAlignment="1">
      <alignment vertical="center" horizontal="left" wrapText="1"/>
    </xf>
  </cellStyleXfs>
  <cellXfs count="20">
    <xf numFmtId="0" fontId="0" fillId="0" borderId="0" xfId="0"/>
    <xf xfId="13" quotePrefix="0" pivotButton="0" numFmtId="1" applyNumberFormat="1" fontId="2" applyFont="1" fillId="2" applyFill="1" applyAlignment="1">
      <alignment/>
    </xf>
    <xf xfId="3" quotePrefix="0" pivotButton="0" numFmtId="1" applyNumberFormat="1" fontId="3" applyFont="1" fillId="3" applyFill="1" applyAlignment="1">
      <alignment horizontal="center"/>
    </xf>
    <xf xfId="9" quotePrefix="0" pivotButton="0" numFmtId="1" applyNumberFormat="1" fontId="6" applyFont="1" applyAlignment="1">
      <alignment horizontal="left"/>
    </xf>
    <xf xfId="17" quotePrefix="0" pivotButton="0" numFmtId="1" applyNumberFormat="1" fontId="9" applyFont="1" applyAlignment="1">
      <alignment/>
    </xf>
    <xf xfId="7" quotePrefix="0" pivotButton="0" numFmtId="1" applyNumberFormat="1" fontId="4" applyFont="1" fillId="4" applyFill="1" borderId="2" applyBorder="1" applyAlignment="1">
      <alignment vertical="center" horizontal="left"/>
    </xf>
    <xf xfId="4" quotePrefix="0" pivotButton="0" numFmtId="1" applyNumberFormat="1" fontId="4" applyFont="1" fillId="3" applyFill="1" borderId="2" applyBorder="1" applyAlignment="1">
      <alignment vertical="center" horizontal="left"/>
    </xf>
    <xf xfId="15" quotePrefix="0" pivotButton="0" numFmtId="1" applyNumberFormat="1" fontId="8" applyFont="1" applyAlignment="1">
      <alignment/>
    </xf>
    <xf xfId="8" quotePrefix="0" pivotButton="0" numFmtId="2" applyNumberFormat="1" fontId="5" applyFont="1" borderId="4" applyBorder="1" applyAlignment="1">
      <alignment vertical="center" horizontal="left" wrapText="1"/>
    </xf>
    <xf xfId="18" quotePrefix="0" pivotButton="0" numFmtId="2" applyNumberFormat="1" fontId="5" applyFont="1" borderId="5" applyBorder="1" applyAlignment="1">
      <alignment vertical="center" horizontal="left" wrapText="1"/>
    </xf>
    <xf xfId="5" quotePrefix="0" pivotButton="0" numFmtId="1" applyNumberFormat="1" fontId="1" applyFont="1" borderId="3" applyBorder="1" applyAlignment="1">
      <alignment vertical="top" horizontal="left" wrapText="1"/>
    </xf>
    <xf xfId="12" quotePrefix="0" pivotButton="0" numFmtId="1" applyNumberFormat="1" fontId="1" applyFont="1" borderId="6" applyBorder="1" applyAlignment="1">
      <alignment vertical="top" horizontal="left" wrapText="1"/>
    </xf>
    <xf quotePrefix="0" pivotButton="0"/>
    <xf xfId="14" quotePrefix="0" pivotButton="0" numFmtId="3" applyNumberFormat="1" fontId="1" applyFont="1" borderId="3" applyBorder="1" applyAlignment="1">
      <alignment vertical="top" horizontal="left" wrapText="1"/>
    </xf>
    <xf xfId="1" quotePrefix="0" pivotButton="0" numFmtId="1" applyNumberFormat="1" fontId="1" applyFont="1" borderId="1" applyBorder="1" applyAlignment="1">
      <alignment vertical="top" horizontal="left" wrapText="1"/>
    </xf>
    <xf xfId="10" quotePrefix="0" pivotButton="0" numFmtId="1" applyNumberFormat="1" fontId="2" applyFont="1" borderId="5" applyBorder="1" applyAlignment="1">
      <alignment vertical="center" horizontal="left" wrapText="1"/>
    </xf>
    <xf xfId="11" quotePrefix="0" pivotButton="0" numFmtId="1" applyNumberFormat="1" fontId="7" applyFont="1" applyAlignment="1">
      <alignment vertical="top" horizontal="left" wrapText="1"/>
    </xf>
    <xf xfId="2" quotePrefix="0" pivotButton="0" numFmtId="1" applyNumberFormat="1" fontId="2" applyFont="1" fillId="2" applyFill="1" applyAlignment="1">
      <alignment/>
    </xf>
    <xf xfId="6" quotePrefix="0" pivotButton="0" numFmtId="1" applyNumberFormat="1" fontId="1" applyFont="1" borderId="1" applyBorder="1" applyAlignment="1">
      <alignment vertical="top" horizontal="left" wrapText="1"/>
    </xf>
    <xf xfId="16" quotePrefix="0" pivotButton="0" numFmtId="2" applyNumberFormat="1" fontId="2" applyFont="1" borderId="5" applyBorder="1" applyAlignment="1">
      <alignment vertical="center" horizontal="left" wrapText="1"/>
    </xf>
  </cellXfs>
  <cellStyles count="1">
    <cellStyle name="normal" xfId="0" builtinId="0"/>
  </cellStyles>
  <dxfs count="12"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  <dxf>
      <font>
        <color rgb="FF747474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67770"/>
  </sheetPr>
  <dimension ref="A1"/>
  <sheetViews>
    <sheetView showGridLines="0" tabSelected="0" workbookViewId="0">
      <selection activeCell="A1" sqref="A1"/>
    </sheetView>
  </sheetViews>
  <sheetFormatPr defaultRowHeight="14.40" customHeight="1" defaultColWidth="8.61"/>
  <cols>
    <col min="1" max="1" width="1.96" customWidth="1" hidden="0"/>
    <col min="2" max="2" width="17.88" customWidth="1" hidden="0"/>
    <col min="3" max="8" width="17.33" customWidth="1" hidden="0"/>
    <col min="9" max="9" width="14.06" customWidth="1" hidden="0"/>
    <col min="10" max="10" width="13.63" customWidth="1" hidden="0"/>
    <col min="14" max="14" width="6.65" customWidth="1" hidden="0"/>
  </cols>
  <sheetData>
    <row r="1" ht="54.00" customHeight="true">
      <c r="A1" s="1"/>
      <c r="B1" s="2">
        <v>2020</v>
      </c>
      <c r="C1" t="s" s="3">
        <v>0</v>
      </c>
      <c r="D1" s="3"/>
      <c r="E1" s="3"/>
      <c r="F1" s="1"/>
      <c r="G1" s="1"/>
      <c r="H1" s="1"/>
    </row>
    <row r="2" ht="14.25" customHeight="true">
      <c r="A2" s="4"/>
      <c r="B2" t="s" s="5">
        <v>1</v>
      </c>
      <c r="C2" s="6" t="s">
        <f>UPPER(TEXT(C3,"dddd"))</f>
        <v>2</v>
      </c>
      <c r="D2" s="5" t="s">
        <f ref="D2:H2" t="shared" si="0">UPPER(TEXT(D3,"dddd"))</f>
        <v>3</v>
      </c>
      <c r="E2" s="6" t="s">
        <f t="shared" si="0"/>
        <v>4</v>
      </c>
      <c r="F2" s="5" t="s">
        <f t="shared" si="0"/>
        <v>5</v>
      </c>
      <c r="G2" s="6" t="s">
        <f t="shared" si="0"/>
        <v>6</v>
      </c>
      <c r="H2" s="5" t="s">
        <f t="shared" si="0"/>
        <v>7</v>
      </c>
      <c r="I2" t="s" s="7">
        <v>8</v>
      </c>
      <c r="J2" s="7"/>
    </row>
    <row r="3" ht="16.50" customHeight="true">
      <c r="B3" cm="1" s="8">
        <f t="array" ref="B3:H3">Days+1+DATE(Calendar1Year,Calendar1MonthOption,1)-WEEKDAY(DATE(Calendar1Year,Calendar1MonthOption,1),WeekdayOption)</f>
        <v>43920</v>
      </c>
      <c r="C3" s="8">
        <v>43921</v>
      </c>
      <c r="D3" s="8">
        <v>43922</v>
      </c>
      <c r="E3" s="8">
        <v>43923</v>
      </c>
      <c r="F3" s="8">
        <v>43924</v>
      </c>
      <c r="G3" s="8">
        <v>43925</v>
      </c>
      <c r="H3" s="9">
        <v>43926</v>
      </c>
    </row>
    <row r="4" ht="56.25" customHeight="true">
      <c r="B4" s="10"/>
      <c r="C4" s="10"/>
      <c r="D4" t="s" s="10">
        <v>9</v>
      </c>
      <c r="E4" t="s" s="10">
        <v>10</v>
      </c>
      <c r="F4" t="s" s="10">
        <v>11</v>
      </c>
      <c r="G4" s="10"/>
      <c r="H4" s="11"/>
      <c r="I4" cm="1" s="12">
        <f t="array" ref="I4">SUMPRODUCT(IFERROR(VALUE(RIGHT(B4:H4,LEN(B4:H4)-FIND(" ",B4:H4))),0))</f>
        <v>100</v>
      </c>
    </row>
    <row r="5" ht="16.50" customHeight="true">
      <c r="B5" cm="1" s="8">
        <f t="array" ref="B5:H5">Days+8+DATE(Calendar1Year,Calendar1MonthOption,1)-WEEKDAY(DATE(Calendar1Year,Calendar1MonthOption,1),WeekdayOption)</f>
        <v>43927</v>
      </c>
      <c r="C5" s="8">
        <v>43928</v>
      </c>
      <c r="D5" s="8">
        <v>43929</v>
      </c>
      <c r="E5" s="8">
        <v>43930</v>
      </c>
      <c r="F5" s="8">
        <v>43931</v>
      </c>
      <c r="G5" s="8">
        <v>43932</v>
      </c>
      <c r="H5" s="9">
        <v>43933</v>
      </c>
    </row>
    <row r="6" ht="56.25" customHeight="true">
      <c r="B6" s="10"/>
      <c r="C6" s="10"/>
      <c r="D6" s="10"/>
      <c r="E6" s="10"/>
      <c r="F6" s="13"/>
      <c r="G6" s="10"/>
      <c r="H6" s="14"/>
      <c r="I6" cm="1" s="12">
        <f t="array" ref="I6">SUMPRODUCT(IFERROR(VALUE(RIGHT(B6:H6,LEN(B6:H6)-FIND(" ",B6:H6))),0))</f>
        <v>0</v>
      </c>
    </row>
    <row r="7" ht="16.50" customHeight="true">
      <c r="B7" cm="1" s="8">
        <f t="array" ref="B7:H7">Days+15+DATE(Calendar1Year,Calendar1MonthOption,1)-WEEKDAY(DATE(Calendar1Year,Calendar1MonthOption,1),WeekdayOption)</f>
        <v>43934</v>
      </c>
      <c r="C7" s="8">
        <v>43935</v>
      </c>
      <c r="D7" s="8">
        <v>43936</v>
      </c>
      <c r="E7" s="8">
        <v>43937</v>
      </c>
      <c r="F7" s="8">
        <v>43938</v>
      </c>
      <c r="G7" s="8">
        <v>43939</v>
      </c>
      <c r="H7" s="9">
        <v>43940</v>
      </c>
    </row>
    <row r="8" ht="56.25" customHeight="true">
      <c r="B8" s="10"/>
      <c r="C8" s="10"/>
      <c r="D8" s="10"/>
      <c r="E8" s="10"/>
      <c r="F8" s="10"/>
      <c r="G8" s="10"/>
      <c r="H8" s="11"/>
      <c r="I8" cm="1" s="12">
        <f t="array" ref="I8">SUMPRODUCT(IFERROR(VALUE(RIGHT(B8:H8,LEN(B8:H8)-FIND(" ",B8:H8))),0))</f>
        <v>0</v>
      </c>
    </row>
    <row r="9" ht="16.50" customHeight="true">
      <c r="B9" cm="1" s="8">
        <f t="array" ref="B9:H9">Days+22+DATE(Calendar1Year,Calendar1MonthOption,1)-WEEKDAY(DATE(Calendar1Year,Calendar1MonthOption,1),WeekdayOption)</f>
        <v>43941</v>
      </c>
      <c r="C9" s="8">
        <v>43942</v>
      </c>
      <c r="D9" s="8">
        <v>43943</v>
      </c>
      <c r="E9" s="8">
        <v>43944</v>
      </c>
      <c r="F9" s="8">
        <v>43945</v>
      </c>
      <c r="G9" s="8">
        <v>43946</v>
      </c>
      <c r="H9" s="9">
        <v>43947</v>
      </c>
    </row>
    <row r="10" ht="56.25" customHeight="true">
      <c r="B10" s="10"/>
      <c r="C10" s="10"/>
      <c r="D10" s="10"/>
      <c r="E10" s="10"/>
      <c r="F10" s="10"/>
      <c r="G10" s="10"/>
      <c r="H10" s="11"/>
      <c r="I10" cm="1" s="12">
        <f t="array" ref="I10">SUMPRODUCT(IFERROR(VALUE(RIGHT(B10:H10,LEN(B10:H10)-FIND(" ",B10:H10))),0))</f>
        <v>0</v>
      </c>
    </row>
    <row r="11" ht="16.50" customHeight="true">
      <c r="B11" cm="1" s="8">
        <f t="array" ref="B11:H11">Days+29+DATE(Calendar1Year,Calendar1MonthOption,1)-WEEKDAY(DATE(Calendar1Year,Calendar1MonthOption,1),WeekdayOption)</f>
        <v>43948</v>
      </c>
      <c r="C11" s="8">
        <v>43949</v>
      </c>
      <c r="D11" s="8">
        <v>43950</v>
      </c>
      <c r="E11" s="8">
        <v>43951</v>
      </c>
      <c r="F11" s="8">
        <v>43952</v>
      </c>
      <c r="G11" s="8">
        <v>43953</v>
      </c>
      <c r="H11" s="9">
        <v>43954</v>
      </c>
    </row>
    <row r="12" ht="57.00" customHeight="true">
      <c r="B12" s="10"/>
      <c r="C12" s="10"/>
      <c r="D12" s="10"/>
      <c r="E12" s="10"/>
      <c r="F12" s="10"/>
      <c r="G12" s="10"/>
      <c r="H12" s="11"/>
      <c r="I12" cm="1" s="12">
        <f t="array" ref="I12">SUMPRODUCT(IFERROR(VALUE(RIGHT(B12:H12,LEN(B12:H12)-FIND(" ",B12:H12))),0))</f>
        <v>0</v>
      </c>
    </row>
    <row r="13" ht="16.50" customHeight="true">
      <c r="B13" cm="1" s="8" t="s">
        <f t="array" ref="B13:H13">Days+36+DATE(Calendar1Year,Calendar1MonthOption,1)-WEEKDAY(DATE(Calendar1Year,Calendar1MonthOption,1),WeekdayOption)</f>
        <v>12</v>
      </c>
      <c r="C13" t="s" s="8"/>
      <c r="D13" t="s" s="15">
        <v>13</v>
      </c>
      <c r="E13" t="s" s="15"/>
      <c r="F13" t="s" s="15"/>
      <c r="G13" t="s" s="15"/>
      <c r="H13" t="s" s="15"/>
    </row>
    <row r="14" ht="63.75" customHeight="true">
      <c r="B14" s="10"/>
      <c r="C14" s="10"/>
      <c r="D14" s="16"/>
      <c r="E14" s="16"/>
      <c r="F14" s="16"/>
      <c r="G14" s="16"/>
      <c r="H14" s="16"/>
      <c r="I14" cm="1" s="12">
        <f t="array" ref="I14">SUMPRODUCT(IFERROR(VALUE(RIGHT(B14:H14,LEN(B14:H14)-FIND(" ",B14:H14))),0))</f>
        <v>0</v>
      </c>
    </row>
    <row r="15" ht="54.00" customHeight="true">
      <c r="A15" s="1"/>
      <c r="B15" s="2">
        <f>YEAR(DATE(Calendar1Year,Calendar1MonthOption+1,1))</f>
        <v>2020</v>
      </c>
      <c r="C15" s="3" t="s">
        <f>TEXT(DATE(Calendar1Year,Calendar1MonthOption+1,1),"mmmm")</f>
        <v>14</v>
      </c>
      <c r="D15" s="3"/>
      <c r="E15" s="3"/>
      <c r="F15" s="17"/>
      <c r="G15" s="17"/>
      <c r="H15" s="1"/>
    </row>
    <row r="16" ht="14.25" customHeight="true">
      <c r="A16" s="4"/>
      <c r="B16" s="5" t="s">
        <f>UPPER(TEXT(B17,"dddd"))</f>
        <v>1</v>
      </c>
      <c r="C16" s="6" t="s">
        <f ref="C16:H16" t="shared" si="1">UPPER(TEXT(C17,"dddd"))</f>
        <v>2</v>
      </c>
      <c r="D16" s="5" t="s">
        <f t="shared" si="1"/>
        <v>3</v>
      </c>
      <c r="E16" s="6" t="s">
        <f t="shared" si="1"/>
        <v>4</v>
      </c>
      <c r="F16" s="5" t="s">
        <f t="shared" si="1"/>
        <v>5</v>
      </c>
      <c r="G16" s="6" t="s">
        <f t="shared" si="1"/>
        <v>6</v>
      </c>
      <c r="H16" s="5" t="s">
        <f t="shared" si="1"/>
        <v>7</v>
      </c>
    </row>
    <row r="17" ht="16.50" customHeight="true">
      <c r="B17" cm="1" s="8">
        <f t="array" ref="B17:H17">Days+1+DATE(Calendar2Year,Calendar2MonthOption,1)-WEEKDAY(DATE(Calendar2Year,Calendar2MonthOption,1),WeekdayOption)</f>
        <v>43948</v>
      </c>
      <c r="C17" s="8">
        <v>43949</v>
      </c>
      <c r="D17" s="8">
        <v>43950</v>
      </c>
      <c r="E17" s="8">
        <v>43951</v>
      </c>
      <c r="F17" s="8">
        <v>43952</v>
      </c>
      <c r="G17" s="8">
        <v>43953</v>
      </c>
      <c r="H17" s="9">
        <v>43954</v>
      </c>
    </row>
    <row r="18" ht="56.25" customHeight="true">
      <c r="B18" s="10"/>
      <c r="C18" s="10"/>
      <c r="D18" s="10"/>
      <c r="E18" s="10"/>
      <c r="F18" s="10"/>
      <c r="G18" s="10"/>
      <c r="H18" s="11"/>
    </row>
    <row r="19" ht="16.50" customHeight="true">
      <c r="B19" cm="1" s="8">
        <f t="array" ref="B19:H19">Days+8+DATE(Calendar2Year,Calendar2MonthOption,1)-WEEKDAY(DATE(Calendar2Year,Calendar2MonthOption,1),WeekdayOption)</f>
        <v>43955</v>
      </c>
      <c r="C19" s="8">
        <v>43956</v>
      </c>
      <c r="D19" s="8">
        <v>43957</v>
      </c>
      <c r="E19" s="8">
        <v>43958</v>
      </c>
      <c r="F19" s="8">
        <v>43959</v>
      </c>
      <c r="G19" s="8">
        <v>43960</v>
      </c>
      <c r="H19" s="9">
        <v>43961</v>
      </c>
    </row>
    <row r="20" ht="56.25" customHeight="true">
      <c r="B20" s="10"/>
      <c r="C20" s="10"/>
      <c r="D20" s="10"/>
      <c r="E20" s="10"/>
      <c r="F20" s="10"/>
      <c r="G20" s="10"/>
      <c r="H20" s="11"/>
    </row>
    <row r="21" ht="16.50" customHeight="true">
      <c r="B21" cm="1" s="8">
        <f t="array" ref="B21:H21">Days+15+DATE(Calendar2Year,Calendar2MonthOption,1)-WEEKDAY(DATE(Calendar2Year,Calendar2MonthOption,1),WeekdayOption)</f>
        <v>43962</v>
      </c>
      <c r="C21" s="8">
        <v>43963</v>
      </c>
      <c r="D21" s="8">
        <v>43964</v>
      </c>
      <c r="E21" s="8">
        <v>43965</v>
      </c>
      <c r="F21" s="8">
        <v>43966</v>
      </c>
      <c r="G21" s="8">
        <v>43967</v>
      </c>
      <c r="H21" s="9">
        <v>43968</v>
      </c>
    </row>
    <row r="22" ht="56.25" customHeight="true">
      <c r="B22" s="10"/>
      <c r="C22" s="10"/>
      <c r="D22" s="10"/>
      <c r="E22" s="10"/>
      <c r="F22" s="10"/>
      <c r="G22" s="10"/>
      <c r="H22" s="11"/>
    </row>
    <row r="23" ht="16.50" customHeight="true">
      <c r="B23" cm="1" s="8">
        <f t="array" ref="B23:H23">Days+22+DATE(Calendar2Year,Calendar2MonthOption,1)-WEEKDAY(DATE(Calendar2Year,Calendar2MonthOption,1),WeekdayOption)</f>
        <v>43969</v>
      </c>
      <c r="C23" s="8">
        <v>43970</v>
      </c>
      <c r="D23" s="8">
        <v>43971</v>
      </c>
      <c r="E23" s="8">
        <v>43972</v>
      </c>
      <c r="F23" s="8">
        <v>43973</v>
      </c>
      <c r="G23" s="8">
        <v>43974</v>
      </c>
      <c r="H23" s="9">
        <v>43975</v>
      </c>
    </row>
    <row r="24" ht="56.25" customHeight="true">
      <c r="B24" s="10"/>
      <c r="C24" s="10"/>
      <c r="D24" s="10"/>
      <c r="E24" s="10"/>
      <c r="F24" s="10"/>
      <c r="G24" s="10"/>
      <c r="H24" s="11"/>
    </row>
    <row r="25" ht="16.50" customHeight="true">
      <c r="B25" cm="1" s="8">
        <f t="array" ref="B25:H25">Days+29+DATE(Calendar2Year,Calendar2MonthOption,1)-WEEKDAY(DATE(Calendar2Year,Calendar2MonthOption,1),WeekdayOption)</f>
        <v>43976</v>
      </c>
      <c r="C25" s="8">
        <v>43977</v>
      </c>
      <c r="D25" s="8">
        <v>43978</v>
      </c>
      <c r="E25" s="8">
        <v>43979</v>
      </c>
      <c r="F25" s="8">
        <v>43980</v>
      </c>
      <c r="G25" s="8">
        <v>43981</v>
      </c>
      <c r="H25" s="9">
        <v>43982</v>
      </c>
    </row>
    <row r="26" ht="57.00" customHeight="true">
      <c r="B26" s="10"/>
      <c r="C26" s="10"/>
      <c r="D26" s="10"/>
      <c r="E26" s="10"/>
      <c r="F26" s="10"/>
      <c r="G26" s="10"/>
      <c r="H26" s="18"/>
    </row>
    <row r="27" ht="16.50" customHeight="true">
      <c r="B27" cm="1" s="8" t="s">
        <f t="array" ref="B27:H27">Days+36+DATE(Calendar2Year,Calendar2MonthOption,1)-WEEKDAY(DATE(Calendar2Year,Calendar2MonthOption,1),WeekdayOption)</f>
        <v>12</v>
      </c>
      <c r="C27" t="s" s="8"/>
      <c r="D27" t="s" s="19">
        <v>13</v>
      </c>
      <c r="E27" t="s" s="19"/>
      <c r="F27" t="s" s="19"/>
      <c r="G27" t="s" s="19"/>
      <c r="H27" t="s" s="19"/>
    </row>
    <row r="28" ht="63.75" customHeight="true">
      <c r="B28" s="10"/>
      <c r="C28" s="10"/>
      <c r="D28" s="16"/>
      <c r="E28" s="16"/>
      <c r="F28" s="16"/>
      <c r="G28" s="16"/>
      <c r="H28" s="16"/>
    </row>
    <row r="29" ht="54.00" customHeight="true">
      <c r="A29" s="1"/>
      <c r="B29" s="2">
        <f>YEAR(DATE(Calendar2Year,Calendar2MonthOption+1,1))</f>
        <v>2020</v>
      </c>
      <c r="C29" s="3" t="s">
        <f>TEXT(DATE(Calendar2Year,Calendar2MonthOption+1,1),"mmmm")</f>
        <v>15</v>
      </c>
      <c r="D29" s="3"/>
      <c r="E29" s="3"/>
      <c r="F29" s="17"/>
      <c r="G29" s="17"/>
      <c r="H29" s="1"/>
    </row>
    <row r="30" ht="14.25" customHeight="true">
      <c r="A30" s="4"/>
      <c r="B30" s="5" t="s">
        <f>UPPER(TEXT(B31,"dddd"))</f>
        <v>1</v>
      </c>
      <c r="C30" s="6" t="s">
        <f>UPPER(TEXT(C31,"dddd"))</f>
        <v>2</v>
      </c>
      <c r="D30" s="5" t="s">
        <f>UPPER(TEXT(D31,"dddd"))</f>
        <v>3</v>
      </c>
      <c r="E30" s="6" t="s">
        <f>UPPER(TEXT(E31,"dddd"))</f>
        <v>4</v>
      </c>
      <c r="F30" s="5" t="s">
        <f>UPPER(TEXT(F31,"dddd"))</f>
        <v>5</v>
      </c>
      <c r="G30" s="6" t="s">
        <f>UPPER(TEXT(G31,"dddd"))</f>
        <v>6</v>
      </c>
      <c r="H30" s="5" t="s">
        <f>UPPER(TEXT(H31,"dddd"))</f>
        <v>7</v>
      </c>
    </row>
    <row r="31" ht="16.50" customHeight="true">
      <c r="B31" cm="1" s="8">
        <f t="array" ref="B31:H31">Days+1+DATE(Calendar3Year,Calendar3MonthOption,1)-WEEKDAY(DATE(Calendar3Year,Calendar3MonthOption,1),WeekdayOption)</f>
        <v>43983</v>
      </c>
      <c r="C31" s="8">
        <v>43984</v>
      </c>
      <c r="D31" s="8">
        <v>43985</v>
      </c>
      <c r="E31" s="8">
        <v>43986</v>
      </c>
      <c r="F31" s="8">
        <v>43987</v>
      </c>
      <c r="G31" s="8">
        <v>43988</v>
      </c>
      <c r="H31" s="9">
        <v>43989</v>
      </c>
    </row>
    <row r="32" ht="56.25" customHeight="true">
      <c r="B32" s="10"/>
      <c r="C32" s="10"/>
      <c r="D32" s="10"/>
      <c r="E32" s="10"/>
      <c r="F32" s="10"/>
      <c r="G32" s="10"/>
      <c r="H32" s="11"/>
    </row>
    <row r="33" ht="16.50" customHeight="true">
      <c r="B33" cm="1" s="8">
        <f t="array" ref="B33:H33">Days+8+DATE(Calendar3Year,Calendar3MonthOption,1)-WEEKDAY(DATE(Calendar3Year,Calendar3MonthOption,1),WeekdayOption)</f>
        <v>43990</v>
      </c>
      <c r="C33" s="8">
        <v>43991</v>
      </c>
      <c r="D33" s="8">
        <v>43992</v>
      </c>
      <c r="E33" s="8">
        <v>43993</v>
      </c>
      <c r="F33" s="8">
        <v>43994</v>
      </c>
      <c r="G33" s="8">
        <v>43995</v>
      </c>
      <c r="H33" s="9">
        <v>43996</v>
      </c>
    </row>
    <row r="34" ht="56.25" customHeight="true">
      <c r="B34" s="10"/>
      <c r="C34" s="10"/>
      <c r="D34" s="10"/>
      <c r="E34" s="10"/>
      <c r="F34" s="10"/>
      <c r="G34" s="10"/>
      <c r="H34" s="11"/>
    </row>
    <row r="35" ht="16.50" customHeight="true">
      <c r="B35" cm="1" s="8">
        <f t="array" ref="B35:H35">Days+15+DATE(Calendar3Year,Calendar3MonthOption,1)-WEEKDAY(DATE(Calendar3Year,Calendar3MonthOption,1),WeekdayOption)</f>
        <v>43997</v>
      </c>
      <c r="C35" s="8">
        <v>43998</v>
      </c>
      <c r="D35" s="8">
        <v>43999</v>
      </c>
      <c r="E35" s="8">
        <v>44000</v>
      </c>
      <c r="F35" s="8">
        <v>44001</v>
      </c>
      <c r="G35" s="8">
        <v>44002</v>
      </c>
      <c r="H35" s="9">
        <v>44003</v>
      </c>
    </row>
    <row r="36" ht="56.25" customHeight="true">
      <c r="B36" s="10"/>
      <c r="C36" s="10"/>
      <c r="D36" s="10"/>
      <c r="E36" s="10"/>
      <c r="F36" s="10"/>
      <c r="G36" s="10"/>
      <c r="H36" s="11"/>
    </row>
    <row r="37" ht="16.50" customHeight="true">
      <c r="B37" cm="1" s="8">
        <f t="array" ref="B37:H37">Days+22+DATE(Calendar3Year,Calendar3MonthOption,1)-WEEKDAY(DATE(Calendar3Year,Calendar3MonthOption,1),WeekdayOption)</f>
        <v>44004</v>
      </c>
      <c r="C37" s="8">
        <v>44005</v>
      </c>
      <c r="D37" s="8">
        <v>44006</v>
      </c>
      <c r="E37" s="8">
        <v>44007</v>
      </c>
      <c r="F37" s="8">
        <v>44008</v>
      </c>
      <c r="G37" s="8">
        <v>44009</v>
      </c>
      <c r="H37" s="9">
        <v>44010</v>
      </c>
    </row>
    <row r="38" ht="56.25" customHeight="true">
      <c r="B38" s="10"/>
      <c r="C38" s="10"/>
      <c r="D38" s="10"/>
      <c r="E38" s="10"/>
      <c r="F38" s="10"/>
      <c r="G38" s="10"/>
      <c r="H38" s="11"/>
    </row>
    <row r="39" ht="16.50" customHeight="true">
      <c r="B39" cm="1" s="8">
        <f t="array" ref="B39:H39">Days+29+DATE(Calendar3Year,Calendar3MonthOption,1)-WEEKDAY(DATE(Calendar3Year,Calendar3MonthOption,1),WeekdayOption)</f>
        <v>44011</v>
      </c>
      <c r="C39" s="8">
        <v>44012</v>
      </c>
      <c r="D39" s="8">
        <v>44013</v>
      </c>
      <c r="E39" s="8">
        <v>44014</v>
      </c>
      <c r="F39" s="8">
        <v>44015</v>
      </c>
      <c r="G39" s="8">
        <v>44016</v>
      </c>
      <c r="H39" s="9">
        <v>44017</v>
      </c>
    </row>
    <row r="40" ht="57.00" customHeight="true">
      <c r="B40" s="10"/>
      <c r="C40" s="10"/>
      <c r="D40" s="10"/>
      <c r="E40" s="10"/>
      <c r="F40" s="10"/>
      <c r="G40" s="10"/>
      <c r="H40" s="18"/>
    </row>
    <row r="41" ht="16.50" customHeight="true">
      <c r="B41" cm="1" s="8" t="s">
        <f t="array" ref="B41:H41">Days+36+DATE(Calendar3Year,Calendar3MonthOption,1)-WEEKDAY(DATE(Calendar3Year,Calendar3MonthOption,1),WeekdayOption)</f>
        <v>12</v>
      </c>
      <c r="C41" t="s" s="8"/>
      <c r="D41" t="s" s="19">
        <v>13</v>
      </c>
      <c r="E41" t="s" s="19"/>
      <c r="F41" t="s" s="19"/>
      <c r="G41" t="s" s="19"/>
      <c r="H41" t="s" s="19"/>
    </row>
    <row r="42" ht="63.75" customHeight="true">
      <c r="B42" s="10"/>
      <c r="C42" s="10"/>
      <c r="D42" s="16"/>
      <c r="E42" s="16"/>
      <c r="F42" s="16"/>
      <c r="G42" s="16"/>
      <c r="H42" s="16"/>
    </row>
    <row r="43" ht="54.00" customHeight="true">
      <c r="A43" s="1"/>
      <c r="B43" s="2">
        <f>YEAR(DATE(Calendar3Year,Calendar3MonthOption+1,1))</f>
        <v>2020</v>
      </c>
      <c r="C43" s="3" t="s">
        <f>TEXT(DATE(Calendar3Year,Calendar3MonthOption+1,1),"mmmm")</f>
        <v>16</v>
      </c>
      <c r="D43" s="3"/>
      <c r="E43" s="3"/>
      <c r="F43" s="17"/>
      <c r="G43" s="17"/>
      <c r="H43" s="1"/>
    </row>
    <row r="44" ht="14.25" customHeight="true">
      <c r="A44" s="4"/>
      <c r="B44" s="5" t="s">
        <f>UPPER(TEXT(B45,"dddd"))</f>
        <v>1</v>
      </c>
      <c r="C44" s="6" t="s">
        <f>UPPER(TEXT(C45,"dddd"))</f>
        <v>2</v>
      </c>
      <c r="D44" s="5" t="s">
        <f>UPPER(TEXT(D45,"dddd"))</f>
        <v>3</v>
      </c>
      <c r="E44" s="6" t="s">
        <f>UPPER(TEXT(E45,"dddd"))</f>
        <v>4</v>
      </c>
      <c r="F44" s="5" t="s">
        <f>UPPER(TEXT(F45,"dddd"))</f>
        <v>5</v>
      </c>
      <c r="G44" s="6" t="s">
        <f>UPPER(TEXT(G45,"dddd"))</f>
        <v>6</v>
      </c>
      <c r="H44" s="5" t="s">
        <f>UPPER(TEXT(H45,"dddd"))</f>
        <v>7</v>
      </c>
    </row>
    <row r="45" ht="16.50" customHeight="true">
      <c r="B45" cm="1" s="8">
        <f t="array" ref="B45:H45">Days+1+DATE(Calendar4Year,Calendar4MonthOption,1)-WEEKDAY(DATE(Calendar4Year,Calendar4MonthOption,1),WeekdayOption)</f>
        <v>44011</v>
      </c>
      <c r="C45" s="8">
        <v>44012</v>
      </c>
      <c r="D45" s="8">
        <v>44013</v>
      </c>
      <c r="E45" s="8">
        <v>44014</v>
      </c>
      <c r="F45" s="8">
        <v>44015</v>
      </c>
      <c r="G45" s="8">
        <v>44016</v>
      </c>
      <c r="H45" s="9">
        <v>44017</v>
      </c>
    </row>
    <row r="46" ht="56.25" customHeight="true">
      <c r="B46" s="10"/>
      <c r="C46" s="10"/>
      <c r="D46" s="10"/>
      <c r="E46" s="10"/>
      <c r="F46" s="10"/>
      <c r="G46" s="10"/>
      <c r="H46" s="11"/>
    </row>
    <row r="47" ht="16.50" customHeight="true">
      <c r="B47" cm="1" s="8">
        <f t="array" ref="B47:H47">Days+8+DATE(Calendar4Year,Calendar4MonthOption,1)-WEEKDAY(DATE(Calendar4Year,Calendar4MonthOption,1),WeekdayOption)</f>
        <v>44018</v>
      </c>
      <c r="C47" s="8">
        <v>44019</v>
      </c>
      <c r="D47" s="8">
        <v>44020</v>
      </c>
      <c r="E47" s="8">
        <v>44021</v>
      </c>
      <c r="F47" s="8">
        <v>44022</v>
      </c>
      <c r="G47" s="8">
        <v>44023</v>
      </c>
      <c r="H47" s="9">
        <v>44024</v>
      </c>
    </row>
    <row r="48" ht="56.25" customHeight="true">
      <c r="B48" s="10"/>
      <c r="C48" s="10"/>
      <c r="D48" s="10"/>
      <c r="E48" s="10"/>
      <c r="F48" s="10"/>
      <c r="G48" s="10"/>
      <c r="H48" s="11"/>
    </row>
    <row r="49" ht="16.50" customHeight="true">
      <c r="B49" cm="1" s="8">
        <f t="array" ref="B49:H49">Days+15+DATE(Calendar4Year,Calendar4MonthOption,1)-WEEKDAY(DATE(Calendar4Year,Calendar4MonthOption,1),WeekdayOption)</f>
        <v>44025</v>
      </c>
      <c r="C49" s="8">
        <v>44026</v>
      </c>
      <c r="D49" s="8">
        <v>44027</v>
      </c>
      <c r="E49" s="8">
        <v>44028</v>
      </c>
      <c r="F49" s="8">
        <v>44029</v>
      </c>
      <c r="G49" s="8">
        <v>44030</v>
      </c>
      <c r="H49" s="9">
        <v>44031</v>
      </c>
    </row>
    <row r="50" ht="56.25" customHeight="true">
      <c r="B50" s="10"/>
      <c r="C50" s="10"/>
      <c r="D50" s="10"/>
      <c r="E50" s="10"/>
      <c r="F50" s="10"/>
      <c r="G50" s="10"/>
      <c r="H50" s="11"/>
    </row>
    <row r="51" ht="16.50" customHeight="true">
      <c r="B51" cm="1" s="8">
        <f t="array" ref="B51:H51">Days+22+DATE(Calendar4Year,Calendar4MonthOption,1)-WEEKDAY(DATE(Calendar4Year,Calendar4MonthOption,1),WeekdayOption)</f>
        <v>44032</v>
      </c>
      <c r="C51" s="8">
        <v>44033</v>
      </c>
      <c r="D51" s="8">
        <v>44034</v>
      </c>
      <c r="E51" s="8">
        <v>44035</v>
      </c>
      <c r="F51" s="8">
        <v>44036</v>
      </c>
      <c r="G51" s="8">
        <v>44037</v>
      </c>
      <c r="H51" s="9">
        <v>44038</v>
      </c>
    </row>
    <row r="52" ht="56.25" customHeight="true">
      <c r="B52" s="10"/>
      <c r="C52" s="10"/>
      <c r="D52" s="10"/>
      <c r="E52" s="10"/>
      <c r="F52" s="10"/>
      <c r="G52" s="10"/>
      <c r="H52" s="11"/>
    </row>
    <row r="53" ht="16.50" customHeight="true">
      <c r="B53" cm="1" s="8">
        <f t="array" ref="B53:H53">Days+29+DATE(Calendar4Year,Calendar4MonthOption,1)-WEEKDAY(DATE(Calendar4Year,Calendar4MonthOption,1),WeekdayOption)</f>
        <v>44039</v>
      </c>
      <c r="C53" s="8">
        <v>44040</v>
      </c>
      <c r="D53" s="8">
        <v>44041</v>
      </c>
      <c r="E53" s="8">
        <v>44042</v>
      </c>
      <c r="F53" s="8">
        <v>44043</v>
      </c>
      <c r="G53" s="8">
        <v>44044</v>
      </c>
      <c r="H53" s="9">
        <v>44045</v>
      </c>
    </row>
    <row r="54" ht="57.00" customHeight="true">
      <c r="B54" s="10"/>
      <c r="C54" s="10"/>
      <c r="D54" s="10"/>
      <c r="E54" s="10"/>
      <c r="F54" s="10"/>
      <c r="G54" s="10"/>
      <c r="H54" s="18"/>
    </row>
    <row r="55" ht="16.50" customHeight="true">
      <c r="B55" cm="1" s="8" t="s">
        <f t="array" ref="B55:H55">Days+36+DATE(Calendar4Year,Calendar4MonthOption,1)-WEEKDAY(DATE(Calendar4Year,Calendar4MonthOption,1),WeekdayOption)</f>
        <v>12</v>
      </c>
      <c r="C55" t="s" s="8"/>
      <c r="D55" t="s" s="19">
        <v>13</v>
      </c>
      <c r="E55" t="s" s="19"/>
      <c r="F55" t="s" s="19"/>
      <c r="G55" t="s" s="19"/>
      <c r="H55" t="s" s="19"/>
    </row>
    <row r="56" ht="63.75" customHeight="true">
      <c r="B56" s="10"/>
      <c r="C56" s="10"/>
      <c r="D56" s="16"/>
      <c r="E56" s="16"/>
      <c r="F56" s="16"/>
      <c r="G56" s="16"/>
      <c r="H56" s="16"/>
    </row>
    <row r="57" ht="54.00" customHeight="true">
      <c r="A57" s="1"/>
      <c r="B57" s="2">
        <f>YEAR(DATE(Calendar4Year,Calendar4MonthOption+1,1))</f>
        <v>2020</v>
      </c>
      <c r="C57" s="3" t="s">
        <f>TEXT(DATE(Calendar4Year,Calendar4MonthOption+1,1),"mmmm")</f>
        <v>17</v>
      </c>
      <c r="D57" s="3"/>
      <c r="E57" s="3"/>
      <c r="F57" s="17"/>
      <c r="G57" s="17"/>
      <c r="H57" s="1"/>
    </row>
    <row r="58" ht="14.25" customHeight="true">
      <c r="A58" s="4"/>
      <c r="B58" s="5" t="s">
        <f>UPPER(TEXT(B59,"dddd"))</f>
        <v>1</v>
      </c>
      <c r="C58" s="6" t="s">
        <f>UPPER(TEXT(C59,"dddd"))</f>
        <v>2</v>
      </c>
      <c r="D58" s="5" t="s">
        <f>UPPER(TEXT(D59,"dddd"))</f>
        <v>3</v>
      </c>
      <c r="E58" s="6" t="s">
        <f>UPPER(TEXT(E59,"dddd"))</f>
        <v>4</v>
      </c>
      <c r="F58" s="5" t="s">
        <f>UPPER(TEXT(F59,"dddd"))</f>
        <v>5</v>
      </c>
      <c r="G58" s="6" t="s">
        <f>UPPER(TEXT(G59,"dddd"))</f>
        <v>6</v>
      </c>
      <c r="H58" s="5" t="s">
        <f>UPPER(TEXT(H59,"dddd"))</f>
        <v>7</v>
      </c>
    </row>
    <row r="59" ht="16.50" customHeight="true">
      <c r="B59" cm="1" s="8">
        <f t="array" ref="B59:H59">Days+1+DATE(Calendar5Year,Calendar5MonthOption,1)-WEEKDAY(DATE(Calendar5Year,Calendar5MonthOption,1),WeekdayOption)</f>
        <v>44039</v>
      </c>
      <c r="C59" s="8">
        <v>44040</v>
      </c>
      <c r="D59" s="8">
        <v>44041</v>
      </c>
      <c r="E59" s="8">
        <v>44042</v>
      </c>
      <c r="F59" s="8">
        <v>44043</v>
      </c>
      <c r="G59" s="8">
        <v>44044</v>
      </c>
      <c r="H59" s="9">
        <v>44045</v>
      </c>
    </row>
    <row r="60" ht="56.25" customHeight="true">
      <c r="B60" s="10"/>
      <c r="C60" s="10"/>
      <c r="D60" s="10"/>
      <c r="E60" s="10"/>
      <c r="F60" s="10"/>
      <c r="G60" s="10"/>
      <c r="H60" s="11"/>
    </row>
    <row r="61" ht="16.50" customHeight="true">
      <c r="B61" cm="1" s="8">
        <f t="array" ref="B61:H61">Days+8+DATE(Calendar5Year,Calendar5MonthOption,1)-WEEKDAY(DATE(Calendar5Year,Calendar5MonthOption,1),WeekdayOption)</f>
        <v>44046</v>
      </c>
      <c r="C61" s="8">
        <v>44047</v>
      </c>
      <c r="D61" s="8">
        <v>44048</v>
      </c>
      <c r="E61" s="8">
        <v>44049</v>
      </c>
      <c r="F61" s="8">
        <v>44050</v>
      </c>
      <c r="G61" s="8">
        <v>44051</v>
      </c>
      <c r="H61" s="9">
        <v>44052</v>
      </c>
    </row>
    <row r="62" ht="56.25" customHeight="true">
      <c r="B62" s="10"/>
      <c r="C62" s="10"/>
      <c r="D62" s="10"/>
      <c r="E62" s="10"/>
      <c r="F62" s="10"/>
      <c r="G62" s="10"/>
      <c r="H62" s="11"/>
    </row>
    <row r="63" ht="16.50" customHeight="true">
      <c r="B63" cm="1" s="8">
        <f t="array" ref="B63:H63">Days+15+DATE(Calendar5Year,Calendar5MonthOption,1)-WEEKDAY(DATE(Calendar5Year,Calendar5MonthOption,1),WeekdayOption)</f>
        <v>44053</v>
      </c>
      <c r="C63" s="8">
        <v>44054</v>
      </c>
      <c r="D63" s="8">
        <v>44055</v>
      </c>
      <c r="E63" s="8">
        <v>44056</v>
      </c>
      <c r="F63" s="8">
        <v>44057</v>
      </c>
      <c r="G63" s="8">
        <v>44058</v>
      </c>
      <c r="H63" s="9">
        <v>44059</v>
      </c>
    </row>
    <row r="64" ht="56.25" customHeight="true">
      <c r="B64" s="10"/>
      <c r="C64" s="10"/>
      <c r="D64" s="10"/>
      <c r="E64" s="10"/>
      <c r="F64" s="10"/>
      <c r="G64" s="10"/>
      <c r="H64" s="11"/>
    </row>
    <row r="65" ht="16.50" customHeight="true">
      <c r="B65" cm="1" s="8">
        <f t="array" ref="B65:H65">Days+22+DATE(Calendar5Year,Calendar5MonthOption,1)-WEEKDAY(DATE(Calendar5Year,Calendar5MonthOption,1),WeekdayOption)</f>
        <v>44060</v>
      </c>
      <c r="C65" s="8">
        <v>44061</v>
      </c>
      <c r="D65" s="8">
        <v>44062</v>
      </c>
      <c r="E65" s="8">
        <v>44063</v>
      </c>
      <c r="F65" s="8">
        <v>44064</v>
      </c>
      <c r="G65" s="8">
        <v>44065</v>
      </c>
      <c r="H65" s="9">
        <v>44066</v>
      </c>
    </row>
    <row r="66" ht="56.25" customHeight="true">
      <c r="B66" s="10"/>
      <c r="C66" s="10"/>
      <c r="D66" s="10"/>
      <c r="E66" s="10"/>
      <c r="F66" s="10"/>
      <c r="G66" s="10"/>
      <c r="H66" s="11"/>
    </row>
    <row r="67" ht="16.50" customHeight="true">
      <c r="B67" cm="1" s="8">
        <f t="array" ref="B67:H67">Days+29+DATE(Calendar5Year,Calendar5MonthOption,1)-WEEKDAY(DATE(Calendar5Year,Calendar5MonthOption,1),WeekdayOption)</f>
        <v>44067</v>
      </c>
      <c r="C67" s="8">
        <v>44068</v>
      </c>
      <c r="D67" s="8">
        <v>44069</v>
      </c>
      <c r="E67" s="8">
        <v>44070</v>
      </c>
      <c r="F67" s="8">
        <v>44071</v>
      </c>
      <c r="G67" s="8">
        <v>44072</v>
      </c>
      <c r="H67" s="9">
        <v>44073</v>
      </c>
    </row>
    <row r="68" ht="57.00" customHeight="true">
      <c r="B68" s="10"/>
      <c r="C68" s="10"/>
      <c r="D68" s="10"/>
      <c r="E68" s="10"/>
      <c r="F68" s="10"/>
      <c r="G68" s="10"/>
      <c r="H68" s="18"/>
    </row>
    <row r="69" ht="16.50" customHeight="true">
      <c r="B69" cm="1" s="8" t="s">
        <f t="array" ref="B69:H69">Days+36+DATE(Calendar5Year,Calendar5MonthOption,1)-WEEKDAY(DATE(Calendar5Year,Calendar5MonthOption,1),WeekdayOption)</f>
        <v>12</v>
      </c>
      <c r="C69" t="s" s="8"/>
      <c r="D69" t="s" s="19">
        <v>13</v>
      </c>
      <c r="E69" t="s" s="19"/>
      <c r="F69" t="s" s="19"/>
      <c r="G69" t="s" s="19"/>
      <c r="H69" t="s" s="19"/>
    </row>
    <row r="70" ht="63.75" customHeight="true">
      <c r="B70" s="10"/>
      <c r="C70" s="10"/>
      <c r="D70" s="16"/>
      <c r="E70" s="16"/>
      <c r="F70" s="16"/>
      <c r="G70" s="16"/>
      <c r="H70" s="16"/>
    </row>
    <row r="71" ht="54.00" customHeight="true">
      <c r="A71" s="1"/>
      <c r="B71" s="2">
        <f>YEAR(DATE(Calendar5Year,Calendar5MonthOption+1,1))</f>
        <v>2020</v>
      </c>
      <c r="C71" s="3" t="s">
        <f>TEXT(DATE(Calendar5Year,Calendar5MonthOption+1,1),"mmmm")</f>
        <v>18</v>
      </c>
      <c r="D71" s="3"/>
      <c r="E71" s="3"/>
      <c r="F71" s="17"/>
      <c r="G71" s="17"/>
      <c r="H71" s="1"/>
    </row>
    <row r="72" ht="14.25" customHeight="true">
      <c r="A72" s="4"/>
      <c r="B72" s="5" t="s">
        <f>UPPER(TEXT(B73,"dddd"))</f>
        <v>1</v>
      </c>
      <c r="C72" s="6" t="s">
        <f>UPPER(TEXT(C73,"dddd"))</f>
        <v>2</v>
      </c>
      <c r="D72" s="5" t="s">
        <f>UPPER(TEXT(D73,"dddd"))</f>
        <v>3</v>
      </c>
      <c r="E72" s="6" t="s">
        <f>UPPER(TEXT(E73,"dddd"))</f>
        <v>4</v>
      </c>
      <c r="F72" s="5" t="s">
        <f>UPPER(TEXT(F73,"dddd"))</f>
        <v>5</v>
      </c>
      <c r="G72" s="6" t="s">
        <f>UPPER(TEXT(G73,"dddd"))</f>
        <v>6</v>
      </c>
      <c r="H72" s="5" t="s">
        <f>UPPER(TEXT(H73,"dddd"))</f>
        <v>7</v>
      </c>
    </row>
    <row r="73" ht="16.50" customHeight="true">
      <c r="B73" cm="1" s="8">
        <f t="array" ref="B73:H73">Days+1+DATE(Calendar6Year,Calendar6MonthOption,1)-WEEKDAY(DATE(Calendar6Year,Calendar6MonthOption,1),WeekdayOption)</f>
        <v>44074</v>
      </c>
      <c r="C73" s="8">
        <v>44075</v>
      </c>
      <c r="D73" s="8">
        <v>44076</v>
      </c>
      <c r="E73" s="8">
        <v>44077</v>
      </c>
      <c r="F73" s="8">
        <v>44078</v>
      </c>
      <c r="G73" s="8">
        <v>44079</v>
      </c>
      <c r="H73" s="9">
        <v>44080</v>
      </c>
    </row>
    <row r="74" ht="56.25" customHeight="true">
      <c r="B74" s="10"/>
      <c r="C74" s="10"/>
      <c r="D74" s="10"/>
      <c r="E74" s="10"/>
      <c r="F74" s="10"/>
      <c r="G74" s="10"/>
      <c r="H74" s="11"/>
    </row>
    <row r="75" ht="16.50" customHeight="true">
      <c r="B75" cm="1" s="8">
        <f t="array" ref="B75:H75">Days+8+DATE(Calendar6Year,Calendar6MonthOption,1)-WEEKDAY(DATE(Calendar6Year,Calendar6MonthOption,1),WeekdayOption)</f>
        <v>44081</v>
      </c>
      <c r="C75" s="8">
        <v>44082</v>
      </c>
      <c r="D75" s="8">
        <v>44083</v>
      </c>
      <c r="E75" s="8">
        <v>44084</v>
      </c>
      <c r="F75" s="8">
        <v>44085</v>
      </c>
      <c r="G75" s="8">
        <v>44086</v>
      </c>
      <c r="H75" s="9">
        <v>44087</v>
      </c>
    </row>
    <row r="76" ht="56.25" customHeight="true">
      <c r="B76" s="10"/>
      <c r="C76" s="10"/>
      <c r="D76" s="10"/>
      <c r="E76" s="10"/>
      <c r="F76" s="10"/>
      <c r="G76" s="10"/>
      <c r="H76" s="11"/>
    </row>
    <row r="77" ht="16.50" customHeight="true">
      <c r="B77" cm="1" s="8">
        <f t="array" ref="B77:H77">Days+15+DATE(Calendar6Year,Calendar6MonthOption,1)-WEEKDAY(DATE(Calendar6Year,Calendar6MonthOption,1),WeekdayOption)</f>
        <v>44088</v>
      </c>
      <c r="C77" s="8">
        <v>44089</v>
      </c>
      <c r="D77" s="8">
        <v>44090</v>
      </c>
      <c r="E77" s="8">
        <v>44091</v>
      </c>
      <c r="F77" s="8">
        <v>44092</v>
      </c>
      <c r="G77" s="8">
        <v>44093</v>
      </c>
      <c r="H77" s="9">
        <v>44094</v>
      </c>
    </row>
    <row r="78" ht="56.25" customHeight="true">
      <c r="B78" s="10"/>
      <c r="C78" s="10"/>
      <c r="D78" s="10"/>
      <c r="E78" s="10"/>
      <c r="F78" s="10"/>
      <c r="G78" s="10"/>
      <c r="H78" s="11"/>
    </row>
    <row r="79" ht="16.50" customHeight="true">
      <c r="B79" cm="1" s="8">
        <f t="array" ref="B79:H79">Days+22+DATE(Calendar6Year,Calendar6MonthOption,1)-WEEKDAY(DATE(Calendar6Year,Calendar6MonthOption,1),WeekdayOption)</f>
        <v>44095</v>
      </c>
      <c r="C79" s="8">
        <v>44096</v>
      </c>
      <c r="D79" s="8">
        <v>44097</v>
      </c>
      <c r="E79" s="8">
        <v>44098</v>
      </c>
      <c r="F79" s="8">
        <v>44099</v>
      </c>
      <c r="G79" s="8">
        <v>44100</v>
      </c>
      <c r="H79" s="9">
        <v>44101</v>
      </c>
    </row>
    <row r="80" ht="56.25" customHeight="true">
      <c r="B80" s="10"/>
      <c r="C80" s="10"/>
      <c r="D80" s="10"/>
      <c r="E80" s="10"/>
      <c r="F80" s="10"/>
      <c r="G80" s="10"/>
      <c r="H80" s="11"/>
    </row>
    <row r="81" ht="16.50" customHeight="true">
      <c r="B81" cm="1" s="8">
        <f t="array" ref="B81:H81">Days+29+DATE(Calendar6Year,Calendar6MonthOption,1)-WEEKDAY(DATE(Calendar6Year,Calendar6MonthOption,1),WeekdayOption)</f>
        <v>44102</v>
      </c>
      <c r="C81" s="8">
        <v>44103</v>
      </c>
      <c r="D81" s="8">
        <v>44104</v>
      </c>
      <c r="E81" s="8">
        <v>44105</v>
      </c>
      <c r="F81" s="8">
        <v>44106</v>
      </c>
      <c r="G81" s="8">
        <v>44107</v>
      </c>
      <c r="H81" s="9">
        <v>44108</v>
      </c>
    </row>
    <row r="82" ht="57.00" customHeight="true">
      <c r="B82" s="10"/>
      <c r="C82" s="10"/>
      <c r="D82" s="10"/>
      <c r="E82" s="10"/>
      <c r="F82" s="10"/>
      <c r="G82" s="10"/>
      <c r="H82" s="18"/>
    </row>
    <row r="83" ht="16.50" customHeight="true">
      <c r="B83" cm="1" s="8" t="s">
        <f t="array" ref="B83:H83">Days+36+DATE(Calendar6Year,Calendar6MonthOption,1)-WEEKDAY(DATE(Calendar6Year,Calendar6MonthOption,1),WeekdayOption)</f>
        <v>12</v>
      </c>
      <c r="C83" t="s" s="8"/>
      <c r="D83" t="s" s="19">
        <v>13</v>
      </c>
      <c r="E83" t="s" s="19"/>
      <c r="F83" t="s" s="19"/>
      <c r="G83" t="s" s="19"/>
      <c r="H83" t="s" s="19"/>
    </row>
    <row r="84" ht="63.75" customHeight="true">
      <c r="B84" s="10"/>
      <c r="C84" s="10"/>
      <c r="D84" s="16"/>
      <c r="E84" s="16"/>
      <c r="F84" s="16"/>
      <c r="G84" s="16"/>
      <c r="H84" s="16"/>
    </row>
    <row r="85" ht="54.00" customHeight="true">
      <c r="A85" s="1"/>
      <c r="B85" s="2">
        <f>YEAR(DATE(Calendar6Year,Calendar6MonthOption+1,1))</f>
        <v>2020</v>
      </c>
      <c r="C85" s="3" t="s">
        <f>TEXT(DATE(Calendar6Year,Calendar6MonthOption+1,1),"mmmm")</f>
        <v>19</v>
      </c>
      <c r="D85" s="3"/>
      <c r="E85" s="3"/>
      <c r="F85" s="17"/>
      <c r="G85" s="17"/>
      <c r="H85" s="1"/>
    </row>
    <row r="86" ht="14.25" customHeight="true">
      <c r="A86" s="4"/>
      <c r="B86" s="5" t="s">
        <f>UPPER(TEXT(B87,"dddd"))</f>
        <v>1</v>
      </c>
      <c r="C86" s="6" t="s">
        <f>UPPER(TEXT(C87,"dddd"))</f>
        <v>2</v>
      </c>
      <c r="D86" s="5" t="s">
        <f>UPPER(TEXT(D87,"dddd"))</f>
        <v>3</v>
      </c>
      <c r="E86" s="6" t="s">
        <f>UPPER(TEXT(E87,"dddd"))</f>
        <v>4</v>
      </c>
      <c r="F86" s="5" t="s">
        <f>UPPER(TEXT(F87,"dddd"))</f>
        <v>5</v>
      </c>
      <c r="G86" s="6" t="s">
        <f>UPPER(TEXT(G87,"dddd"))</f>
        <v>6</v>
      </c>
      <c r="H86" s="5" t="s">
        <f>UPPER(TEXT(H87,"dddd"))</f>
        <v>7</v>
      </c>
    </row>
    <row r="87" ht="16.50" customHeight="true">
      <c r="B87" cm="1" s="8">
        <f t="array" ref="B87:H87">Days+1+DATE(Calendar7Year,Calendar7MonthOption,1)-WEEKDAY(DATE(Calendar7Year,Calendar7MonthOption,1),WeekdayOption)</f>
        <v>44102</v>
      </c>
      <c r="C87" s="8">
        <v>44103</v>
      </c>
      <c r="D87" s="8">
        <v>44104</v>
      </c>
      <c r="E87" s="8">
        <v>44105</v>
      </c>
      <c r="F87" s="8">
        <v>44106</v>
      </c>
      <c r="G87" s="8">
        <v>44107</v>
      </c>
      <c r="H87" s="9">
        <v>44108</v>
      </c>
    </row>
    <row r="88" ht="56.25" customHeight="true">
      <c r="B88" s="10"/>
      <c r="C88" s="10"/>
      <c r="D88" s="10"/>
      <c r="E88" s="10"/>
      <c r="F88" s="10"/>
      <c r="G88" s="10"/>
      <c r="H88" s="11"/>
    </row>
    <row r="89" ht="16.50" customHeight="true">
      <c r="B89" cm="1" s="8">
        <f t="array" ref="B89:H89">Days+8+DATE(Calendar7Year,Calendar7MonthOption,1)-WEEKDAY(DATE(Calendar7Year,Calendar7MonthOption,1),WeekdayOption)</f>
        <v>44109</v>
      </c>
      <c r="C89" s="8">
        <v>44110</v>
      </c>
      <c r="D89" s="8">
        <v>44111</v>
      </c>
      <c r="E89" s="8">
        <v>44112</v>
      </c>
      <c r="F89" s="8">
        <v>44113</v>
      </c>
      <c r="G89" s="8">
        <v>44114</v>
      </c>
      <c r="H89" s="9">
        <v>44115</v>
      </c>
    </row>
    <row r="90" ht="56.25" customHeight="true">
      <c r="B90" s="10"/>
      <c r="C90" s="10"/>
      <c r="D90" s="10"/>
      <c r="E90" s="10"/>
      <c r="F90" s="10"/>
      <c r="G90" s="10"/>
      <c r="H90" s="11"/>
    </row>
    <row r="91" ht="16.50" customHeight="true">
      <c r="B91" cm="1" s="8">
        <f t="array" ref="B91:H91">Days+15+DATE(Calendar7Year,Calendar7MonthOption,1)-WEEKDAY(DATE(Calendar7Year,Calendar7MonthOption,1),WeekdayOption)</f>
        <v>44116</v>
      </c>
      <c r="C91" s="8">
        <v>44117</v>
      </c>
      <c r="D91" s="8">
        <v>44118</v>
      </c>
      <c r="E91" s="8">
        <v>44119</v>
      </c>
      <c r="F91" s="8">
        <v>44120</v>
      </c>
      <c r="G91" s="8">
        <v>44121</v>
      </c>
      <c r="H91" s="9">
        <v>44122</v>
      </c>
    </row>
    <row r="92" ht="56.25" customHeight="true">
      <c r="B92" s="10"/>
      <c r="C92" s="10"/>
      <c r="D92" s="10"/>
      <c r="E92" s="10"/>
      <c r="F92" s="10"/>
      <c r="G92" s="10"/>
      <c r="H92" s="11"/>
    </row>
    <row r="93" ht="16.50" customHeight="true">
      <c r="B93" cm="1" s="8">
        <f t="array" ref="B93:H93">Days+22+DATE(Calendar7Year,Calendar7MonthOption,1)-WEEKDAY(DATE(Calendar7Year,Calendar7MonthOption,1),WeekdayOption)</f>
        <v>44123</v>
      </c>
      <c r="C93" s="8">
        <v>44124</v>
      </c>
      <c r="D93" s="8">
        <v>44125</v>
      </c>
      <c r="E93" s="8">
        <v>44126</v>
      </c>
      <c r="F93" s="8">
        <v>44127</v>
      </c>
      <c r="G93" s="8">
        <v>44128</v>
      </c>
      <c r="H93" s="9">
        <v>44129</v>
      </c>
    </row>
    <row r="94" ht="56.25" customHeight="true">
      <c r="B94" s="10"/>
      <c r="C94" s="10"/>
      <c r="D94" s="10"/>
      <c r="E94" s="10"/>
      <c r="F94" s="10"/>
      <c r="G94" s="10"/>
      <c r="H94" s="11"/>
    </row>
    <row r="95" ht="16.50" customHeight="true">
      <c r="B95" cm="1" s="8">
        <f t="array" ref="B95:H95">Days+29+DATE(Calendar7Year,Calendar7MonthOption,1)-WEEKDAY(DATE(Calendar7Year,Calendar7MonthOption,1),WeekdayOption)</f>
        <v>44130</v>
      </c>
      <c r="C95" s="8">
        <v>44131</v>
      </c>
      <c r="D95" s="8">
        <v>44132</v>
      </c>
      <c r="E95" s="8">
        <v>44133</v>
      </c>
      <c r="F95" s="8">
        <v>44134</v>
      </c>
      <c r="G95" s="8">
        <v>44135</v>
      </c>
      <c r="H95" s="9">
        <v>44136</v>
      </c>
    </row>
    <row r="96" ht="57.00" customHeight="true">
      <c r="B96" s="10"/>
      <c r="C96" s="10"/>
      <c r="D96" s="10"/>
      <c r="E96" s="10"/>
      <c r="F96" s="10"/>
      <c r="G96" s="10"/>
      <c r="H96" s="18"/>
    </row>
    <row r="97" ht="16.50" customHeight="true">
      <c r="B97" cm="1" s="8" t="s">
        <f t="array" ref="B97:H97">Days+36+DATE(Calendar7Year,Calendar7MonthOption,1)-WEEKDAY(DATE(Calendar7Year,Calendar7MonthOption,1),WeekdayOption)</f>
        <v>12</v>
      </c>
      <c r="C97" t="s" s="8"/>
      <c r="D97" t="s" s="19">
        <v>13</v>
      </c>
      <c r="E97" t="s" s="19"/>
      <c r="F97" t="s" s="19"/>
      <c r="G97" t="s" s="19"/>
      <c r="H97" t="s" s="19"/>
    </row>
    <row r="98" ht="63.75" customHeight="true">
      <c r="B98" s="10"/>
      <c r="C98" s="10"/>
      <c r="D98" s="16"/>
      <c r="E98" s="16"/>
      <c r="F98" s="16"/>
      <c r="G98" s="16"/>
      <c r="H98" s="16"/>
    </row>
    <row r="99" ht="54.00" customHeight="true">
      <c r="A99" s="1"/>
      <c r="B99" s="2">
        <f>YEAR(DATE(Calendar7Year,Calendar7MonthOption+1,1))</f>
        <v>2020</v>
      </c>
      <c r="C99" s="3" t="s">
        <f>TEXT(DATE(Calendar7Year,Calendar7MonthOption+1,1),"mmmm")</f>
        <v>20</v>
      </c>
      <c r="D99" s="3"/>
      <c r="E99" s="3"/>
      <c r="F99" s="17"/>
      <c r="G99" s="17"/>
      <c r="H99" s="1"/>
    </row>
    <row r="100" ht="14.25" customHeight="true">
      <c r="A100" s="4"/>
      <c r="B100" s="5" t="s">
        <f>UPPER(TEXT(B101,"dddd"))</f>
        <v>1</v>
      </c>
      <c r="C100" s="6" t="s">
        <f>UPPER(TEXT(C101,"dddd"))</f>
        <v>2</v>
      </c>
      <c r="D100" s="5" t="s">
        <f>UPPER(TEXT(D101,"dddd"))</f>
        <v>3</v>
      </c>
      <c r="E100" s="6" t="s">
        <f>UPPER(TEXT(E101,"dddd"))</f>
        <v>4</v>
      </c>
      <c r="F100" s="5" t="s">
        <f>UPPER(TEXT(F101,"dddd"))</f>
        <v>5</v>
      </c>
      <c r="G100" s="6" t="s">
        <f>UPPER(TEXT(G101,"dddd"))</f>
        <v>6</v>
      </c>
      <c r="H100" s="5" t="s">
        <f>UPPER(TEXT(H101,"dddd"))</f>
        <v>7</v>
      </c>
    </row>
    <row r="101" ht="16.50" customHeight="true">
      <c r="B101" cm="1" s="8">
        <f t="array" ref="B101:H101">Days+1+DATE(Calendar8Year,Calendar8MonthOption,1)-WEEKDAY(DATE(Calendar8Year,Calendar8MonthOption,1),WeekdayOption)</f>
        <v>44130</v>
      </c>
      <c r="C101" s="8">
        <v>44131</v>
      </c>
      <c r="D101" s="8">
        <v>44132</v>
      </c>
      <c r="E101" s="8">
        <v>44133</v>
      </c>
      <c r="F101" s="8">
        <v>44134</v>
      </c>
      <c r="G101" s="8">
        <v>44135</v>
      </c>
      <c r="H101" s="9">
        <v>44136</v>
      </c>
    </row>
    <row r="102" ht="56.25" customHeight="true">
      <c r="B102" s="10"/>
      <c r="C102" s="10"/>
      <c r="D102" s="10"/>
      <c r="E102" s="10"/>
      <c r="F102" s="10"/>
      <c r="G102" s="10"/>
      <c r="H102" s="11"/>
    </row>
    <row r="103" ht="16.50" customHeight="true">
      <c r="B103" cm="1" s="8">
        <f t="array" ref="B103:H103">Days+8+DATE(Calendar8Year,Calendar8MonthOption,1)-WEEKDAY(DATE(Calendar8Year,Calendar8MonthOption,1),WeekdayOption)</f>
        <v>44137</v>
      </c>
      <c r="C103" s="8">
        <v>44138</v>
      </c>
      <c r="D103" s="8">
        <v>44139</v>
      </c>
      <c r="E103" s="8">
        <v>44140</v>
      </c>
      <c r="F103" s="8">
        <v>44141</v>
      </c>
      <c r="G103" s="8">
        <v>44142</v>
      </c>
      <c r="H103" s="9">
        <v>44143</v>
      </c>
    </row>
    <row r="104" ht="56.25" customHeight="true">
      <c r="B104" s="10"/>
      <c r="C104" s="10"/>
      <c r="D104" s="10"/>
      <c r="E104" s="10"/>
      <c r="F104" s="10"/>
      <c r="G104" s="10"/>
      <c r="H104" s="11"/>
    </row>
    <row r="105" ht="16.50" customHeight="true">
      <c r="B105" cm="1" s="8">
        <f t="array" ref="B105:H105">Days+15+DATE(Calendar8Year,Calendar8MonthOption,1)-WEEKDAY(DATE(Calendar8Year,Calendar8MonthOption,1),WeekdayOption)</f>
        <v>44144</v>
      </c>
      <c r="C105" s="8">
        <v>44145</v>
      </c>
      <c r="D105" s="8">
        <v>44146</v>
      </c>
      <c r="E105" s="8">
        <v>44147</v>
      </c>
      <c r="F105" s="8">
        <v>44148</v>
      </c>
      <c r="G105" s="8">
        <v>44149</v>
      </c>
      <c r="H105" s="9">
        <v>44150</v>
      </c>
    </row>
    <row r="106" ht="56.25" customHeight="true">
      <c r="B106" s="10"/>
      <c r="C106" s="10"/>
      <c r="D106" s="10"/>
      <c r="E106" s="10"/>
      <c r="F106" s="10"/>
      <c r="G106" s="10"/>
      <c r="H106" s="11"/>
    </row>
    <row r="107" ht="16.50" customHeight="true">
      <c r="B107" cm="1" s="8">
        <f t="array" ref="B107:H107">Days+22+DATE(Calendar8Year,Calendar8MonthOption,1)-WEEKDAY(DATE(Calendar8Year,Calendar8MonthOption,1),WeekdayOption)</f>
        <v>44151</v>
      </c>
      <c r="C107" s="8">
        <v>44152</v>
      </c>
      <c r="D107" s="8">
        <v>44153</v>
      </c>
      <c r="E107" s="8">
        <v>44154</v>
      </c>
      <c r="F107" s="8">
        <v>44155</v>
      </c>
      <c r="G107" s="8">
        <v>44156</v>
      </c>
      <c r="H107" s="9">
        <v>44157</v>
      </c>
    </row>
    <row r="108" ht="56.25" customHeight="true">
      <c r="B108" s="10"/>
      <c r="C108" s="10"/>
      <c r="D108" s="10"/>
      <c r="E108" s="10"/>
      <c r="F108" s="10"/>
      <c r="G108" s="10"/>
      <c r="H108" s="11"/>
    </row>
    <row r="109" ht="16.50" customHeight="true">
      <c r="B109" cm="1" s="8">
        <f t="array" ref="B109:H109">Days+29+DATE(Calendar8Year,Calendar8MonthOption,1)-WEEKDAY(DATE(Calendar8Year,Calendar8MonthOption,1),WeekdayOption)</f>
        <v>44158</v>
      </c>
      <c r="C109" s="8">
        <v>44159</v>
      </c>
      <c r="D109" s="8">
        <v>44160</v>
      </c>
      <c r="E109" s="8">
        <v>44161</v>
      </c>
      <c r="F109" s="8">
        <v>44162</v>
      </c>
      <c r="G109" s="8">
        <v>44163</v>
      </c>
      <c r="H109" s="9">
        <v>44164</v>
      </c>
    </row>
    <row r="110" ht="57.00" customHeight="true">
      <c r="B110" s="10"/>
      <c r="C110" s="10"/>
      <c r="D110" s="10"/>
      <c r="E110" s="10"/>
      <c r="F110" s="10"/>
      <c r="G110" s="10"/>
      <c r="H110" s="18"/>
    </row>
    <row r="111" ht="16.50" customHeight="true">
      <c r="B111" cm="1" s="8" t="s">
        <f t="array" ref="B111:H111">Days+36+DATE(Calendar8Year,Calendar8MonthOption,1)-WEEKDAY(DATE(Calendar8Year,Calendar8MonthOption,1),WeekdayOption)</f>
        <v>12</v>
      </c>
      <c r="C111" t="s" s="8"/>
      <c r="D111" t="s" s="19">
        <v>13</v>
      </c>
      <c r="E111" t="s" s="19"/>
      <c r="F111" t="s" s="19"/>
      <c r="G111" t="s" s="19"/>
      <c r="H111" t="s" s="19"/>
    </row>
    <row r="112" ht="63.75" customHeight="true">
      <c r="B112" s="10"/>
      <c r="C112" s="10"/>
      <c r="D112" s="16"/>
      <c r="E112" s="16"/>
      <c r="F112" s="16"/>
      <c r="G112" s="16"/>
      <c r="H112" s="16"/>
    </row>
    <row r="113" ht="54.00" customHeight="true">
      <c r="A113" s="1"/>
      <c r="B113" s="2">
        <f>YEAR(DATE(Calendar8Year,Calendar8MonthOption+1,1))</f>
        <v>2020</v>
      </c>
      <c r="C113" s="3" t="s">
        <f>TEXT(DATE(Calendar8Year,Calendar8MonthOption+1,1),"mmmm")</f>
        <v>21</v>
      </c>
      <c r="D113" s="3"/>
      <c r="E113" s="3"/>
      <c r="F113" s="17"/>
      <c r="G113" s="17"/>
      <c r="H113" s="1"/>
    </row>
    <row r="114" ht="14.25" customHeight="true">
      <c r="A114" s="4"/>
      <c r="B114" s="5" t="s">
        <f>UPPER(TEXT(B115,"dddd"))</f>
        <v>1</v>
      </c>
      <c r="C114" s="6" t="s">
        <f>UPPER(TEXT(C115,"dddd"))</f>
        <v>2</v>
      </c>
      <c r="D114" s="5" t="s">
        <f>UPPER(TEXT(D115,"dddd"))</f>
        <v>3</v>
      </c>
      <c r="E114" s="6" t="s">
        <f>UPPER(TEXT(E115,"dddd"))</f>
        <v>4</v>
      </c>
      <c r="F114" s="5" t="s">
        <f>UPPER(TEXT(F115,"dddd"))</f>
        <v>5</v>
      </c>
      <c r="G114" s="6" t="s">
        <f>UPPER(TEXT(G115,"dddd"))</f>
        <v>6</v>
      </c>
      <c r="H114" s="5" t="s">
        <f>UPPER(TEXT(H115,"dddd"))</f>
        <v>7</v>
      </c>
    </row>
    <row r="115" ht="16.50" customHeight="true">
      <c r="B115" cm="1" s="8">
        <f t="array" ref="B115:H115">Days+1+DATE(Calendar9Year,Calendar9MonthOption,1)-WEEKDAY(DATE(Calendar9Year,Calendar9MonthOption,1),WeekdayOption)</f>
        <v>44165</v>
      </c>
      <c r="C115" s="8">
        <v>44166</v>
      </c>
      <c r="D115" s="8">
        <v>44167</v>
      </c>
      <c r="E115" s="8">
        <v>44168</v>
      </c>
      <c r="F115" s="8">
        <v>44169</v>
      </c>
      <c r="G115" s="8">
        <v>44170</v>
      </c>
      <c r="H115" s="9">
        <v>44171</v>
      </c>
    </row>
    <row r="116" ht="56.25" customHeight="true">
      <c r="B116" s="10"/>
      <c r="C116" s="10"/>
      <c r="D116" s="10"/>
      <c r="E116" s="10"/>
      <c r="F116" s="10"/>
      <c r="G116" s="10"/>
      <c r="H116" s="11"/>
    </row>
    <row r="117" ht="16.50" customHeight="true">
      <c r="B117" cm="1" s="8">
        <f t="array" ref="B117:H117">Days+8+DATE(Calendar9Year,Calendar9MonthOption,1)-WEEKDAY(DATE(Calendar9Year,Calendar9MonthOption,1),WeekdayOption)</f>
        <v>44172</v>
      </c>
      <c r="C117" s="8">
        <v>44173</v>
      </c>
      <c r="D117" s="8">
        <v>44174</v>
      </c>
      <c r="E117" s="8">
        <v>44175</v>
      </c>
      <c r="F117" s="8">
        <v>44176</v>
      </c>
      <c r="G117" s="8">
        <v>44177</v>
      </c>
      <c r="H117" s="9">
        <v>44178</v>
      </c>
    </row>
    <row r="118" ht="56.25" customHeight="true">
      <c r="B118" s="10"/>
      <c r="C118" s="10"/>
      <c r="D118" s="10"/>
      <c r="E118" s="10"/>
      <c r="F118" s="10"/>
      <c r="G118" s="10"/>
      <c r="H118" s="11"/>
    </row>
    <row r="119" ht="16.50" customHeight="true">
      <c r="B119" cm="1" s="8">
        <f t="array" ref="B119:H119">Days+15+DATE(Calendar9Year,Calendar9MonthOption,1)-WEEKDAY(DATE(Calendar9Year,Calendar9MonthOption,1),WeekdayOption)</f>
        <v>44179</v>
      </c>
      <c r="C119" s="8">
        <v>44180</v>
      </c>
      <c r="D119" s="8">
        <v>44181</v>
      </c>
      <c r="E119" s="8">
        <v>44182</v>
      </c>
      <c r="F119" s="8">
        <v>44183</v>
      </c>
      <c r="G119" s="8">
        <v>44184</v>
      </c>
      <c r="H119" s="9">
        <v>44185</v>
      </c>
    </row>
    <row r="120" ht="56.25" customHeight="true">
      <c r="B120" s="10"/>
      <c r="C120" s="10"/>
      <c r="D120" s="10"/>
      <c r="E120" s="10"/>
      <c r="F120" s="10"/>
      <c r="G120" s="10"/>
      <c r="H120" s="11"/>
    </row>
    <row r="121" ht="16.50" customHeight="true">
      <c r="B121" cm="1" s="8">
        <f t="array" ref="B121:H121">Days+22+DATE(Calendar9Year,Calendar9MonthOption,1)-WEEKDAY(DATE(Calendar9Year,Calendar9MonthOption,1),WeekdayOption)</f>
        <v>44186</v>
      </c>
      <c r="C121" s="8">
        <v>44187</v>
      </c>
      <c r="D121" s="8">
        <v>44188</v>
      </c>
      <c r="E121" s="8">
        <v>44189</v>
      </c>
      <c r="F121" s="8">
        <v>44190</v>
      </c>
      <c r="G121" s="8">
        <v>44191</v>
      </c>
      <c r="H121" s="9">
        <v>44192</v>
      </c>
    </row>
    <row r="122" ht="56.25" customHeight="true">
      <c r="B122" s="10"/>
      <c r="C122" s="10"/>
      <c r="D122" s="10"/>
      <c r="E122" s="10"/>
      <c r="F122" s="10"/>
      <c r="G122" s="10"/>
      <c r="H122" s="11"/>
    </row>
    <row r="123" ht="16.50" customHeight="true">
      <c r="B123" cm="1" s="8">
        <f t="array" ref="B123:H123">Days+29+DATE(Calendar9Year,Calendar9MonthOption,1)-WEEKDAY(DATE(Calendar9Year,Calendar9MonthOption,1),WeekdayOption)</f>
        <v>44193</v>
      </c>
      <c r="C123" s="8">
        <v>44194</v>
      </c>
      <c r="D123" s="8">
        <v>44195</v>
      </c>
      <c r="E123" s="8">
        <v>44196</v>
      </c>
      <c r="F123" s="8">
        <v>44197</v>
      </c>
      <c r="G123" s="8">
        <v>44198</v>
      </c>
      <c r="H123" s="9">
        <v>44199</v>
      </c>
    </row>
    <row r="124" ht="57.00" customHeight="true">
      <c r="B124" s="10"/>
      <c r="C124" s="10"/>
      <c r="D124" s="10"/>
      <c r="E124" s="10"/>
      <c r="F124" s="10"/>
      <c r="G124" s="10"/>
      <c r="H124" s="18"/>
    </row>
    <row r="125" ht="16.50" customHeight="true">
      <c r="B125" cm="1" s="8" t="s">
        <f t="array" ref="B125:H125">Days+36+DATE(Calendar9Year,Calendar9MonthOption,1)-WEEKDAY(DATE(Calendar9Year,Calendar9MonthOption,1),WeekdayOption)</f>
        <v>12</v>
      </c>
      <c r="C125" t="s" s="8"/>
      <c r="D125" t="s" s="19">
        <v>13</v>
      </c>
      <c r="E125" t="s" s="19"/>
      <c r="F125" t="s" s="19"/>
      <c r="G125" t="s" s="19"/>
      <c r="H125" t="s" s="19"/>
    </row>
    <row r="126" ht="63.75" customHeight="true">
      <c r="B126" s="10"/>
      <c r="C126" s="10"/>
      <c r="D126" s="16"/>
      <c r="E126" s="16"/>
      <c r="F126" s="16"/>
      <c r="G126" s="16"/>
      <c r="H126" s="16"/>
    </row>
    <row r="127" ht="54.00" customHeight="true">
      <c r="A127" s="1"/>
      <c r="B127" s="2">
        <f>YEAR(DATE(Calendar9Year,Calendar9MonthOption+1,1))</f>
        <v>2021</v>
      </c>
      <c r="C127" s="3" t="s">
        <f>TEXT(DATE(Calendar9Year,Calendar9MonthOption+1,1),"mmmm")</f>
        <v>22</v>
      </c>
      <c r="D127" s="3"/>
      <c r="E127" s="3"/>
      <c r="F127" s="17"/>
      <c r="G127" s="17"/>
      <c r="H127" s="1"/>
    </row>
    <row r="128" ht="14.25" customHeight="true">
      <c r="A128" s="4"/>
      <c r="B128" s="5" t="s">
        <f>UPPER(TEXT(B129,"dddd"))</f>
        <v>1</v>
      </c>
      <c r="C128" s="6" t="s">
        <f ref="C128:H128" t="shared" si="4">UPPER(TEXT(C129,"dddd"))</f>
        <v>2</v>
      </c>
      <c r="D128" s="5" t="s">
        <f t="shared" si="4"/>
        <v>3</v>
      </c>
      <c r="E128" s="6" t="s">
        <f t="shared" si="4"/>
        <v>4</v>
      </c>
      <c r="F128" s="5" t="s">
        <f t="shared" si="4"/>
        <v>5</v>
      </c>
      <c r="G128" s="6" t="s">
        <f t="shared" si="4"/>
        <v>6</v>
      </c>
      <c r="H128" s="5" t="s">
        <f t="shared" si="4"/>
        <v>7</v>
      </c>
    </row>
    <row r="129" ht="16.50" customHeight="true">
      <c r="B129" cm="1" s="8">
        <f t="array" ref="B129:H129">Days+1+DATE(Calendar10Year,Calendar10MonthOption,1)-WEEKDAY(DATE(Calendar10Year,Calendar10MonthOption,1),WeekdayOption)</f>
        <v>44193</v>
      </c>
      <c r="C129" s="8">
        <v>44194</v>
      </c>
      <c r="D129" s="8">
        <v>44195</v>
      </c>
      <c r="E129" s="8">
        <v>44196</v>
      </c>
      <c r="F129" s="8">
        <v>44197</v>
      </c>
      <c r="G129" s="8">
        <v>44198</v>
      </c>
      <c r="H129" s="9">
        <v>44199</v>
      </c>
    </row>
    <row r="130" ht="56.25" customHeight="true">
      <c r="B130" s="10"/>
      <c r="C130" s="10"/>
      <c r="D130" s="10"/>
      <c r="E130" s="10"/>
      <c r="F130" s="10"/>
      <c r="G130" s="10"/>
      <c r="H130" s="11"/>
    </row>
    <row r="131" ht="16.50" customHeight="true">
      <c r="B131" cm="1" s="8">
        <f t="array" ref="B131:H131">Days+8+DATE(Calendar10Year,Calendar10MonthOption,1)-WEEKDAY(DATE(Calendar10Year,Calendar10MonthOption,1),WeekdayOption)</f>
        <v>44200</v>
      </c>
      <c r="C131" s="8">
        <v>44201</v>
      </c>
      <c r="D131" s="8">
        <v>44202</v>
      </c>
      <c r="E131" s="8">
        <v>44203</v>
      </c>
      <c r="F131" s="8">
        <v>44204</v>
      </c>
      <c r="G131" s="8">
        <v>44205</v>
      </c>
      <c r="H131" s="9">
        <v>44206</v>
      </c>
    </row>
    <row r="132" ht="56.25" customHeight="true">
      <c r="B132" s="10"/>
      <c r="C132" s="10"/>
      <c r="D132" s="10"/>
      <c r="E132" s="10"/>
      <c r="F132" s="10"/>
      <c r="G132" s="10"/>
      <c r="H132" s="11"/>
    </row>
    <row r="133" ht="16.50" customHeight="true">
      <c r="B133" cm="1" s="8">
        <f t="array" ref="B133:H133">Days+15+DATE(Calendar10Year,Calendar10MonthOption,1)-WEEKDAY(DATE(Calendar10Year,Calendar10MonthOption,1),WeekdayOption)</f>
        <v>44207</v>
      </c>
      <c r="C133" s="8">
        <v>44208</v>
      </c>
      <c r="D133" s="8">
        <v>44209</v>
      </c>
      <c r="E133" s="8">
        <v>44210</v>
      </c>
      <c r="F133" s="8">
        <v>44211</v>
      </c>
      <c r="G133" s="8">
        <v>44212</v>
      </c>
      <c r="H133" s="9">
        <v>44213</v>
      </c>
    </row>
    <row r="134" ht="56.25" customHeight="true">
      <c r="B134" s="10"/>
      <c r="C134" s="10"/>
      <c r="D134" s="10"/>
      <c r="E134" s="10"/>
      <c r="F134" s="10"/>
      <c r="G134" s="10"/>
      <c r="H134" s="11"/>
    </row>
    <row r="135" ht="16.50" customHeight="true">
      <c r="B135" cm="1" s="8">
        <f t="array" ref="B135:H135">Days+22+DATE(Calendar10Year,Calendar10MonthOption,1)-WEEKDAY(DATE(Calendar10Year,Calendar10MonthOption,1),WeekdayOption)</f>
        <v>44214</v>
      </c>
      <c r="C135" s="8">
        <v>44215</v>
      </c>
      <c r="D135" s="8">
        <v>44216</v>
      </c>
      <c r="E135" s="8">
        <v>44217</v>
      </c>
      <c r="F135" s="8">
        <v>44218</v>
      </c>
      <c r="G135" s="8">
        <v>44219</v>
      </c>
      <c r="H135" s="9">
        <v>44220</v>
      </c>
    </row>
    <row r="136" ht="56.25" customHeight="true">
      <c r="B136" s="10"/>
      <c r="C136" s="10"/>
      <c r="D136" s="10"/>
      <c r="E136" s="10"/>
      <c r="F136" s="10"/>
      <c r="G136" s="10"/>
      <c r="H136" s="11"/>
    </row>
    <row r="137" ht="16.50" customHeight="true">
      <c r="B137" cm="1" s="8">
        <f t="array" ref="B137:H137">Days+29+DATE(Calendar10Year,Calendar10MonthOption,1)-WEEKDAY(DATE(Calendar10Year,Calendar10MonthOption,1),WeekdayOption)</f>
        <v>44221</v>
      </c>
      <c r="C137" s="8">
        <v>44222</v>
      </c>
      <c r="D137" s="8">
        <v>44223</v>
      </c>
      <c r="E137" s="8">
        <v>44224</v>
      </c>
      <c r="F137" s="8">
        <v>44225</v>
      </c>
      <c r="G137" s="8">
        <v>44226</v>
      </c>
      <c r="H137" s="9">
        <v>44227</v>
      </c>
    </row>
    <row r="138" ht="57.00" customHeight="true">
      <c r="B138" s="10"/>
      <c r="C138" s="10"/>
      <c r="D138" s="10"/>
      <c r="E138" s="10"/>
      <c r="F138" s="10"/>
      <c r="G138" s="10"/>
      <c r="H138" s="18"/>
    </row>
    <row r="139" ht="16.50" customHeight="true">
      <c r="B139" cm="1" s="8" t="s">
        <f t="array" ref="B139:H139">Days+36+DATE(Calendar10Year,Calendar10MonthOption,1)-WEEKDAY(DATE(Calendar10Year,Calendar10MonthOption,1),WeekdayOption)</f>
        <v>12</v>
      </c>
      <c r="C139" t="s" s="8"/>
      <c r="D139" t="s" s="19">
        <v>13</v>
      </c>
      <c r="E139" t="s" s="19"/>
      <c r="F139" t="s" s="19"/>
      <c r="G139" t="s" s="19"/>
      <c r="H139" t="s" s="19"/>
    </row>
    <row r="140" ht="63.75" customHeight="true">
      <c r="B140" s="10"/>
      <c r="C140" s="10"/>
      <c r="D140" s="16"/>
      <c r="E140" s="16"/>
      <c r="F140" s="16"/>
      <c r="G140" s="16"/>
      <c r="H140" s="16"/>
    </row>
    <row r="141" ht="54.00" customHeight="true">
      <c r="B141" s="2">
        <f>YEAR(DATE(Calendar10Year,Calendar10MonthOption+1,1))</f>
        <v>2021</v>
      </c>
      <c r="C141" s="3" t="s">
        <f>TEXT(DATE(Calendar10Year,Calendar10MonthOption+1,1),"mmmm")</f>
        <v>23</v>
      </c>
      <c r="D141" s="3"/>
      <c r="E141" s="3"/>
      <c r="F141" s="17"/>
      <c r="G141" s="17"/>
      <c r="H141" s="1"/>
    </row>
    <row r="142" ht="14.25" customHeight="true">
      <c r="B142" s="5" t="s">
        <f>UPPER(TEXT(B143,"dddd"))</f>
        <v>1</v>
      </c>
      <c r="C142" s="6" t="s">
        <f ref="C142:H142" t="shared" si="2">UPPER(TEXT(C143,"dddd"))</f>
        <v>2</v>
      </c>
      <c r="D142" s="5" t="s">
        <f t="shared" si="2"/>
        <v>3</v>
      </c>
      <c r="E142" s="6" t="s">
        <f t="shared" si="2"/>
        <v>4</v>
      </c>
      <c r="F142" s="5" t="s">
        <f t="shared" si="2"/>
        <v>5</v>
      </c>
      <c r="G142" s="6" t="s">
        <f t="shared" si="2"/>
        <v>6</v>
      </c>
      <c r="H142" s="5" t="s">
        <f t="shared" si="2"/>
        <v>7</v>
      </c>
    </row>
    <row r="143" ht="16.50" customHeight="true">
      <c r="B143" cm="1" s="8">
        <f t="array" ref="B143:H143">Days+1+DATE(Calendar11Year,Calendar11MonthOption,1)-WEEKDAY(DATE(Calendar11Year,Calendar11MonthOption,1),WeekdayOption)</f>
        <v>44228</v>
      </c>
      <c r="C143" s="8">
        <v>44229</v>
      </c>
      <c r="D143" s="8">
        <v>44230</v>
      </c>
      <c r="E143" s="8">
        <v>44231</v>
      </c>
      <c r="F143" s="8">
        <v>44232</v>
      </c>
      <c r="G143" s="8">
        <v>44233</v>
      </c>
      <c r="H143" s="9">
        <v>44234</v>
      </c>
    </row>
    <row r="144" ht="56.25" customHeight="true">
      <c r="B144" s="10"/>
      <c r="C144" s="10"/>
      <c r="D144" s="10"/>
      <c r="E144" s="10"/>
      <c r="F144" s="10"/>
      <c r="G144" s="10"/>
      <c r="H144" s="11"/>
    </row>
    <row r="145" ht="16.50" customHeight="true">
      <c r="B145" cm="1" s="8">
        <f t="array" ref="B145:H145">Days+8+DATE(Calendar11Year,Calendar11MonthOption,1)-WEEKDAY(DATE(Calendar11Year,Calendar11MonthOption,1),WeekdayOption)</f>
        <v>44235</v>
      </c>
      <c r="C145" s="8">
        <v>44236</v>
      </c>
      <c r="D145" s="8">
        <v>44237</v>
      </c>
      <c r="E145" s="8">
        <v>44238</v>
      </c>
      <c r="F145" s="8">
        <v>44239</v>
      </c>
      <c r="G145" s="8">
        <v>44240</v>
      </c>
      <c r="H145" s="9">
        <v>44241</v>
      </c>
    </row>
    <row r="146" ht="56.25" customHeight="true">
      <c r="B146" s="10"/>
      <c r="C146" s="10"/>
      <c r="D146" s="10"/>
      <c r="E146" s="10"/>
      <c r="F146" s="10"/>
      <c r="G146" s="10"/>
      <c r="H146" s="11"/>
    </row>
    <row r="147" ht="16.50" customHeight="true">
      <c r="B147" cm="1" s="8">
        <f t="array" ref="B147:H147">Days+15+DATE(Calendar11Year,Calendar11MonthOption,1)-WEEKDAY(DATE(Calendar11Year,Calendar11MonthOption,1),WeekdayOption)</f>
        <v>44242</v>
      </c>
      <c r="C147" s="8">
        <v>44243</v>
      </c>
      <c r="D147" s="8">
        <v>44244</v>
      </c>
      <c r="E147" s="8">
        <v>44245</v>
      </c>
      <c r="F147" s="8">
        <v>44246</v>
      </c>
      <c r="G147" s="8">
        <v>44247</v>
      </c>
      <c r="H147" s="9">
        <v>44248</v>
      </c>
    </row>
    <row r="148" ht="56.25" customHeight="true">
      <c r="B148" s="10"/>
      <c r="C148" s="10"/>
      <c r="D148" s="10"/>
      <c r="E148" s="10"/>
      <c r="F148" s="10"/>
      <c r="G148" s="10"/>
      <c r="H148" s="11"/>
    </row>
    <row r="149" ht="16.50" customHeight="true">
      <c r="B149" cm="1" s="8">
        <f t="array" ref="B149:H149">Days+22+DATE(Calendar11Year,Calendar11MonthOption,1)-WEEKDAY(DATE(Calendar11Year,Calendar11MonthOption,1),WeekdayOption)</f>
        <v>44249</v>
      </c>
      <c r="C149" s="8">
        <v>44250</v>
      </c>
      <c r="D149" s="8">
        <v>44251</v>
      </c>
      <c r="E149" s="8">
        <v>44252</v>
      </c>
      <c r="F149" s="8">
        <v>44253</v>
      </c>
      <c r="G149" s="8">
        <v>44254</v>
      </c>
      <c r="H149" s="9">
        <v>44255</v>
      </c>
    </row>
    <row r="150" ht="56.25" customHeight="true">
      <c r="B150" s="10"/>
      <c r="C150" s="10"/>
      <c r="D150" s="10"/>
      <c r="E150" s="10"/>
      <c r="F150" s="10"/>
      <c r="G150" s="10"/>
      <c r="H150" s="11"/>
    </row>
    <row r="151" ht="16.50" customHeight="true">
      <c r="B151" cm="1" s="8">
        <f t="array" ref="B151:H151">Days+29+DATE(Calendar11Year,Calendar11MonthOption,1)-WEEKDAY(DATE(Calendar11Year,Calendar11MonthOption,1),WeekdayOption)</f>
        <v>44256</v>
      </c>
      <c r="C151" s="8">
        <v>44257</v>
      </c>
      <c r="D151" s="8">
        <v>44258</v>
      </c>
      <c r="E151" s="8">
        <v>44259</v>
      </c>
      <c r="F151" s="8">
        <v>44260</v>
      </c>
      <c r="G151" s="8">
        <v>44261</v>
      </c>
      <c r="H151" s="9">
        <v>44262</v>
      </c>
    </row>
    <row r="152" ht="57.00" customHeight="true">
      <c r="B152" s="10"/>
      <c r="C152" s="10"/>
      <c r="D152" s="10"/>
      <c r="E152" s="10"/>
      <c r="F152" s="10"/>
      <c r="G152" s="10"/>
      <c r="H152" s="18"/>
    </row>
    <row r="153" ht="16.50" customHeight="true">
      <c r="B153" cm="1" s="8" t="s">
        <f t="array" ref="B153:H153">Days+36+DATE(Calendar11Year,Calendar11MonthOption,1)-WEEKDAY(DATE(Calendar11Year,Calendar11MonthOption,1),WeekdayOption)</f>
        <v>12</v>
      </c>
      <c r="C153" t="s" s="8"/>
      <c r="D153" t="s" s="19">
        <v>13</v>
      </c>
      <c r="E153" t="s" s="19"/>
      <c r="F153" t="s" s="19"/>
      <c r="G153" t="s" s="19"/>
      <c r="H153" t="s" s="19"/>
    </row>
    <row r="154" ht="63.75" customHeight="true">
      <c r="B154" s="10"/>
      <c r="C154" s="10"/>
      <c r="D154" s="16"/>
      <c r="E154" s="16"/>
      <c r="F154" s="16"/>
      <c r="G154" s="16"/>
      <c r="H154" s="16"/>
    </row>
    <row r="155" ht="54.00" customHeight="true">
      <c r="B155" s="2">
        <f>YEAR(DATE(Calendar11Year,Calendar11MonthOption+1,1))</f>
        <v>2021</v>
      </c>
      <c r="C155" s="3" t="s">
        <f>TEXT(DATE(Calendar11Year,Calendar11MonthOption+1,1),"mmmm")</f>
        <v>24</v>
      </c>
      <c r="D155" s="3"/>
      <c r="E155" s="3"/>
      <c r="F155" s="17"/>
      <c r="G155" s="17"/>
      <c r="H155" s="1"/>
    </row>
    <row r="156" ht="14.25" customHeight="true">
      <c r="B156" s="5" t="s">
        <f>UPPER(TEXT(B157,"dddd"))</f>
        <v>1</v>
      </c>
      <c r="C156" s="6" t="s">
        <f ref="C156:H156" t="shared" si="3">UPPER(TEXT(C157,"dddd"))</f>
        <v>2</v>
      </c>
      <c r="D156" s="5" t="s">
        <f t="shared" si="3"/>
        <v>3</v>
      </c>
      <c r="E156" s="6" t="s">
        <f t="shared" si="3"/>
        <v>4</v>
      </c>
      <c r="F156" s="5" t="s">
        <f t="shared" si="3"/>
        <v>5</v>
      </c>
      <c r="G156" s="6" t="s">
        <f t="shared" si="3"/>
        <v>6</v>
      </c>
      <c r="H156" s="5" t="s">
        <f t="shared" si="3"/>
        <v>7</v>
      </c>
    </row>
    <row r="157" ht="16.50" customHeight="true">
      <c r="B157" cm="1" s="8">
        <f t="array" ref="B157:H157">Days+1+DATE(Calendar12Year,Calendar12MonthOption,1)-WEEKDAY(DATE(Calendar12Year,Calendar12MonthOption,1),WeekdayOption)</f>
        <v>44256</v>
      </c>
      <c r="C157" s="8">
        <v>44257</v>
      </c>
      <c r="D157" s="8">
        <v>44258</v>
      </c>
      <c r="E157" s="8">
        <v>44259</v>
      </c>
      <c r="F157" s="8">
        <v>44260</v>
      </c>
      <c r="G157" s="8">
        <v>44261</v>
      </c>
      <c r="H157" s="9">
        <v>44262</v>
      </c>
    </row>
    <row r="158" ht="56.25" customHeight="true">
      <c r="B158" s="10"/>
      <c r="C158" s="10"/>
      <c r="D158" s="10"/>
      <c r="E158" s="10"/>
      <c r="F158" s="10"/>
      <c r="G158" s="10"/>
      <c r="H158" s="11"/>
    </row>
    <row r="159" ht="16.50" customHeight="true">
      <c r="B159" cm="1" s="8">
        <f t="array" ref="B159:H159">Days+8+DATE(Calendar12Year,Calendar12MonthOption,1)-WEEKDAY(DATE(Calendar12Year,Calendar12MonthOption,1),WeekdayOption)</f>
        <v>44263</v>
      </c>
      <c r="C159" s="8">
        <v>44264</v>
      </c>
      <c r="D159" s="8">
        <v>44265</v>
      </c>
      <c r="E159" s="8">
        <v>44266</v>
      </c>
      <c r="F159" s="8">
        <v>44267</v>
      </c>
      <c r="G159" s="8">
        <v>44268</v>
      </c>
      <c r="H159" s="9">
        <v>44269</v>
      </c>
    </row>
    <row r="160" ht="56.25" customHeight="true">
      <c r="B160" s="10"/>
      <c r="C160" s="10"/>
      <c r="D160" s="10"/>
      <c r="E160" s="10"/>
      <c r="F160" s="10"/>
      <c r="G160" s="10"/>
      <c r="H160" s="11"/>
    </row>
    <row r="161" ht="16.50" customHeight="true">
      <c r="B161" cm="1" s="8">
        <f t="array" ref="B161:H161">Days+15+DATE(Calendar12Year,Calendar12MonthOption,1)-WEEKDAY(DATE(Calendar12Year,Calendar12MonthOption,1),WeekdayOption)</f>
        <v>44270</v>
      </c>
      <c r="C161" s="8">
        <v>44271</v>
      </c>
      <c r="D161" s="8">
        <v>44272</v>
      </c>
      <c r="E161" s="8">
        <v>44273</v>
      </c>
      <c r="F161" s="8">
        <v>44274</v>
      </c>
      <c r="G161" s="8">
        <v>44275</v>
      </c>
      <c r="H161" s="9">
        <v>44276</v>
      </c>
    </row>
    <row r="162" ht="56.25" customHeight="true">
      <c r="B162" s="10"/>
      <c r="C162" s="10"/>
      <c r="D162" s="10"/>
      <c r="E162" s="10"/>
      <c r="F162" s="10"/>
      <c r="G162" s="10"/>
      <c r="H162" s="11"/>
    </row>
    <row r="163" ht="16.50" customHeight="true">
      <c r="B163" cm="1" s="8">
        <f t="array" ref="B163:H163">Days+22+DATE(Calendar12Year,Calendar12MonthOption,1)-WEEKDAY(DATE(Calendar12Year,Calendar12MonthOption,1),WeekdayOption)</f>
        <v>44277</v>
      </c>
      <c r="C163" s="8">
        <v>44278</v>
      </c>
      <c r="D163" s="8">
        <v>44279</v>
      </c>
      <c r="E163" s="8">
        <v>44280</v>
      </c>
      <c r="F163" s="8">
        <v>44281</v>
      </c>
      <c r="G163" s="8">
        <v>44282</v>
      </c>
      <c r="H163" s="9">
        <v>44283</v>
      </c>
    </row>
    <row r="164" ht="56.25" customHeight="true">
      <c r="B164" s="10"/>
      <c r="C164" s="10"/>
      <c r="D164" s="10"/>
      <c r="E164" s="10"/>
      <c r="F164" s="10"/>
      <c r="G164" s="10"/>
      <c r="H164" s="11"/>
    </row>
    <row r="165" ht="16.50" customHeight="true">
      <c r="B165" cm="1" s="8">
        <f t="array" ref="B165:H165">Days+29+DATE(Calendar12Year,Calendar12MonthOption,1)-WEEKDAY(DATE(Calendar12Year,Calendar12MonthOption,1),WeekdayOption)</f>
        <v>44284</v>
      </c>
      <c r="C165" s="8">
        <v>44285</v>
      </c>
      <c r="D165" s="8">
        <v>44286</v>
      </c>
      <c r="E165" s="8">
        <v>44287</v>
      </c>
      <c r="F165" s="8">
        <v>44288</v>
      </c>
      <c r="G165" s="8">
        <v>44289</v>
      </c>
      <c r="H165" s="9">
        <v>44290</v>
      </c>
    </row>
    <row r="166" ht="57.00" customHeight="true">
      <c r="B166" s="10"/>
      <c r="C166" s="10"/>
      <c r="D166" s="10"/>
      <c r="E166" s="10"/>
      <c r="F166" s="10"/>
      <c r="G166" s="10"/>
      <c r="H166" s="18"/>
    </row>
    <row r="167" ht="16.50" customHeight="true">
      <c r="B167" cm="1" s="8" t="s">
        <f t="array" ref="B167:H167">Days+36+DATE(Calendar12Year,Calendar12MonthOption,1)-WEEKDAY(DATE(Calendar12Year,Calendar12MonthOption,1),WeekdayOption)</f>
        <v>12</v>
      </c>
      <c r="C167" t="s" s="8"/>
      <c r="D167" t="s" s="19">
        <v>13</v>
      </c>
      <c r="E167" t="s" s="19"/>
      <c r="F167" t="s" s="19"/>
      <c r="G167" t="s" s="19"/>
      <c r="H167" t="s" s="19"/>
    </row>
    <row r="168" ht="63.75" customHeight="true">
      <c r="B168" s="10"/>
      <c r="C168" s="10"/>
      <c r="D168" s="16"/>
      <c r="E168" s="16"/>
      <c r="F168" s="16"/>
      <c r="G168" s="16"/>
      <c r="H168" s="16"/>
    </row>
  </sheetData>
  <mergeCells count="36">
    <mergeCell ref="D168:H168"/>
    <mergeCell ref="C141:E141"/>
    <mergeCell ref="D153:H153"/>
    <mergeCell ref="D154:H154"/>
    <mergeCell ref="C155:E155"/>
    <mergeCell ref="D167:H167"/>
    <mergeCell ref="D125:H125"/>
    <mergeCell ref="D126:H126"/>
    <mergeCell ref="C127:E127"/>
    <mergeCell ref="D139:H139"/>
    <mergeCell ref="D140:H140"/>
    <mergeCell ref="D98:H98"/>
    <mergeCell ref="C99:E99"/>
    <mergeCell ref="D111:H111"/>
    <mergeCell ref="D112:H112"/>
    <mergeCell ref="C113:E113"/>
    <mergeCell ref="C71:E71"/>
    <mergeCell ref="D83:H83"/>
    <mergeCell ref="D84:H84"/>
    <mergeCell ref="C85:E85"/>
    <mergeCell ref="D97:H97"/>
    <mergeCell ref="D55:H55"/>
    <mergeCell ref="D56:H56"/>
    <mergeCell ref="C57:E57"/>
    <mergeCell ref="D69:H69"/>
    <mergeCell ref="D70:H70"/>
    <mergeCell ref="D28:H28"/>
    <mergeCell ref="C29:E29"/>
    <mergeCell ref="D41:H41"/>
    <mergeCell ref="D42:H42"/>
    <mergeCell ref="C43:E43"/>
    <mergeCell ref="C1:E1"/>
    <mergeCell ref="D13:H13"/>
    <mergeCell ref="D14:H14"/>
    <mergeCell ref="C15:E15"/>
    <mergeCell ref="D27:H27"/>
  </mergeCells>
  <phoneticPr fontId="0" type="noConversion"/>
  <conditionalFormatting sqref="B157:H157 B159:H159 B161:H161 B163:H163 B165:H165 B167:C167">
    <cfRule priority="1" type="expression" dxfId="0">
      <formula>MONTH(B157)&lt;&gt;Calendar12MonthOption</formula>
    </cfRule>
  </conditionalFormatting>
  <conditionalFormatting sqref="B143:H143 B145:H145 B147:H147 B149:H149 B151:H151 B153:C153">
    <cfRule priority="2" type="expression" dxfId="1">
      <formula>MONTH(B143)&lt;&gt;Calendar11MonthOption</formula>
    </cfRule>
  </conditionalFormatting>
  <conditionalFormatting sqref="B129:H129 B131:H131 B133:H133 B135:H135 B137:H137 B139:C139">
    <cfRule priority="3" type="expression" dxfId="2">
      <formula>MONTH(B129)&lt;&gt;Calendar10MonthOption</formula>
    </cfRule>
  </conditionalFormatting>
  <conditionalFormatting sqref="B115:H115 B117:H117 B119:H119 B121:H121 B123:H123 B125:C125">
    <cfRule priority="4" type="expression" dxfId="3">
      <formula>MONTH(B115)&lt;&gt;Calendar9MonthOption</formula>
    </cfRule>
  </conditionalFormatting>
  <conditionalFormatting sqref="B101:H101 B103:H103 B105:H105 B107:H107 B109:H109 B111:C111">
    <cfRule priority="5" type="expression" dxfId="4">
      <formula>MONTH(B101)&lt;&gt;Calendar8MonthOption</formula>
    </cfRule>
  </conditionalFormatting>
  <conditionalFormatting sqref="B87:H87 B89:H89 B91:H91 B93:H93 B95:H95 B97:C97">
    <cfRule priority="6" type="expression" dxfId="5">
      <formula>MONTH(B87)&lt;&gt;Calendar7MonthOption</formula>
    </cfRule>
  </conditionalFormatting>
  <conditionalFormatting sqref="B73:H73 B75:H75 B77:H77 B79:H79 B81:H81 B83:C83">
    <cfRule priority="7" type="expression" dxfId="6">
      <formula>MONTH(B73)&lt;&gt;Calendar6MonthOption</formula>
    </cfRule>
  </conditionalFormatting>
  <conditionalFormatting sqref="B59:H59 B61:H61 B63:H63 B65:H65 B67:H67 B69:C69">
    <cfRule priority="8" type="expression" dxfId="7">
      <formula>MONTH(B59)&lt;&gt;Calendar5MonthOption</formula>
    </cfRule>
  </conditionalFormatting>
  <conditionalFormatting sqref="B45:H45 B47:H47 B49:H49 B51:H51 B53:H53 B55:C55">
    <cfRule priority="9" type="expression" dxfId="8">
      <formula>MONTH(B45)&lt;&gt;Calendar4MonthOption</formula>
    </cfRule>
  </conditionalFormatting>
  <conditionalFormatting sqref="B31:H31 B33:H33 B35:H35 B37:H37 B39:H39 B41:C41">
    <cfRule priority="10" type="expression" dxfId="9">
      <formula>MONTH(B31)&lt;&gt;Calendar3MonthOption</formula>
    </cfRule>
  </conditionalFormatting>
  <conditionalFormatting sqref="B17:H17 B19:H19 B21:H21 B23:H23 B25:H25 B27:C27">
    <cfRule priority="11" type="expression" dxfId="10">
      <formula>MONTH(B17)&lt;&gt;Calendar2MonthOption</formula>
    </cfRule>
  </conditionalFormatting>
  <conditionalFormatting sqref="B3:H3 B5:H5 B7:H7 B9:H9 B11:H11 B13:C13">
    <cfRule priority="12" type="expression" dxfId="11">
      <formula>MONTH(B3)&lt;&gt;Calendar1MonthOption</formula>
    </cfRule>
  </conditionalFormatting>
  <dataValidations count="14">
    <dataValidation allowBlank="true" showInputMessage="1" showErrorMessage="1" sqref="A1"/>
    <dataValidation allowBlank="true" showInputMessage="1" showErrorMessage="1" sqref="B1"/>
    <dataValidation type="list" allowBlank="true" error="Select calendar start month from the list. Select CANCEL, press ALT+DOWN ARROW for options, then DOWN ARROW and ENTER to make selection" prompt="Select calendar start month from the list. Select CANCEL, press ALT+DOWN ARROW for options, then DOWN ARROW and ENTER to make selection" errorStyle="warning" showInputMessage="1" showErrorMessage="1" sqref="C1:E1">
      <formula1>"January,February,March,April,May,June,July,August,September,October,November,December"</formula1>
    </dataValidation>
    <dataValidation type="list" allowBlank="true" error="Select the week start day from the list. Select CANCEL,press ALT+DOWN ARROW for options, then DOWN ARROW and ENTER to make selection" prompt="Select the week start day from the list. Select CANCEL,press ALT+DOWN ARROW for options, then DOWN ARROW and ENTER to make selection" errorStyle="warning" showInputMessage="1" showErrorMessage="1" sqref="B2">
      <formula1>"SUNDAY,MONDAY,TUESDAY,WEDNESDAY,THURSDAY,FRIDAY,SATURDAY"</formula1>
    </dataValidation>
    <dataValidation allowBlank="true" showInputMessage="1" showErrorMessage="1" sqref="C2:H2 B16"/>
    <dataValidation allowBlank="true" showInputMessage="1" showErrorMessage="1" sqref="B3"/>
    <dataValidation allowBlank="true" showInputMessage="1" showErrorMessage="1" sqref="B4"/>
    <dataValidation allowBlank="true" showInputMessage="1" showErrorMessage="1" sqref="D13:H13"/>
    <dataValidation allowBlank="true" showInputMessage="1" showErrorMessage="1" sqref="D14:H14"/>
    <dataValidation allowBlank="true" showInputMessage="1" showErrorMessage="1" sqref="B15"/>
    <dataValidation allowBlank="true" showInputMessage="1" showErrorMessage="1" sqref="C15:E15"/>
    <dataValidation allowBlank="true" showInputMessage="1" showErrorMessage="1" sqref="C16 D16 E16:H16 B30:H30 B44:H44 B58:H58 B72:H72 B86:H86 B100:H100 B114:H114 B128:H128 B142:H142 B156:H156"/>
    <dataValidation allowBlank="true" showInputMessage="1" showErrorMessage="1" sqref="B29 B43 B57 B71 B85 B99 B113 B127 B141 B155"/>
    <dataValidation allowBlank="true" showInputMessage="1" showErrorMessage="1" sqref="C29:E29 C43:E43 C57:E57 C71:E71 C85:E85 C99:E99 C113:E113 C127:E127 C141:E141 C155:E155"/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Calendar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2026-06-01T02:31:48Z</dcterms:created>
  <dcterms:modified xsi:type="dcterms:W3CDTF">2026-06-01T02:31:48Z</dcterms:modified>
</cp:coreProperties>
</file>