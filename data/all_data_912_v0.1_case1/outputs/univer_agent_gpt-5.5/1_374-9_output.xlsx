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6F098C5-3CAF-4E05-B810-5B485CF4A93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/>
  <c r="H21" i="1"/>
  <c r="H7" i="1"/>
  <c r="H14" i="1"/>
  <c r="H10" i="1"/>
  <c r="H15" i="1"/>
  <c r="H12" i="1"/>
  <c r="E11" i="1"/>
  <c r="H11" i="1"/>
  <c r="F11" i="1"/>
  <c r="G9" i="1"/>
  <c r="H9" i="1"/>
  <c r="H13" i="1"/>
  <c r="H16" i="1"/>
</calcChain>
</file>

<file path=xl/sharedStrings.xml><?xml version="1.0" encoding="utf-8"?>
<sst xmlns="http://schemas.openxmlformats.org/spreadsheetml/2006/main" count="34" uniqueCount="20">
  <si>
    <t>A</t>
  </si>
  <si>
    <t>B</t>
  </si>
  <si>
    <t>C</t>
  </si>
  <si>
    <t>D</t>
  </si>
  <si>
    <t>New York</t>
  </si>
  <si>
    <t>Florida</t>
  </si>
  <si>
    <t>California</t>
  </si>
  <si>
    <t>South Dakota</t>
  </si>
  <si>
    <t>Wyoming</t>
  </si>
  <si>
    <t>Washingtom</t>
  </si>
  <si>
    <t>Michigan</t>
  </si>
  <si>
    <t>Colorado</t>
  </si>
  <si>
    <t>Nebraska</t>
  </si>
  <si>
    <t>Texas</t>
  </si>
  <si>
    <t>North Carolina</t>
  </si>
  <si>
    <t>Iowa</t>
  </si>
  <si>
    <t>Minnesota</t>
  </si>
  <si>
    <t>Nevada</t>
  </si>
  <si>
    <t>Oklahoma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</si>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</sst>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_(* #,##0_);_(* \(#,##0\);_(* &quot;-&quot;??_);_(@_)"/>
    <numFmt numFmtId="2" formatCode="General"/>
  </numFmts>
  <fonts count="4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2" applyNumberFormat="1" fontId="3" applyFont="1" applyAlignment="1">
      <alignment horizontal="center"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2" applyNumberFormat="1" fontId="2" applyFont="1" applyAlignment="1">
      <alignment/>
    </xf>
  </cellStyleXfs>
  <cellXfs count="10">
    <xf numFmtId="0" fontId="0" fillId="0" borderId="0" xfId="0"/>
    <xf xfId="3" quotePrefix="0" pivotButton="0" numFmtId="2" applyNumberFormat="1" fontId="3" applyFont="1" applyAlignment="1">
      <alignment horizontal="center"/>
    </xf>
    <xf xfId="2" quotePrefix="0" pivotButton="0" numFmtId="2" applyNumberFormat="1" fontId="2" applyFont="1" applyAlignment="1">
      <alignment/>
    </xf>
    <xf xfId="4" quotePrefix="0" pivotButton="0" numFmtId="1" applyNumberFormat="1" fontId="1" applyFont="1" fillId="2" applyFill="1" applyAlignment="1">
      <alignment/>
    </xf>
    <xf xfId="5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  <xf xfId="6" quotePrefix="0" pivotButton="0" numFmtId="1" applyNumberFormat="1" fontId="1" applyFont="1" fillId="2" applyFill="1" applyAlignment="1">
      <alignment/>
    </xf>
    <xf xfId="7" quotePrefix="0" pivotButton="0" numFmtId="1" applyNumberFormat="1" fontId="1" applyFont="1" applyAlignment="1">
      <alignment/>
    </xf>
    <xf xfId="8" quotePrefix="0" pivotButton="0" numFmtId="2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1" max="1" width="22.57" customWidth="1" hidden="0"/>
    <col min="2" max="2" width="11.04" customWidth="1" hidden="0"/>
    <col min="3" max="3" width="12.51" customWidth="1" hidden="0"/>
    <col min="4" max="4" width="11.90" customWidth="1" hidden="0"/>
    <col min="5" max="5" width="12.27" customWidth="1" hidden="0"/>
    <col min="6" max="6" width="17.54" customWidth="1" hidden="0"/>
    <col min="7" max="7" width="17.78" customWidth="1" hidden="0"/>
    <col min="8" max="8" width="12.88" customWidth="1" hidden="0"/>
    <col min="9" max="9" width="15.33" customWidth="1" hidden="0"/>
  </cols>
  <sheetData>
    <row r="6" ht="16.80" customHeight="true">
      <c r="B6" t="s" s="1">
        <v>0</v>
      </c>
      <c r="C6" t="s" s="1">
        <v>0</v>
      </c>
      <c r="D6" t="s" s="1">
        <v>1</v>
      </c>
      <c r="E6" t="s" s="1">
        <v>2</v>
      </c>
      <c r="F6" t="s" s="1">
        <v>2</v>
      </c>
      <c r="G6" t="s" s="1">
        <v>1</v>
      </c>
      <c r="H6" t="s" s="1">
        <v>0</v>
      </c>
      <c r="I6" t="s" s="1">
        <v>3</v>
      </c>
    </row>
    <row r="7" ht="16.80" customHeight="true">
      <c r="A7" t="s" s="2">
        <v>4</v>
      </c>
      <c r="B7" s="3">
        <v>600012</v>
      </c>
      <c r="C7" s="4">
        <v>486457</v>
      </c>
      <c r="D7" s="4">
        <v>488806</v>
      </c>
      <c r="E7" s="4">
        <v>426234</v>
      </c>
      <c r="F7" s="4">
        <v>329306</v>
      </c>
      <c r="G7" s="4">
        <v>417102</v>
      </c>
      <c r="H7" s="5">
        <f ref="H7:H16" t="shared" si="0">SUM(A7:G7)</f>
        <v>2747917</v>
      </c>
      <c r="I7" s="3">
        <v>600012</v>
      </c>
    </row>
    <row r="8" ht="16.80" customHeight="true">
      <c r="A8" t="s" s="2">
        <v>5</v>
      </c>
      <c r="B8" s="3">
        <v>41332</v>
      </c>
      <c r="C8" s="4">
        <v>41590</v>
      </c>
      <c r="D8" s="4">
        <v>45980</v>
      </c>
      <c r="E8" s="4">
        <v>44485</v>
      </c>
      <c r="F8" s="4">
        <v>49205</v>
      </c>
      <c r="G8" s="4">
        <v>53018</v>
      </c>
      <c r="H8" s="5">
        <f t="shared" si="0"/>
        <v>275610</v>
      </c>
      <c r="I8" s="3">
        <v>41332</v>
      </c>
    </row>
    <row r="9" ht="16.80" customHeight="true">
      <c r="A9" t="s" s="2">
        <v>6</v>
      </c>
      <c r="B9" s="3">
        <v>11920</v>
      </c>
      <c r="C9" s="4">
        <v>9059</v>
      </c>
      <c r="D9" s="4">
        <v>22997</v>
      </c>
      <c r="E9" s="4">
        <v>33019</v>
      </c>
      <c r="F9" s="4">
        <v>47600</v>
      </c>
      <c r="G9" s="4">
        <f>106740-53018</f>
        <v>53722</v>
      </c>
      <c r="H9" s="5">
        <f t="shared" si="0"/>
        <v>178317</v>
      </c>
      <c r="I9" s="3">
        <v>11920</v>
      </c>
    </row>
    <row r="10" ht="16.80" customHeight="true">
      <c r="A10" t="s" s="2">
        <v>7</v>
      </c>
      <c r="B10" s="3">
        <v>984</v>
      </c>
      <c r="C10" s="4">
        <v>1125</v>
      </c>
      <c r="D10" s="4">
        <v>733</v>
      </c>
      <c r="E10" s="4">
        <v>994</v>
      </c>
      <c r="F10" s="4">
        <v>946</v>
      </c>
      <c r="G10" s="4">
        <v>2427.93</v>
      </c>
      <c r="H10" s="5">
        <f t="shared" si="0"/>
        <v>7209.93</v>
      </c>
      <c r="I10" s="3">
        <v>984</v>
      </c>
    </row>
    <row r="11" ht="16.80" customHeight="true">
      <c r="A11" t="s" s="2">
        <v>8</v>
      </c>
      <c r="B11" s="3">
        <v>68064</v>
      </c>
      <c r="C11" s="4">
        <v>67609</v>
      </c>
      <c r="D11" s="4">
        <v>66767</v>
      </c>
      <c r="E11" s="4">
        <f>64668+1128</f>
        <v>65796</v>
      </c>
      <c r="F11" s="4">
        <f>68918+146</f>
        <v>69064</v>
      </c>
      <c r="G11" s="4">
        <v>66986</v>
      </c>
      <c r="H11" s="5">
        <f t="shared" si="0"/>
        <v>404286</v>
      </c>
      <c r="I11" s="3">
        <v>68064</v>
      </c>
    </row>
    <row r="12" ht="16.80" customHeight="true">
      <c r="A12" t="s" s="2">
        <v>9</v>
      </c>
      <c r="B12" s="3">
        <v>55073</v>
      </c>
      <c r="C12" s="4">
        <v>64811</v>
      </c>
      <c r="D12" s="4">
        <v>103246</v>
      </c>
      <c r="E12" s="4">
        <v>36687</v>
      </c>
      <c r="F12" s="4">
        <v>51876</v>
      </c>
      <c r="G12" s="4">
        <v>51456</v>
      </c>
      <c r="H12" s="5">
        <f t="shared" si="0"/>
        <v>363149</v>
      </c>
      <c r="I12" s="3">
        <v>55073</v>
      </c>
    </row>
    <row r="13" ht="16.80" customHeight="true">
      <c r="A13" t="s" s="2">
        <v>10</v>
      </c>
      <c r="B13" s="3">
        <v>4139116</v>
      </c>
      <c r="C13" s="4">
        <v>4098991</v>
      </c>
      <c r="D13" s="4">
        <v>4058534</v>
      </c>
      <c r="E13" s="4">
        <v>3873405</v>
      </c>
      <c r="F13" s="4">
        <v>3836345</v>
      </c>
      <c r="G13" s="4">
        <v>3736625</v>
      </c>
      <c r="H13" s="5">
        <f t="shared" si="0"/>
        <v>23743016</v>
      </c>
      <c r="I13" s="3">
        <v>0</v>
      </c>
    </row>
    <row r="14" ht="16.80" customHeight="true">
      <c r="A14" t="s" s="2">
        <v>11</v>
      </c>
      <c r="B14" s="3">
        <v>21636</v>
      </c>
      <c r="C14" s="4">
        <v>45913</v>
      </c>
      <c r="D14" s="4">
        <v>63271</v>
      </c>
      <c r="E14" s="4">
        <v>28657</v>
      </c>
      <c r="F14" s="4">
        <v>51880</v>
      </c>
      <c r="G14" s="4">
        <v>41166</v>
      </c>
      <c r="H14" s="5">
        <f t="shared" si="0"/>
        <v>252523</v>
      </c>
      <c r="I14" s="3">
        <v>21636</v>
      </c>
    </row>
    <row r="15" ht="16.80" customHeight="true">
      <c r="A15" t="s" s="2">
        <v>12</v>
      </c>
      <c r="B15" s="3">
        <v>37232</v>
      </c>
      <c r="C15" s="4">
        <v>189834</v>
      </c>
      <c r="D15" s="4">
        <v>36509</v>
      </c>
      <c r="E15" s="4">
        <v>-117479</v>
      </c>
      <c r="F15" s="4">
        <v>28085</v>
      </c>
      <c r="G15" s="4">
        <v>49605</v>
      </c>
      <c r="H15" s="5">
        <f t="shared" si="0"/>
        <v>223786</v>
      </c>
      <c r="I15" s="3">
        <v>37232</v>
      </c>
    </row>
    <row r="16" ht="16.80" customHeight="true">
      <c r="A16" t="s" s="2">
        <v>13</v>
      </c>
      <c r="B16" s="3">
        <v>4146</v>
      </c>
      <c r="C16" s="4">
        <v>7204</v>
      </c>
      <c r="D16" s="4">
        <v>3820</v>
      </c>
      <c r="E16" s="4">
        <v>10193</v>
      </c>
      <c r="F16" s="4">
        <v>10157</v>
      </c>
      <c r="G16" s="4">
        <v>7626</v>
      </c>
      <c r="H16" s="5">
        <f t="shared" si="0"/>
        <v>43146</v>
      </c>
      <c r="I16" s="3">
        <v>4146</v>
      </c>
    </row>
    <row r="17" ht="16.80" customHeight="true">
      <c r="A17" t="s" s="2">
        <v>14</v>
      </c>
      <c r="B17" s="4">
        <v>3017325</v>
      </c>
      <c r="C17" s="4">
        <v>1543043</v>
      </c>
      <c r="D17" s="4">
        <v>1633405</v>
      </c>
      <c r="E17" s="4">
        <v>1357075</v>
      </c>
      <c r="F17" s="4">
        <v>1269900</v>
      </c>
      <c r="G17" s="4">
        <v>1478812</v>
      </c>
      <c r="H17" s="4">
        <v>426234</v>
      </c>
      <c r="I17" s="4">
        <v>64811</v>
      </c>
    </row>
    <row r="18" ht="16.80" customHeight="true">
      <c r="A18" t="s" s="2">
        <v>15</v>
      </c>
      <c r="B18" s="4">
        <v>13204</v>
      </c>
      <c r="C18" s="4">
        <v>12803</v>
      </c>
      <c r="D18" s="4">
        <v>12358</v>
      </c>
      <c r="E18" s="4">
        <v>9634</v>
      </c>
      <c r="F18" s="4">
        <v>10725</v>
      </c>
      <c r="G18" s="4">
        <v>5545</v>
      </c>
      <c r="H18" s="4">
        <v>44485</v>
      </c>
      <c r="I18" s="4">
        <v>4098991</v>
      </c>
    </row>
    <row r="19" ht="16.80" customHeight="true">
      <c r="A19" t="s" s="2">
        <v>16</v>
      </c>
      <c r="B19" s="4">
        <v>494196</v>
      </c>
      <c r="C19" s="4">
        <v>519926</v>
      </c>
      <c r="D19" s="4">
        <v>1096115</v>
      </c>
      <c r="E19" s="3">
        <v>831852</v>
      </c>
      <c r="F19" s="4">
        <v>578113</v>
      </c>
      <c r="G19" s="4">
        <v>605821</v>
      </c>
      <c r="H19" s="4">
        <v>33019</v>
      </c>
      <c r="I19" s="4">
        <v>45913</v>
      </c>
    </row>
    <row r="20" ht="16.80" customHeight="true">
      <c r="A20" t="s" s="2">
        <v>17</v>
      </c>
      <c r="B20" s="3">
        <v>4006300</v>
      </c>
      <c r="C20" s="4">
        <v>5012610</v>
      </c>
      <c r="D20" s="4">
        <v>5012610</v>
      </c>
      <c r="E20" s="4">
        <v>5012610</v>
      </c>
      <c r="F20" s="4">
        <v>5012610</v>
      </c>
      <c r="G20" s="4">
        <v>5012610</v>
      </c>
      <c r="H20" s="4">
        <v>994</v>
      </c>
      <c r="I20" s="4">
        <v>189834</v>
      </c>
    </row>
    <row r="21" ht="16.80" customHeight="true">
      <c r="A21" t="s" s="2">
        <v>18</v>
      </c>
      <c r="B21" s="3">
        <v>518735</v>
      </c>
      <c r="C21" s="4">
        <v>546235</v>
      </c>
      <c r="D21" s="4">
        <v>465235</v>
      </c>
      <c r="E21" s="4">
        <v>502735</v>
      </c>
      <c r="F21" s="4">
        <v>507735</v>
      </c>
      <c r="G21" s="4">
        <v>447735</v>
      </c>
      <c r="H21" s="4">
        <f>64668+1128</f>
        <v>65796</v>
      </c>
      <c r="I21" s="4">
        <v>28085</v>
      </c>
    </row>
    <row r="22" ht="16.80" customHeight="true">
      <c r="A22" t="s" s="2">
        <v>19</v>
      </c>
      <c r="B22" s="6">
        <v>900000</v>
      </c>
      <c r="C22" s="7">
        <v>925000</v>
      </c>
      <c r="D22" s="7">
        <v>1489000</v>
      </c>
      <c r="E22" s="7">
        <v>1286000</v>
      </c>
      <c r="F22" s="7">
        <v>1904000</v>
      </c>
      <c r="G22" s="7">
        <v>525000</v>
      </c>
      <c r="H22" s="7">
        <v>36687</v>
      </c>
      <c r="I22" s="4">
        <v>10157</v>
      </c>
    </row>
    <row r="23" ht="16.80" customHeight="true">
      <c r="B23" s="8"/>
      <c r="C23" s="8"/>
      <c r="D23" s="8"/>
      <c r="E23" s="8"/>
      <c r="F23" s="8"/>
      <c r="G23" s="8"/>
      <c r="H23" s="8"/>
      <c r="I23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1" max="1" width="17.29" customWidth="1" hidden="0"/>
  </cols>
  <sheetData>
    <row r="6" ht="16.80" customHeight="true">
      <c r="B6" t="s" s="2">
        <v>0</v>
      </c>
      <c r="C6" t="s" s="2">
        <v>1</v>
      </c>
    </row>
    <row r="7" ht="16.80" customHeight="true">
      <c r="A7" t="s" s="2">
        <v>4</v>
      </c>
      <c r="B7" s="9">
        <v>3834386</v>
      </c>
      <c r="C7" s="9">
        <v>905908</v>
      </c>
    </row>
    <row r="8" ht="16.80" customHeight="true">
      <c r="A8" t="s" s="2">
        <v>5</v>
      </c>
      <c r="B8" s="9">
        <v>358532</v>
      </c>
      <c r="C8" s="9">
        <v>98998</v>
      </c>
    </row>
    <row r="9" ht="16.80" customHeight="true">
      <c r="A9" t="s" s="2">
        <v>6</v>
      </c>
      <c r="B9" s="9">
        <v>199296</v>
      </c>
      <c r="C9" s="9">
        <v>76719</v>
      </c>
    </row>
    <row r="10" ht="16.80" customHeight="true">
      <c r="A10" t="s" s="2">
        <v>7</v>
      </c>
      <c r="B10" s="9">
        <v>9318.93</v>
      </c>
      <c r="C10" s="9">
        <v>3160.93</v>
      </c>
    </row>
    <row r="11" ht="16.80" customHeight="true">
      <c r="A11" t="s" s="2">
        <v>8</v>
      </c>
      <c r="B11" s="9">
        <v>539959</v>
      </c>
      <c r="C11" s="9">
        <v>133753</v>
      </c>
    </row>
    <row r="12" ht="16.80" customHeight="true">
      <c r="A12" t="s" s="2">
        <v>9</v>
      </c>
      <c r="B12" s="9">
        <v>483033</v>
      </c>
      <c r="C12" s="9">
        <v>154702</v>
      </c>
    </row>
    <row r="13" ht="16.80" customHeight="true">
      <c r="A13" t="s" s="2">
        <v>10</v>
      </c>
      <c r="B13" s="9">
        <v>31981123</v>
      </c>
      <c r="C13" s="9">
        <v>7795159</v>
      </c>
    </row>
    <row r="14" ht="16.80" customHeight="true">
      <c r="A14" t="s" s="2">
        <v>11</v>
      </c>
      <c r="B14" s="9">
        <v>320072</v>
      </c>
      <c r="C14" s="9">
        <v>104437</v>
      </c>
    </row>
    <row r="15" ht="16.80" customHeight="true">
      <c r="B15" s="9">
        <v>450852</v>
      </c>
      <c r="C15" s="9">
        <v>86114</v>
      </c>
    </row>
    <row r="16" ht="16.80" customHeight="true">
      <c r="B16" s="9">
        <v>54496</v>
      </c>
      <c r="C16" s="9">
        <v>11446</v>
      </c>
    </row>
    <row r="17" ht="16.80" customHeight="true">
      <c r="B17" s="9">
        <v>4986602</v>
      </c>
      <c r="C17" s="9">
        <v>3112217</v>
      </c>
    </row>
    <row r="18" ht="16.80" customHeight="true">
      <c r="B18" s="9">
        <v>70492</v>
      </c>
      <c r="C18" s="9">
        <v>17903</v>
      </c>
    </row>
    <row r="19" ht="16.80" customHeight="true">
      <c r="B19" s="9">
        <v>1047141</v>
      </c>
      <c r="C19" s="9">
        <v>1701936</v>
      </c>
    </row>
    <row r="20" ht="16.80" customHeight="true">
      <c r="B20" s="9">
        <v>9019904</v>
      </c>
      <c r="C20" s="9">
        <v>10025220</v>
      </c>
    </row>
    <row r="21" ht="16.80" customHeight="true">
      <c r="B21" s="9">
        <v>1130766</v>
      </c>
      <c r="C21" s="9">
        <v>912970</v>
      </c>
    </row>
    <row r="22" ht="16.80" customHeight="true">
      <c r="B22" s="9">
        <v>1861687</v>
      </c>
      <c r="C22" s="9">
        <v>2014000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2026-05-31T17:20:49Z</dcterms:created>
  <dcterms:modified xsi:type="dcterms:W3CDTF">2026-05-31T17:20:49Z</dcterms:modified>
</cp:coreProperties>
</file>