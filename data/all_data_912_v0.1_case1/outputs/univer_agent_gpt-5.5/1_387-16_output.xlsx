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36075F9-9184-4928-A250-EF11A01B61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solver_itr" localSheetId="0" hidden="true">2147483647</definedName>
    <definedName name="solver_neg" localSheetId="0" hidden="true">1</definedName>
    <definedName name="solver_nod" localSheetId="0" hidden="true">2147483647</definedName>
    <definedName name="solver_tol" localSheetId="0" hidden="true">0.01</definedName>
    <definedName name="solver_adj" localSheetId="0" hidden="true">Sheet1!$B$3:$B$21</definedName>
    <definedName name="solver_mip" localSheetId="0" hidden="true">2147483647</definedName>
    <definedName name="solver_rhs1" localSheetId="0" hidden="true">binary</definedName>
    <definedName name="solver_rhs2" localSheetId="0" hidden="true">0</definedName>
    <definedName name="solver_sho" localSheetId="0" hidden="true">2</definedName>
    <definedName name="solver_cvg" localSheetId="0" hidden="true">0.0001</definedName>
    <definedName name="solver_rel2" localSheetId="0" hidden="true">3</definedName>
    <definedName name="solver_ssz" localSheetId="0" hidden="true">100</definedName>
    <definedName name="solver_lhs1" localSheetId="0" hidden="true">Sheet1!$B$3:$B$21</definedName>
    <definedName name="solver_eng" localSheetId="0" hidden="true">2</definedName>
    <definedName name="solver_lhs2" localSheetId="0" hidden="true">Sheet1!$K$2</definedName>
    <definedName name="solver_tim" localSheetId="0" hidden="true">2147483647</definedName>
    <definedName name="solver_typ" localSheetId="0" hidden="true">2</definedName>
    <definedName name="OpenSolver_DualsNewSheet" localSheetId="0" hidden="true">0</definedName>
    <definedName name="solver_num" localSheetId="0" hidden="true">2</definedName>
    <definedName name="solver_rsd" localSheetId="0" hidden="true">0</definedName>
    <definedName name="solver_mni" localSheetId="0" hidden="true">30</definedName>
    <definedName name="solver_rbv" localSheetId="0" hidden="true">2</definedName>
    <definedName name="solver_rlx" localSheetId="0" hidden="true">2</definedName>
    <definedName name="solver_pre" localSheetId="0" hidden="true">0.000001</definedName>
    <definedName name="solver_drv" localSheetId="0" hidden="true">2</definedName>
    <definedName name="solver_mrt" localSheetId="0" hidden="true">0.075</definedName>
    <definedName name="solver_msl" localSheetId="0" hidden="true">2</definedName>
    <definedName name="solver_nwt" localSheetId="0" hidden="true">1</definedName>
    <definedName name="solver_scl" localSheetId="0" hidden="true">2</definedName>
    <definedName name="solver_ver" localSheetId="0" hidden="true">3</definedName>
    <definedName name="OpenSolver_LinearityCheck" localSheetId="0" hidden="true">1</definedName>
    <definedName name="solver_est" localSheetId="0" hidden="true">1</definedName>
    <definedName name="solver_opt" localSheetId="0" hidden="true">Sheet1!$K$2</definedName>
    <definedName name="solver_rel1" localSheetId="0" hidden="true">5</definedName>
    <definedName name="solver_val" localSheetId="0" hidden="true">0</definedName>
    <definedName name="OpenSolver_ChosenSolver" localSheetId="0" hidden="true">CBC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/>
  <c r="H2" i="1"/>
</calcChain>
</file>

<file path=xl/sharedStrings.xml><?xml version="1.0" encoding="utf-8"?>
<sst xmlns="http://schemas.openxmlformats.org/spreadsheetml/2006/main" count="6" uniqueCount="6">
  <si>
    <t>Value</t>
  </si>
  <si>
    <t>Binaries</t>
  </si>
  <si>
    <t>Target value :</t>
  </si>
  <si>
    <t>Solver result</t>
  </si>
  <si>
    <t>Difference:</t>
  </si>
  <si>
    <t>Result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</si>
</sst>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1" applyNumberFormat="1" fontId="2" applyFont="1" fillId="2" applyFill="1" applyAlignment="1">
      <alignment/>
    </xf>
    <xf numFmtId="1" applyNumberFormat="1" fontId="2" applyFont="1" applyAlignment="1">
      <alignment/>
    </xf>
  </cellStyleXfs>
  <cellXfs count="6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4" quotePrefix="0" pivotButton="0" numFmtId="1" applyNumberFormat="1" fontId="2" applyFont="1" fillId="2" applyFill="1" applyAlignment="1">
      <alignment/>
    </xf>
    <xf xfId="5" quotePrefix="0" pivotButton="0" numFmtId="1" applyNumberFormat="1" fontId="2" applyFont="1" applyAlignment="1">
      <alignment/>
    </xf>
    <xf xfId="3" quotePrefix="0" pivotButton="0" numFmtId="1" applyNumberFormat="1" fontId="2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4" max="4" width="12.51" customWidth="1" hidden="0"/>
    <col min="6" max="6" width="8.42" customWidth="1" hidden="0"/>
    <col min="7" max="7" width="12.59" customWidth="1" hidden="0"/>
    <col min="9" max="9" width="6.62" customWidth="1" hidden="0"/>
    <col min="10" max="10" width="11.53" customWidth="1" hidden="0"/>
  </cols>
  <sheetData>
    <row r="2" ht="14.00" customHeight="true">
      <c r="A2" t="s" s="1">
        <v>0</v>
      </c>
      <c r="B2" t="s" s="1">
        <v>1</v>
      </c>
      <c r="D2" t="s" s="2">
        <v>2</v>
      </c>
      <c r="E2" s="3">
        <v>65477</v>
      </c>
      <c r="G2" t="s" s="2">
        <v>3</v>
      </c>
      <c r="H2" s="4">
        <f>SUMPRODUCT(A3:A21, B3:B21)</f>
        <v>3320</v>
      </c>
      <c r="J2" t="s" s="2">
        <v>4</v>
      </c>
      <c r="K2" s="4">
        <f>SUM(H2-E2)</f>
        <v>-62157</v>
      </c>
    </row>
    <row r="3" ht="14.00" customHeight="true">
      <c r="A3" s="5">
        <v>515</v>
      </c>
      <c r="B3" s="5">
        <v>1</v>
      </c>
    </row>
    <row r="4" ht="14.00" customHeight="true">
      <c r="A4" s="5">
        <v>2553</v>
      </c>
      <c r="B4" s="5">
        <v>1</v>
      </c>
      <c r="D4" t="s" s="2">
        <v>5</v>
      </c>
    </row>
    <row r="5" ht="14.00" customHeight="true">
      <c r="A5" s="5">
        <v>225</v>
      </c>
      <c r="B5" s="5">
        <v>1</v>
      </c>
      <c r="D5" s="4">
        <v>4848</v>
      </c>
    </row>
    <row r="6" ht="14.00" customHeight="true">
      <c r="A6" s="5">
        <v>27</v>
      </c>
      <c r="B6" s="5">
        <v>1</v>
      </c>
      <c r="D6" s="4">
        <v>4833</v>
      </c>
    </row>
    <row r="7" ht="14.00" customHeight="true">
      <c r="A7" s="5"/>
      <c r="B7" s="5">
        <v>0</v>
      </c>
      <c r="D7" s="4">
        <v>8599</v>
      </c>
    </row>
    <row r="8" ht="14.00" customHeight="true">
      <c r="A8" s="5"/>
      <c r="B8" s="5">
        <v>0</v>
      </c>
      <c r="D8" s="4">
        <v>8949</v>
      </c>
    </row>
    <row r="9" ht="14.00" customHeight="true">
      <c r="A9" s="5"/>
      <c r="B9" s="5">
        <v>1</v>
      </c>
      <c r="D9" s="4">
        <v>525</v>
      </c>
    </row>
    <row r="10" ht="14.00" customHeight="true">
      <c r="A10" s="5"/>
      <c r="B10" s="5">
        <v>0</v>
      </c>
      <c r="D10" s="4">
        <v>5555</v>
      </c>
    </row>
    <row r="11" ht="14.00" customHeight="true">
      <c r="A11" s="5"/>
      <c r="B11" s="5">
        <v>1</v>
      </c>
      <c r="D11" s="4">
        <v>2489</v>
      </c>
    </row>
    <row r="12" ht="14.00" customHeight="true">
      <c r="A12" s="5"/>
      <c r="B12" s="5">
        <v>1</v>
      </c>
      <c r="D12" s="4">
        <v>7764</v>
      </c>
    </row>
    <row r="13" ht="14.00" customHeight="true">
      <c r="A13" s="5"/>
      <c r="B13" s="5">
        <v>1</v>
      </c>
      <c r="D13" s="4">
        <v>8288</v>
      </c>
    </row>
    <row r="14" ht="14.00" customHeight="true">
      <c r="A14" s="5"/>
      <c r="B14" s="5">
        <v>1</v>
      </c>
      <c r="D14" s="4">
        <v>464</v>
      </c>
    </row>
    <row r="15" ht="14.00" customHeight="true">
      <c r="A15" s="5"/>
      <c r="B15" s="5">
        <v>0</v>
      </c>
      <c r="D15" s="4">
        <v>42</v>
      </c>
    </row>
    <row r="16" ht="14.00" customHeight="true">
      <c r="A16" s="5"/>
      <c r="B16" s="5">
        <v>1</v>
      </c>
      <c r="D16" s="4">
        <v>7727</v>
      </c>
    </row>
    <row r="17" ht="14.00" customHeight="true">
      <c r="A17" s="5"/>
      <c r="B17" s="5">
        <v>1</v>
      </c>
      <c r="D17" s="4">
        <v>4242</v>
      </c>
    </row>
    <row r="18" ht="14.00" customHeight="true">
      <c r="A18" s="5"/>
      <c r="B18" s="5">
        <v>1</v>
      </c>
      <c r="D18" s="4">
        <v>424</v>
      </c>
    </row>
    <row r="19" ht="14.00" customHeight="true">
      <c r="A19" s="5"/>
      <c r="B19" s="5">
        <v>1</v>
      </c>
      <c r="D19" s="4">
        <v>728</v>
      </c>
    </row>
    <row r="20" ht="14.00" customHeight="true">
      <c r="A20" s="5"/>
      <c r="B20" s="5">
        <v>1</v>
      </c>
    </row>
    <row r="21" ht="14.00" customHeight="true">
      <c r="A21" s="5"/>
      <c r="B21" s="5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2026-05-31T17:26:08Z</dcterms:created>
  <dcterms:modified xsi:type="dcterms:W3CDTF">2026-05-31T17:26:08Z</dcterms:modified>
</cp:coreProperties>
</file>