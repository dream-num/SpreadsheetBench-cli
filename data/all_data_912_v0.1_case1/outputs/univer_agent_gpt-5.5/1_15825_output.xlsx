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27D0BB3-F044-455C-906E-5530A400B60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ind and Filter" sheetId="1" r:id="rId1"/>
  </sheets>
  <definedNames>
    <definedName name="_xlnm._FilterDatabase" localSheetId="0" hidden="true">'Find and Filter'!$N$2:$S$48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1" i="1"/>
  <c r="N8" i="1"/>
  <c r="Q8" i="1"/>
  <c r="R8" i="1"/>
  <c r="S8" i="1"/>
  <c r="O8" i="1"/>
  <c r="P8" i="1"/>
  <c r="T8" i="1"/>
  <c r="T227" i="1"/>
  <c r="T170" i="1"/>
  <c r="T63" i="1"/>
  <c r="T73" i="1"/>
  <c r="T176" i="1"/>
  <c r="T213" i="1"/>
  <c r="N44" i="1"/>
  <c r="P44" i="1"/>
  <c r="Q44" i="1"/>
  <c r="R44" i="1"/>
  <c r="S44" i="1"/>
  <c r="T44" i="1"/>
  <c r="O44" i="1"/>
  <c r="T89" i="1"/>
  <c r="T14" i="1"/>
  <c r="N14" i="1"/>
  <c r="P14" i="1"/>
  <c r="Q14" i="1"/>
  <c r="R14" i="1"/>
  <c r="S14" i="1"/>
  <c r="O14" i="1"/>
  <c r="T138" i="1"/>
  <c r="T76" i="1"/>
  <c r="T191" i="1"/>
  <c r="T185" i="1"/>
  <c r="T147" i="1"/>
  <c r="T57" i="1"/>
  <c r="T100" i="1"/>
  <c r="P13" i="1"/>
  <c r="Q13" i="1"/>
  <c r="S13" i="1"/>
  <c r="R13" i="1"/>
  <c r="O13" i="1"/>
  <c r="T13" i="1"/>
  <c r="N13" i="1"/>
  <c r="T49" i="1"/>
  <c r="T133" i="1"/>
  <c r="T139" i="1"/>
  <c r="T174" i="1"/>
  <c r="T59" i="1"/>
  <c r="T194" i="1"/>
  <c r="T168" i="1"/>
  <c r="T195" i="1"/>
  <c r="T207" i="1"/>
  <c r="T85" i="1"/>
  <c r="T88" i="1"/>
  <c r="T39" i="1"/>
  <c r="N39" i="1"/>
  <c r="R39" i="1"/>
  <c r="S39" i="1"/>
  <c r="Q39" i="1"/>
  <c r="O39" i="1"/>
  <c r="P39" i="1"/>
  <c r="T62" i="1"/>
  <c r="R12" i="1"/>
  <c r="O12" i="1"/>
  <c r="S12" i="1"/>
  <c r="T12" i="1"/>
  <c r="P12" i="1"/>
  <c r="N12" i="1"/>
  <c r="Q12" i="1"/>
  <c r="N48" i="1"/>
  <c r="Q48" i="1"/>
  <c r="P48" i="1"/>
  <c r="R48" i="1"/>
  <c r="S48" i="1"/>
  <c r="O48" i="1"/>
  <c r="T48" i="1"/>
  <c r="T61" i="1"/>
  <c r="T75" i="1"/>
  <c r="N38" i="1"/>
  <c r="Q38" i="1"/>
  <c r="O38" i="1"/>
  <c r="T38" i="1"/>
  <c r="P38" i="1"/>
  <c r="S38" i="1"/>
  <c r="R38" i="1"/>
  <c r="T54" i="1"/>
  <c r="T130" i="1"/>
  <c r="T202" i="1"/>
  <c r="T145" i="1"/>
  <c r="T150" i="1"/>
  <c r="Q27" i="1"/>
  <c r="N27" i="1"/>
  <c r="O27" i="1"/>
  <c r="P27" i="1"/>
  <c r="R27" i="1"/>
  <c r="T27" i="1"/>
  <c r="S27" i="1"/>
  <c r="O28" i="1"/>
  <c r="R28" i="1"/>
  <c r="N28" i="1"/>
  <c r="Q28" i="1"/>
  <c r="S28" i="1"/>
  <c r="T28" i="1"/>
  <c r="P28" i="1"/>
  <c r="T118" i="1"/>
  <c r="N3" i="1"/>
  <c r="S3" i="1"/>
  <c r="T3" i="1"/>
  <c r="O3" i="1"/>
  <c r="P3" i="1"/>
  <c r="Q3" i="1"/>
  <c r="R3" i="1"/>
  <c r="T224" i="1"/>
  <c r="S10" i="1"/>
  <c r="O10" i="1"/>
  <c r="R10" i="1"/>
  <c r="P10" i="1"/>
  <c r="T10" i="1"/>
  <c r="N10" i="1"/>
  <c r="Q10" i="1"/>
  <c r="T113" i="1"/>
  <c r="O29" i="1"/>
  <c r="P29" i="1"/>
  <c r="Q29" i="1"/>
  <c r="S29" i="1"/>
  <c r="R29" i="1"/>
  <c r="T29" i="1"/>
  <c r="N29" i="1"/>
  <c r="T167" i="1"/>
  <c r="T196" i="1"/>
  <c r="T105" i="1"/>
  <c r="T83" i="1"/>
  <c r="T116" i="1"/>
  <c r="R32" i="1"/>
  <c r="T32" i="1"/>
  <c r="S32" i="1"/>
  <c r="N32" i="1"/>
  <c r="O32" i="1"/>
  <c r="P32" i="1"/>
  <c r="Q32" i="1"/>
  <c r="T74" i="1"/>
  <c r="O35" i="1"/>
  <c r="N35" i="1"/>
  <c r="S35" i="1"/>
  <c r="Q35" i="1"/>
  <c r="R35" i="1"/>
  <c r="T35" i="1"/>
  <c r="P35" i="1"/>
  <c r="T119" i="1"/>
  <c r="T171" i="1"/>
  <c r="T129" i="1"/>
  <c r="Q45" i="1"/>
  <c r="O45" i="1"/>
  <c r="S45" i="1"/>
  <c r="N45" i="1"/>
  <c r="P45" i="1"/>
  <c r="R45" i="1"/>
  <c r="T45" i="1"/>
  <c r="T156" i="1"/>
  <c r="O6" i="1"/>
  <c r="Q6" i="1"/>
  <c r="N6" i="1"/>
  <c r="T6" i="1"/>
  <c r="P6" i="1"/>
  <c r="S6" i="1"/>
  <c r="R6" i="1"/>
  <c r="O11" i="1"/>
  <c r="R11" i="1"/>
  <c r="Q11" i="1"/>
  <c r="S11" i="1"/>
  <c r="T11" i="1"/>
  <c r="P11" i="1"/>
  <c r="N11" i="1"/>
  <c r="T102" i="1"/>
  <c r="T122" i="1"/>
  <c r="T87" i="1"/>
  <c r="P37" i="1"/>
  <c r="R37" i="1"/>
  <c r="S37" i="1"/>
  <c r="T37" i="1"/>
  <c r="N37" i="1"/>
  <c r="O37" i="1"/>
  <c r="Q37" i="1"/>
  <c r="T209" i="1"/>
  <c r="T60" i="1"/>
  <c r="S5" i="1"/>
  <c r="Q5" i="1"/>
  <c r="T5" i="1"/>
  <c r="N5" i="1"/>
  <c r="O5" i="1"/>
  <c r="R5" i="1"/>
  <c r="P5" i="1"/>
  <c r="R43" i="1"/>
  <c r="N43" i="1"/>
  <c r="S43" i="1"/>
  <c r="T43" i="1"/>
  <c r="O43" i="1"/>
  <c r="P43" i="1"/>
  <c r="Q43" i="1"/>
  <c r="T192" i="1"/>
  <c r="T225" i="1"/>
  <c r="O31" i="1"/>
  <c r="N31" i="1"/>
  <c r="P31" i="1"/>
  <c r="Q31" i="1"/>
  <c r="T31" i="1"/>
  <c r="R31" i="1"/>
  <c r="S31" i="1"/>
  <c r="S22" i="1"/>
  <c r="N22" i="1"/>
  <c r="O22" i="1"/>
  <c r="Q22" i="1"/>
  <c r="T22" i="1"/>
  <c r="P22" i="1"/>
  <c r="R22" i="1"/>
  <c r="T161" i="1"/>
  <c r="T93" i="1"/>
  <c r="T165" i="1"/>
  <c r="T109" i="1"/>
  <c r="T66" i="1"/>
  <c r="N4" i="1"/>
  <c r="S4" i="1"/>
  <c r="Q4" i="1"/>
  <c r="O4" i="1"/>
  <c r="P4" i="1"/>
  <c r="R4" i="1"/>
  <c r="T4" i="1"/>
  <c r="T182" i="1"/>
  <c r="T200" i="1"/>
  <c r="T152" i="1"/>
  <c r="T86" i="1"/>
  <c r="T50" i="1"/>
  <c r="T228" i="1"/>
  <c r="R30" i="1"/>
  <c r="P30" i="1"/>
  <c r="Q30" i="1"/>
  <c r="S30" i="1"/>
  <c r="N30" i="1"/>
  <c r="T30" i="1"/>
  <c r="O30" i="1"/>
  <c r="T188" i="1"/>
  <c r="N20" i="1"/>
  <c r="O20" i="1"/>
  <c r="Q20" i="1"/>
  <c r="S20" i="1"/>
  <c r="P20" i="1"/>
  <c r="T20" i="1"/>
  <c r="R20" i="1"/>
  <c r="T127" i="1"/>
  <c r="T208" i="1"/>
  <c r="T120" i="1"/>
  <c r="T123" i="1"/>
  <c r="T205" i="1"/>
  <c r="T112" i="1"/>
  <c r="O34" i="1"/>
  <c r="P34" i="1"/>
  <c r="N34" i="1"/>
  <c r="S34" i="1"/>
  <c r="T34" i="1"/>
  <c r="Q34" i="1"/>
  <c r="R34" i="1"/>
  <c r="N15" i="1"/>
  <c r="O15" i="1"/>
  <c r="T15" i="1"/>
  <c r="S15" i="1"/>
  <c r="Q15" i="1"/>
  <c r="R15" i="1"/>
  <c r="P15" i="1"/>
  <c r="S46" i="1"/>
  <c r="N46" i="1"/>
  <c r="O46" i="1"/>
  <c r="Q46" i="1"/>
  <c r="T46" i="1"/>
  <c r="P46" i="1"/>
  <c r="R46" i="1"/>
  <c r="T222" i="1"/>
  <c r="T144" i="1"/>
  <c r="T160" i="1"/>
  <c r="T220" i="1"/>
  <c r="R41" i="1"/>
  <c r="N41" i="1"/>
  <c r="Q41" i="1"/>
  <c r="T41" i="1"/>
  <c r="S41" i="1"/>
  <c r="O41" i="1"/>
  <c r="P41" i="1"/>
  <c r="T135" i="1"/>
  <c r="T159" i="1"/>
  <c r="T72" i="1"/>
  <c r="T97" i="1"/>
  <c r="T65" i="1"/>
  <c r="T172" i="1"/>
  <c r="T206" i="1"/>
  <c r="T134" i="1"/>
  <c r="T221" i="1"/>
  <c r="T52" i="1"/>
  <c r="T180" i="1"/>
  <c r="T117" i="1"/>
  <c r="T210" i="1"/>
  <c r="T78" i="1"/>
  <c r="T92" i="1"/>
  <c r="N26" i="1"/>
  <c r="P26" i="1"/>
  <c r="O26" i="1"/>
  <c r="Q26" i="1"/>
  <c r="R26" i="1"/>
  <c r="T26" i="1"/>
  <c r="S26" i="1"/>
  <c r="T216" i="1"/>
  <c r="T149" i="1"/>
  <c r="T148" i="1"/>
  <c r="T143" i="1"/>
  <c r="T215" i="1"/>
  <c r="T96" i="1"/>
  <c r="T70" i="1"/>
  <c r="O33" i="1"/>
  <c r="Q33" i="1"/>
  <c r="R33" i="1"/>
  <c r="T33" i="1"/>
  <c r="P33" i="1"/>
  <c r="S33" i="1"/>
  <c r="N33" i="1"/>
  <c r="T103" i="1"/>
  <c r="T140" i="1"/>
  <c r="T79" i="1"/>
  <c r="T53" i="1"/>
  <c r="T184" i="1"/>
  <c r="T186" i="1"/>
  <c r="N42" i="1"/>
  <c r="Q42" i="1"/>
  <c r="P42" i="1"/>
  <c r="S42" i="1"/>
  <c r="T42" i="1"/>
  <c r="O42" i="1"/>
  <c r="R42" i="1"/>
  <c r="T121" i="1"/>
  <c r="T111" i="1"/>
  <c r="T104" i="1"/>
  <c r="T95" i="1"/>
  <c r="O47" i="1"/>
  <c r="P47" i="1"/>
  <c r="S47" i="1"/>
  <c r="N47" i="1"/>
  <c r="Q47" i="1"/>
  <c r="T47" i="1"/>
  <c r="R47" i="1"/>
  <c r="T163" i="1"/>
  <c r="S7" i="1"/>
  <c r="O7" i="1"/>
  <c r="Q7" i="1"/>
  <c r="T7" i="1"/>
  <c r="P7" i="1"/>
  <c r="N7" i="1"/>
  <c r="R7" i="1"/>
  <c r="T142" i="1"/>
  <c r="T187" i="1"/>
  <c r="P17" i="1"/>
  <c r="R17" i="1"/>
  <c r="N17" i="1"/>
  <c r="S17" i="1"/>
  <c r="O17" i="1"/>
  <c r="Q17" i="1"/>
  <c r="T17" i="1"/>
  <c r="T223" i="1"/>
  <c r="T198" i="1"/>
  <c r="T193" i="1"/>
  <c r="T189" i="1"/>
  <c r="T56" i="1"/>
  <c r="T169" i="1"/>
  <c r="T84" i="1"/>
  <c r="P16" i="1"/>
  <c r="R16" i="1"/>
  <c r="O16" i="1"/>
  <c r="N16" i="1"/>
  <c r="S16" i="1"/>
  <c r="T16" i="1"/>
  <c r="Q16" i="1"/>
  <c r="T177" i="1"/>
  <c r="T212" i="1"/>
  <c r="T67" i="1"/>
  <c r="T136" i="1"/>
  <c r="T218" i="1"/>
  <c r="T178" i="1"/>
  <c r="T219" i="1"/>
  <c r="T115" i="1"/>
  <c r="T51" i="1"/>
  <c r="T90" i="1"/>
  <c r="T153" i="1"/>
  <c r="T204" i="1"/>
  <c r="T141" i="1"/>
  <c r="Q25" i="1"/>
  <c r="P25" i="1"/>
  <c r="S25" i="1"/>
  <c r="T25" i="1"/>
  <c r="R25" i="1"/>
  <c r="N25" i="1"/>
  <c r="O25" i="1"/>
  <c r="O21" i="1"/>
  <c r="N21" i="1"/>
  <c r="Q21" i="1"/>
  <c r="R21" i="1"/>
  <c r="T21" i="1"/>
  <c r="P21" i="1"/>
  <c r="S21" i="1"/>
  <c r="T107" i="1"/>
  <c r="T82" i="1"/>
  <c r="T201" i="1"/>
  <c r="T71" i="1"/>
  <c r="P24" i="1"/>
  <c r="Q24" i="1"/>
  <c r="R24" i="1"/>
  <c r="T24" i="1"/>
  <c r="S24" i="1"/>
  <c r="N24" i="1"/>
  <c r="O24" i="1"/>
  <c r="T80" i="1"/>
  <c r="O36" i="1"/>
  <c r="R36" i="1"/>
  <c r="S36" i="1"/>
  <c r="N36" i="1"/>
  <c r="T36" i="1"/>
  <c r="P36" i="1"/>
  <c r="Q36" i="1"/>
  <c r="T154" i="1"/>
  <c r="T99" i="1"/>
  <c r="T190" i="1"/>
  <c r="T110" i="1"/>
  <c r="T137" i="1"/>
  <c r="T126" i="1"/>
  <c r="T77" i="1"/>
  <c r="T81" i="1"/>
  <c r="T151" i="1"/>
  <c r="T132" i="1"/>
  <c r="T69" i="1"/>
  <c r="T166" i="1"/>
  <c r="T211" i="1"/>
  <c r="T155" i="1"/>
  <c r="T181" i="1"/>
  <c r="T55" i="1"/>
  <c r="T40" i="1"/>
  <c r="R40" i="1"/>
  <c r="P40" i="1"/>
  <c r="S40" i="1"/>
  <c r="Q40" i="1"/>
  <c r="N40" i="1"/>
  <c r="O40" i="1"/>
  <c r="T91" i="1"/>
  <c r="Q18" i="1"/>
  <c r="T18" i="1"/>
  <c r="S18" i="1"/>
  <c r="N18" i="1"/>
  <c r="R18" i="1"/>
  <c r="P18" i="1"/>
  <c r="O18" i="1"/>
  <c r="T114" i="1"/>
  <c r="T68" i="1"/>
  <c r="T157" i="1"/>
  <c r="T128" i="1"/>
  <c r="T203" i="1"/>
  <c r="T131" i="1"/>
  <c r="T106" i="1"/>
  <c r="T179" i="1"/>
  <c r="T146" i="1"/>
  <c r="T125" i="1"/>
  <c r="T162" i="1"/>
  <c r="T230" i="1"/>
  <c r="T214" i="1"/>
  <c r="T108" i="1"/>
  <c r="T199" i="1"/>
  <c r="T229" i="1"/>
  <c r="T158" i="1"/>
  <c r="T58" i="1"/>
  <c r="T175" i="1"/>
  <c r="O9" i="1"/>
  <c r="R9" i="1"/>
  <c r="T9" i="1"/>
  <c r="P9" i="1"/>
  <c r="Q9" i="1"/>
  <c r="S9" i="1"/>
  <c r="N9" i="1"/>
  <c r="P23" i="1"/>
  <c r="Q23" i="1"/>
  <c r="R23" i="1"/>
  <c r="T23" i="1"/>
  <c r="N23" i="1"/>
  <c r="O23" i="1"/>
  <c r="S23" i="1"/>
  <c r="T164" i="1"/>
  <c r="P19" i="1"/>
  <c r="Q19" i="1"/>
  <c r="T19" i="1"/>
  <c r="N19" i="1"/>
  <c r="R19" i="1"/>
  <c r="S19" i="1"/>
  <c r="O19" i="1"/>
  <c r="T124" i="1"/>
  <c r="T183" i="1"/>
  <c r="T94" i="1"/>
  <c r="T173" i="1"/>
  <c r="T217" i="1"/>
  <c r="T226" i="1"/>
  <c r="T64" i="1"/>
  <c r="T197" i="1"/>
  <c r="T9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<sst xmlns="http://schemas.openxmlformats.org/spreadsheetml/2006/main" count="295" uniqueCount="12">
  <si>
    <t>Input (Full List)</t>
  </si>
  <si>
    <t>Search By</t>
  </si>
  <si>
    <t>Output (Filtered List)</t>
  </si>
  <si>
    <t>Date</t>
  </si>
  <si>
    <t>Series</t>
  </si>
  <si>
    <t>TDTE</t>
  </si>
  <si>
    <t>Level</t>
  </si>
  <si>
    <t>Amount</t>
  </si>
  <si>
    <t>DFC</t>
  </si>
  <si>
    <t>ABC</t>
  </si>
  <si>
    <t>DEF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</si>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</sst>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-YY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borderId="2" applyBorder="1" applyAlignment="1">
      <alignment horizontal="center"/>
    </xf>
    <xf numFmtId="1" applyNumberFormat="1" fontId="1" applyFont="1" borderId="3" applyBorder="1" applyAlignment="1">
      <alignment horizontal="center"/>
    </xf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borderId="4" applyBorder="1" applyAlignment="1">
      <alignment horizontal="center"/>
    </xf>
  </cellStyleXfs>
  <cellXfs count="8">
    <xf numFmtId="0" fontId="0" fillId="0" borderId="0" xfId="0"/>
    <xf xfId="6" quotePrefix="0" pivotButton="0" numFmtId="1" applyNumberFormat="1" fontId="1" applyFont="1" borderId="4" applyBorder="1" applyAlignment="1">
      <alignment horizontal="center"/>
    </xf>
    <xf xfId="1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1" applyFont="1" borderId="2" applyBorder="1" applyAlignment="1">
      <alignment horizontal="center"/>
    </xf>
    <xf xfId="3" quotePrefix="0" pivotButton="0" numFmtId="1" applyNumberFormat="1" fontId="1" applyFont="1" borderId="3" applyBorder="1" applyAlignment="1">
      <alignment horizontal="center"/>
    </xf>
    <xf xfId="5" quotePrefix="0" pivotButton="0" numFmtId="2" applyNumberFormat="1" fontId="1" applyFont="1" applyAlignment="1">
      <alignment/>
    </xf>
    <xf xfId="4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20" max="20" width="7.94" customWidth="1" hidden="1"/>
  </cols>
  <sheetData>
    <row r="1" ht="14.00" customHeight="true">
      <c r="A1" t="s" s="1">
        <v>0</v>
      </c>
      <c r="B1" s="2"/>
      <c r="C1" s="2"/>
      <c r="D1" s="2"/>
      <c r="E1" s="2"/>
      <c r="F1" s="3"/>
      <c r="I1" t="s" s="1">
        <v>1</v>
      </c>
      <c r="J1" s="2"/>
      <c r="K1" s="3"/>
      <c r="N1" t="s" s="1">
        <v>2</v>
      </c>
      <c r="O1" s="2"/>
      <c r="P1" s="2"/>
      <c r="Q1" s="2"/>
      <c r="R1" s="2"/>
      <c r="S1" s="3"/>
    </row>
    <row r="2" ht="14.00" customHeight="true">
      <c r="A2" t="s" s="4">
        <v>3</v>
      </c>
      <c r="B2" t="s" s="4">
        <v>4</v>
      </c>
      <c r="C2" t="s" s="4">
        <v>5</v>
      </c>
      <c r="D2" t="s" s="4">
        <v>6</v>
      </c>
      <c r="E2" t="s" s="4">
        <v>7</v>
      </c>
      <c r="F2" t="s" s="4">
        <v>8</v>
      </c>
      <c r="I2" t="s" s="4">
        <v>4</v>
      </c>
      <c r="J2" t="s" s="4">
        <v>5</v>
      </c>
      <c r="K2" t="s" s="4">
        <v>6</v>
      </c>
      <c r="N2" t="s" s="4">
        <v>3</v>
      </c>
      <c r="O2" t="s" s="4">
        <v>4</v>
      </c>
      <c r="P2" t="s" s="4">
        <v>5</v>
      </c>
      <c r="Q2" t="s" s="4">
        <v>6</v>
      </c>
      <c r="R2" t="s" s="4">
        <v>7</v>
      </c>
      <c r="S2" t="s" s="4">
        <v>8</v>
      </c>
    </row>
    <row r="3" ht="14.00" customHeight="true">
      <c r="A3" s="5">
        <v>41640</v>
      </c>
      <c r="B3" t="s" s="6">
        <v>9</v>
      </c>
      <c r="C3" s="6">
        <v>21</v>
      </c>
      <c r="D3" s="6">
        <v>895</v>
      </c>
      <c r="E3" s="6">
        <v>81</v>
      </c>
      <c r="F3" s="6">
        <v>-100</v>
      </c>
      <c r="I3" t="s" s="6">
        <v>9</v>
      </c>
      <c r="J3" s="6">
        <v>18</v>
      </c>
      <c r="K3" s="6">
        <v>885</v>
      </c>
      <c r="N3" cm="1" s="5">
        <f t="array" ref="N3">IFERROR(INDEX(A$3:A$230,SMALL(IF($T$3:$T$230,ROW($T$3:$T$230)-ROW($T$3)+1),ROWS($N$3:N3))),"")</f>
        <v>41643</v>
      </c>
      <c r="O3" cm="1" s="6" t="s">
        <f t="array" ref="O3">IFERROR(INDEX(B$3:B$230,SMALL(IF($T$3:$T$230,ROW($T$3:$T$230)-ROW($T$3)+1),ROWS($N$3:N3))),"")</f>
        <v>9</v>
      </c>
      <c r="P3" cm="1" s="6">
        <f t="array" ref="P3">IFERROR(INDEX(C$3:C$230,SMALL(IF($T$3:$T$230,ROW($T$3:$T$230)-ROW($T$3)+1),ROWS($N$3:N3))),"")</f>
        <v>18</v>
      </c>
      <c r="Q3" cm="1" s="6">
        <f t="array" ref="Q3">IFERROR(INDEX(D$3:D$230,SMALL(IF($T$3:$T$230,ROW($T$3:$T$230)-ROW($T$3)+1),ROWS($N$3:N3))),"")</f>
        <v>885</v>
      </c>
      <c r="R3" cm="1" s="6">
        <f t="array" ref="R3">IFERROR(INDEX(E$3:E$230,SMALL(IF($T$3:$T$230,ROW($T$3:$T$230)-ROW($T$3)+1),ROWS($N$3:N3))),"")</f>
        <v>85</v>
      </c>
      <c r="S3" cm="1" s="6">
        <f t="array" ref="S3">IFERROR(INDEX(F$3:F$230,SMALL(IF($T$3:$T$230,ROW($T$3:$T$230)-ROW($T$3)+1),ROWS($N$3:N3))),"")</f>
        <v>0</v>
      </c>
      <c r="T3" cm="1" s="7" t="b">
        <f t="array" ref="T3">SUMPRODUCT(($I$3:$I$5=B3)*($K$3:$K$5=D3)*($J$3:$J$5&gt;=C3))&gt;0</f>
        <v>0</v>
      </c>
    </row>
    <row r="4" ht="14.00" customHeight="true">
      <c r="A4" s="5">
        <v>41640</v>
      </c>
      <c r="B4" t="s" s="6">
        <v>9</v>
      </c>
      <c r="C4" s="6">
        <v>21</v>
      </c>
      <c r="D4" s="6">
        <v>890</v>
      </c>
      <c r="E4" s="6">
        <v>66</v>
      </c>
      <c r="F4" s="6">
        <v>-50</v>
      </c>
      <c r="I4" t="s" s="6">
        <v>10</v>
      </c>
      <c r="J4" s="6">
        <v>47</v>
      </c>
      <c r="K4" s="6">
        <v>885</v>
      </c>
      <c r="N4" cm="1" s="5">
        <f t="array" ref="N4">IFERROR(INDEX(A$3:A$230,SMALL(IF($T$3:$T$230,ROW($T$3:$T$230)-ROW($T$3)+1),ROWS($N$3:N4))),"")</f>
        <v>41644</v>
      </c>
      <c r="O4" cm="1" s="6" t="s">
        <f t="array" ref="O4">IFERROR(INDEX(B$3:B$230,SMALL(IF($T$3:$T$230,ROW($T$3:$T$230)-ROW($T$3)+1),ROWS($N$3:N4))),"")</f>
        <v>9</v>
      </c>
      <c r="P4" cm="1" s="6">
        <f t="array" ref="P4">IFERROR(INDEX(C$3:C$230,SMALL(IF($T$3:$T$230,ROW($T$3:$T$230)-ROW($T$3)+1),ROWS($N$3:N4))),"")</f>
        <v>17</v>
      </c>
      <c r="Q4" cm="1" s="6">
        <f t="array" ref="Q4">IFERROR(INDEX(D$3:D$230,SMALL(IF($T$3:$T$230,ROW($T$3:$T$230)-ROW($T$3)+1),ROWS($N$3:N4))),"")</f>
        <v>885</v>
      </c>
      <c r="R4" cm="1" s="6">
        <f t="array" ref="R4">IFERROR(INDEX(E$3:E$230,SMALL(IF($T$3:$T$230,ROW($T$3:$T$230)-ROW($T$3)+1),ROWS($N$3:N4))),"")</f>
        <v>85</v>
      </c>
      <c r="S4" cm="1" s="6">
        <f t="array" ref="S4">IFERROR(INDEX(F$3:F$230,SMALL(IF($T$3:$T$230,ROW($T$3:$T$230)-ROW($T$3)+1),ROWS($N$3:N4))),"")</f>
        <v>0</v>
      </c>
      <c r="T4" cm="1" s="7" t="b">
        <f t="array" ref="T4">SUMPRODUCT(($I$3:$I$5=B4)*($K$3:$K$5=D4)*($J$3:$J$5&gt;=C4))&gt;0</f>
        <v>0</v>
      </c>
    </row>
    <row r="5" ht="14.00" customHeight="true">
      <c r="A5" s="5">
        <v>41640</v>
      </c>
      <c r="B5" t="s" s="6">
        <v>9</v>
      </c>
      <c r="C5" s="6">
        <v>21</v>
      </c>
      <c r="D5" s="6">
        <v>885</v>
      </c>
      <c r="E5" s="6">
        <v>65</v>
      </c>
      <c r="F5" s="6">
        <v>0</v>
      </c>
      <c r="I5" t="s" s="6">
        <v>11</v>
      </c>
      <c r="J5" s="6">
        <v>77</v>
      </c>
      <c r="K5" s="6">
        <v>885</v>
      </c>
      <c r="N5" cm="1" s="5">
        <f t="array" ref="N5">IFERROR(INDEX(A$3:A$230,SMALL(IF($T$3:$T$230,ROW($T$3:$T$230)-ROW($T$3)+1),ROWS($N$3:N5))),"")</f>
        <v>41644</v>
      </c>
      <c r="O5" cm="1" s="6" t="s">
        <f t="array" ref="O5">IFERROR(INDEX(B$3:B$230,SMALL(IF($T$3:$T$230,ROW($T$3:$T$230)-ROW($T$3)+1),ROWS($N$3:N5))),"")</f>
        <v>10</v>
      </c>
      <c r="P5" cm="1" s="6">
        <f t="array" ref="P5">IFERROR(INDEX(C$3:C$230,SMALL(IF($T$3:$T$230,ROW($T$3:$T$230)-ROW($T$3)+1),ROWS($N$3:N5))),"")</f>
        <v>47</v>
      </c>
      <c r="Q5" cm="1" s="6">
        <f t="array" ref="Q5">IFERROR(INDEX(D$3:D$230,SMALL(IF($T$3:$T$230,ROW($T$3:$T$230)-ROW($T$3)+1),ROWS($N$3:N5))),"")</f>
        <v>885</v>
      </c>
      <c r="R5" cm="1" s="6">
        <f t="array" ref="R5">IFERROR(INDEX(E$3:E$230,SMALL(IF($T$3:$T$230,ROW($T$3:$T$230)-ROW($T$3)+1),ROWS($N$3:N5))),"")</f>
        <v>89</v>
      </c>
      <c r="S5" cm="1" s="6">
        <f t="array" ref="S5">IFERROR(INDEX(F$3:F$230,SMALL(IF($T$3:$T$230,ROW($T$3:$T$230)-ROW($T$3)+1),ROWS($N$3:N5))),"")</f>
        <v>0</v>
      </c>
      <c r="T5" cm="1" s="7" t="b">
        <f t="array" ref="T5">SUMPRODUCT(($I$3:$I$5=B5)*($K$3:$K$5=D5)*($J$3:$J$5&gt;=C5))&gt;0</f>
        <v>0</v>
      </c>
    </row>
    <row r="6" ht="14.00" customHeight="true">
      <c r="A6" s="5">
        <v>41640</v>
      </c>
      <c r="B6" t="s" s="6">
        <v>9</v>
      </c>
      <c r="C6" s="6">
        <v>21</v>
      </c>
      <c r="D6" s="6">
        <v>880</v>
      </c>
      <c r="E6" s="6">
        <v>58</v>
      </c>
      <c r="F6" s="6">
        <v>50</v>
      </c>
      <c r="N6" cm="1" s="5">
        <f t="array" ref="N6">IFERROR(INDEX(A$3:A$230,SMALL(IF($T$3:$T$230,ROW($T$3:$T$230)-ROW($T$3)+1),ROWS($N$3:N6))),"")</f>
        <v>41644</v>
      </c>
      <c r="O6" cm="1" s="6" t="s">
        <f t="array" ref="O6">IFERROR(INDEX(B$3:B$230,SMALL(IF($T$3:$T$230,ROW($T$3:$T$230)-ROW($T$3)+1),ROWS($N$3:N6))),"")</f>
        <v>11</v>
      </c>
      <c r="P6" cm="1" s="6">
        <f t="array" ref="P6">IFERROR(INDEX(C$3:C$230,SMALL(IF($T$3:$T$230,ROW($T$3:$T$230)-ROW($T$3)+1),ROWS($N$3:N6))),"")</f>
        <v>77</v>
      </c>
      <c r="Q6" cm="1" s="6">
        <f t="array" ref="Q6">IFERROR(INDEX(D$3:D$230,SMALL(IF($T$3:$T$230,ROW($T$3:$T$230)-ROW($T$3)+1),ROWS($N$3:N6))),"")</f>
        <v>885</v>
      </c>
      <c r="R6" cm="1" s="6">
        <f t="array" ref="R6">IFERROR(INDEX(E$3:E$230,SMALL(IF($T$3:$T$230,ROW($T$3:$T$230)-ROW($T$3)+1),ROWS($N$3:N6))),"")</f>
        <v>77</v>
      </c>
      <c r="S6" cm="1" s="6">
        <f t="array" ref="S6">IFERROR(INDEX(F$3:F$230,SMALL(IF($T$3:$T$230,ROW($T$3:$T$230)-ROW($T$3)+1),ROWS($N$3:N6))),"")</f>
        <v>0</v>
      </c>
      <c r="T6" cm="1" s="7" t="b">
        <f t="array" ref="T6">SUMPRODUCT(($I$3:$I$5=B6)*($K$3:$K$5=D6)*($J$3:$J$5&gt;=C6))&gt;0</f>
        <v>0</v>
      </c>
    </row>
    <row r="7" ht="14.00" customHeight="true">
      <c r="A7" s="5">
        <v>41640</v>
      </c>
      <c r="B7" t="s" s="6">
        <v>10</v>
      </c>
      <c r="C7" s="6">
        <v>51</v>
      </c>
      <c r="D7" s="6">
        <v>895</v>
      </c>
      <c r="E7" s="6">
        <v>93</v>
      </c>
      <c r="F7" s="6">
        <v>-100</v>
      </c>
      <c r="N7" cm="1" s="5">
        <f t="array" ref="N7">IFERROR(INDEX(A$3:A$230,SMALL(IF($T$3:$T$230,ROW($T$3:$T$230)-ROW($T$3)+1),ROWS($N$3:N7))),"")</f>
        <v>41645</v>
      </c>
      <c r="O7" cm="1" s="6" t="s">
        <f t="array" ref="O7">IFERROR(INDEX(B$3:B$230,SMALL(IF($T$3:$T$230,ROW($T$3:$T$230)-ROW($T$3)+1),ROWS($N$3:N7))),"")</f>
        <v>9</v>
      </c>
      <c r="P7" cm="1" s="6">
        <f t="array" ref="P7">IFERROR(INDEX(C$3:C$230,SMALL(IF($T$3:$T$230,ROW($T$3:$T$230)-ROW($T$3)+1),ROWS($N$3:N7))),"")</f>
        <v>16</v>
      </c>
      <c r="Q7" cm="1" s="6">
        <f t="array" ref="Q7">IFERROR(INDEX(D$3:D$230,SMALL(IF($T$3:$T$230,ROW($T$3:$T$230)-ROW($T$3)+1),ROWS($N$3:N7))),"")</f>
        <v>885</v>
      </c>
      <c r="R7" cm="1" s="6">
        <f t="array" ref="R7">IFERROR(INDEX(E$3:E$230,SMALL(IF($T$3:$T$230,ROW($T$3:$T$230)-ROW($T$3)+1),ROWS($N$3:N7))),"")</f>
        <v>85</v>
      </c>
      <c r="S7" cm="1" s="6">
        <f t="array" ref="S7">IFERROR(INDEX(F$3:F$230,SMALL(IF($T$3:$T$230,ROW($T$3:$T$230)-ROW($T$3)+1),ROWS($N$3:N7))),"")</f>
        <v>0</v>
      </c>
      <c r="T7" cm="1" s="7" t="b">
        <f t="array" ref="T7">SUMPRODUCT(($I$3:$I$5=B7)*($K$3:$K$5=D7)*($J$3:$J$5&gt;=C7))&gt;0</f>
        <v>0</v>
      </c>
    </row>
    <row r="8" ht="14.00" customHeight="true">
      <c r="A8" s="5">
        <v>41640</v>
      </c>
      <c r="B8" t="s" s="6">
        <v>10</v>
      </c>
      <c r="C8" s="6">
        <v>51</v>
      </c>
      <c r="D8" s="6">
        <v>890</v>
      </c>
      <c r="E8" s="6">
        <v>76</v>
      </c>
      <c r="F8" s="6">
        <v>-50</v>
      </c>
      <c r="N8" cm="1" s="5">
        <f t="array" ref="N8">IFERROR(INDEX(A$3:A$230,SMALL(IF($T$3:$T$230,ROW($T$3:$T$230)-ROW($T$3)+1),ROWS($N$3:N8))),"")</f>
        <v>41645</v>
      </c>
      <c r="O8" cm="1" s="6" t="s">
        <f t="array" ref="O8">IFERROR(INDEX(B$3:B$230,SMALL(IF($T$3:$T$230,ROW($T$3:$T$230)-ROW($T$3)+1),ROWS($N$3:N8))),"")</f>
        <v>10</v>
      </c>
      <c r="P8" cm="1" s="6">
        <f t="array" ref="P8">IFERROR(INDEX(C$3:C$230,SMALL(IF($T$3:$T$230,ROW($T$3:$T$230)-ROW($T$3)+1),ROWS($N$3:N8))),"")</f>
        <v>46</v>
      </c>
      <c r="Q8" cm="1" s="6">
        <f t="array" ref="Q8">IFERROR(INDEX(D$3:D$230,SMALL(IF($T$3:$T$230,ROW($T$3:$T$230)-ROW($T$3)+1),ROWS($N$3:N8))),"")</f>
        <v>885</v>
      </c>
      <c r="R8" cm="1" s="6">
        <f t="array" ref="R8">IFERROR(INDEX(E$3:E$230,SMALL(IF($T$3:$T$230,ROW($T$3:$T$230)-ROW($T$3)+1),ROWS($N$3:N8))),"")</f>
        <v>89</v>
      </c>
      <c r="S8" cm="1" s="6">
        <f t="array" ref="S8">IFERROR(INDEX(F$3:F$230,SMALL(IF($T$3:$T$230,ROW($T$3:$T$230)-ROW($T$3)+1),ROWS($N$3:N8))),"")</f>
        <v>0</v>
      </c>
      <c r="T8" cm="1" s="7" t="b">
        <f t="array" ref="T8">SUMPRODUCT(($I$3:$I$5=B8)*($K$3:$K$5=D8)*($J$3:$J$5&gt;=C8))&gt;0</f>
        <v>0</v>
      </c>
    </row>
    <row r="9" ht="14.00" customHeight="true">
      <c r="A9" s="5">
        <v>41640</v>
      </c>
      <c r="B9" t="s" s="6">
        <v>10</v>
      </c>
      <c r="C9" s="6">
        <v>51</v>
      </c>
      <c r="D9" s="6">
        <v>885</v>
      </c>
      <c r="E9" s="6">
        <v>51</v>
      </c>
      <c r="F9" s="6">
        <v>0</v>
      </c>
      <c r="N9" cm="1" s="5">
        <f t="array" ref="N9">IFERROR(INDEX(A$3:A$230,SMALL(IF($T$3:$T$230,ROW($T$3:$T$230)-ROW($T$3)+1),ROWS($N$3:N9))),"")</f>
        <v>41645</v>
      </c>
      <c r="O9" cm="1" s="6" t="s">
        <f t="array" ref="O9">IFERROR(INDEX(B$3:B$230,SMALL(IF($T$3:$T$230,ROW($T$3:$T$230)-ROW($T$3)+1),ROWS($N$3:N9))),"")</f>
        <v>11</v>
      </c>
      <c r="P9" cm="1" s="6">
        <f t="array" ref="P9">IFERROR(INDEX(C$3:C$230,SMALL(IF($T$3:$T$230,ROW($T$3:$T$230)-ROW($T$3)+1),ROWS($N$3:N9))),"")</f>
        <v>76</v>
      </c>
      <c r="Q9" cm="1" s="6">
        <f t="array" ref="Q9">IFERROR(INDEX(D$3:D$230,SMALL(IF($T$3:$T$230,ROW($T$3:$T$230)-ROW($T$3)+1),ROWS($N$3:N9))),"")</f>
        <v>885</v>
      </c>
      <c r="R9" cm="1" s="6">
        <f t="array" ref="R9">IFERROR(INDEX(E$3:E$230,SMALL(IF($T$3:$T$230,ROW($T$3:$T$230)-ROW($T$3)+1),ROWS($N$3:N9))),"")</f>
        <v>77</v>
      </c>
      <c r="S9" cm="1" s="6">
        <f t="array" ref="S9">IFERROR(INDEX(F$3:F$230,SMALL(IF($T$3:$T$230,ROW($T$3:$T$230)-ROW($T$3)+1),ROWS($N$3:N9))),"")</f>
        <v>0</v>
      </c>
      <c r="T9" cm="1" s="7" t="b">
        <f t="array" ref="T9">SUMPRODUCT(($I$3:$I$5=B9)*($K$3:$K$5=D9)*($J$3:$J$5&gt;=C9))&gt;0</f>
        <v>0</v>
      </c>
    </row>
    <row r="10" ht="14.00" customHeight="true">
      <c r="A10" s="5">
        <v>41640</v>
      </c>
      <c r="B10" t="s" s="6">
        <v>10</v>
      </c>
      <c r="C10" s="6">
        <v>51</v>
      </c>
      <c r="D10" s="6">
        <v>880</v>
      </c>
      <c r="E10" s="6">
        <v>92</v>
      </c>
      <c r="F10" s="6">
        <v>50</v>
      </c>
      <c r="N10" cm="1" s="5">
        <f t="array" ref="N10">IFERROR(INDEX(A$3:A$230,SMALL(IF($T$3:$T$230,ROW($T$3:$T$230)-ROW($T$3)+1),ROWS($N$3:N10))),"")</f>
        <v>41646</v>
      </c>
      <c r="O10" cm="1" s="6" t="s">
        <f t="array" ref="O10">IFERROR(INDEX(B$3:B$230,SMALL(IF($T$3:$T$230,ROW($T$3:$T$230)-ROW($T$3)+1),ROWS($N$3:N10))),"")</f>
        <v>9</v>
      </c>
      <c r="P10" cm="1" s="6">
        <f t="array" ref="P10">IFERROR(INDEX(C$3:C$230,SMALL(IF($T$3:$T$230,ROW($T$3:$T$230)-ROW($T$3)+1),ROWS($N$3:N10))),"")</f>
        <v>15</v>
      </c>
      <c r="Q10" cm="1" s="6">
        <f t="array" ref="Q10">IFERROR(INDEX(D$3:D$230,SMALL(IF($T$3:$T$230,ROW($T$3:$T$230)-ROW($T$3)+1),ROWS($N$3:N10))),"")</f>
        <v>885</v>
      </c>
      <c r="R10" cm="1" s="6">
        <f t="array" ref="R10">IFERROR(INDEX(E$3:E$230,SMALL(IF($T$3:$T$230,ROW($T$3:$T$230)-ROW($T$3)+1),ROWS($N$3:N10))),"")</f>
        <v>85</v>
      </c>
      <c r="S10" cm="1" s="6">
        <f t="array" ref="S10">IFERROR(INDEX(F$3:F$230,SMALL(IF($T$3:$T$230,ROW($T$3:$T$230)-ROW($T$3)+1),ROWS($N$3:N10))),"")</f>
        <v>0</v>
      </c>
      <c r="T10" cm="1" s="7" t="b">
        <f t="array" ref="T10">SUMPRODUCT(($I$3:$I$5=B10)*($K$3:$K$5=D10)*($J$3:$J$5&gt;=C10))&gt;0</f>
        <v>0</v>
      </c>
    </row>
    <row r="11" ht="14.00" customHeight="true">
      <c r="A11" s="5">
        <v>41640</v>
      </c>
      <c r="B11" t="s" s="6">
        <v>11</v>
      </c>
      <c r="C11" s="6">
        <v>81</v>
      </c>
      <c r="D11" s="6">
        <v>895</v>
      </c>
      <c r="E11" s="6">
        <v>56</v>
      </c>
      <c r="F11" s="6">
        <v>-100</v>
      </c>
      <c r="N11" cm="1" s="5">
        <f t="array" ref="N11">IFERROR(INDEX(A$3:A$230,SMALL(IF($T$3:$T$230,ROW($T$3:$T$230)-ROW($T$3)+1),ROWS($N$3:N11))),"")</f>
        <v>41646</v>
      </c>
      <c r="O11" cm="1" s="6" t="s">
        <f t="array" ref="O11">IFERROR(INDEX(B$3:B$230,SMALL(IF($T$3:$T$230,ROW($T$3:$T$230)-ROW($T$3)+1),ROWS($N$3:N11))),"")</f>
        <v>10</v>
      </c>
      <c r="P11" cm="1" s="6">
        <f t="array" ref="P11">IFERROR(INDEX(C$3:C$230,SMALL(IF($T$3:$T$230,ROW($T$3:$T$230)-ROW($T$3)+1),ROWS($N$3:N11))),"")</f>
        <v>45</v>
      </c>
      <c r="Q11" cm="1" s="6">
        <f t="array" ref="Q11">IFERROR(INDEX(D$3:D$230,SMALL(IF($T$3:$T$230,ROW($T$3:$T$230)-ROW($T$3)+1),ROWS($N$3:N11))),"")</f>
        <v>885</v>
      </c>
      <c r="R11" cm="1" s="6">
        <f t="array" ref="R11">IFERROR(INDEX(E$3:E$230,SMALL(IF($T$3:$T$230,ROW($T$3:$T$230)-ROW($T$3)+1),ROWS($N$3:N11))),"")</f>
        <v>89</v>
      </c>
      <c r="S11" cm="1" s="6">
        <f t="array" ref="S11">IFERROR(INDEX(F$3:F$230,SMALL(IF($T$3:$T$230,ROW($T$3:$T$230)-ROW($T$3)+1),ROWS($N$3:N11))),"")</f>
        <v>0</v>
      </c>
      <c r="T11" cm="1" s="7" t="b">
        <f t="array" ref="T11">SUMPRODUCT(($I$3:$I$5=B11)*($K$3:$K$5=D11)*($J$3:$J$5&gt;=C11))&gt;0</f>
        <v>0</v>
      </c>
    </row>
    <row r="12" ht="14.00" customHeight="true">
      <c r="A12" s="5">
        <v>41640</v>
      </c>
      <c r="B12" t="s" s="6">
        <v>11</v>
      </c>
      <c r="C12" s="6">
        <v>81</v>
      </c>
      <c r="D12" s="6">
        <v>890</v>
      </c>
      <c r="E12" s="6">
        <v>57</v>
      </c>
      <c r="F12" s="6">
        <v>-50</v>
      </c>
      <c r="N12" cm="1" s="5">
        <f t="array" ref="N12">IFERROR(INDEX(A$3:A$230,SMALL(IF($T$3:$T$230,ROW($T$3:$T$230)-ROW($T$3)+1),ROWS($N$3:N12))),"")</f>
        <v>41646</v>
      </c>
      <c r="O12" cm="1" s="6" t="s">
        <f t="array" ref="O12">IFERROR(INDEX(B$3:B$230,SMALL(IF($T$3:$T$230,ROW($T$3:$T$230)-ROW($T$3)+1),ROWS($N$3:N12))),"")</f>
        <v>11</v>
      </c>
      <c r="P12" cm="1" s="6">
        <f t="array" ref="P12">IFERROR(INDEX(C$3:C$230,SMALL(IF($T$3:$T$230,ROW($T$3:$T$230)-ROW($T$3)+1),ROWS($N$3:N12))),"")</f>
        <v>75</v>
      </c>
      <c r="Q12" cm="1" s="6">
        <f t="array" ref="Q12">IFERROR(INDEX(D$3:D$230,SMALL(IF($T$3:$T$230,ROW($T$3:$T$230)-ROW($T$3)+1),ROWS($N$3:N12))),"")</f>
        <v>885</v>
      </c>
      <c r="R12" cm="1" s="6">
        <f t="array" ref="R12">IFERROR(INDEX(E$3:E$230,SMALL(IF($T$3:$T$230,ROW($T$3:$T$230)-ROW($T$3)+1),ROWS($N$3:N12))),"")</f>
        <v>77</v>
      </c>
      <c r="S12" cm="1" s="6">
        <f t="array" ref="S12">IFERROR(INDEX(F$3:F$230,SMALL(IF($T$3:$T$230,ROW($T$3:$T$230)-ROW($T$3)+1),ROWS($N$3:N12))),"")</f>
        <v>0</v>
      </c>
      <c r="T12" cm="1" s="7" t="b">
        <f t="array" ref="T12">SUMPRODUCT(($I$3:$I$5=B12)*($K$3:$K$5=D12)*($J$3:$J$5&gt;=C12))&gt;0</f>
        <v>0</v>
      </c>
    </row>
    <row r="13" ht="14.00" customHeight="true">
      <c r="A13" s="5">
        <v>41640</v>
      </c>
      <c r="B13" t="s" s="6">
        <v>11</v>
      </c>
      <c r="C13" s="6">
        <v>81</v>
      </c>
      <c r="D13" s="6">
        <v>885</v>
      </c>
      <c r="E13" s="6">
        <v>74</v>
      </c>
      <c r="F13" s="6">
        <v>0</v>
      </c>
      <c r="N13" cm="1" s="5">
        <f t="array" ref="N13">IFERROR(INDEX(A$3:A$230,SMALL(IF($T$3:$T$230,ROW($T$3:$T$230)-ROW($T$3)+1),ROWS($N$3:N13))),"")</f>
        <v>41647</v>
      </c>
      <c r="O13" cm="1" s="6" t="s">
        <f t="array" ref="O13">IFERROR(INDEX(B$3:B$230,SMALL(IF($T$3:$T$230,ROW($T$3:$T$230)-ROW($T$3)+1),ROWS($N$3:N13))),"")</f>
        <v>9</v>
      </c>
      <c r="P13" cm="1" s="6">
        <f t="array" ref="P13">IFERROR(INDEX(C$3:C$230,SMALL(IF($T$3:$T$230,ROW($T$3:$T$230)-ROW($T$3)+1),ROWS($N$3:N13))),"")</f>
        <v>14</v>
      </c>
      <c r="Q13" cm="1" s="6">
        <f t="array" ref="Q13">IFERROR(INDEX(D$3:D$230,SMALL(IF($T$3:$T$230,ROW($T$3:$T$230)-ROW($T$3)+1),ROWS($N$3:N13))),"")</f>
        <v>885</v>
      </c>
      <c r="R13" cm="1" s="6">
        <f t="array" ref="R13">IFERROR(INDEX(E$3:E$230,SMALL(IF($T$3:$T$230,ROW($T$3:$T$230)-ROW($T$3)+1),ROWS($N$3:N13))),"")</f>
        <v>85</v>
      </c>
      <c r="S13" cm="1" s="6">
        <f t="array" ref="S13">IFERROR(INDEX(F$3:F$230,SMALL(IF($T$3:$T$230,ROW($T$3:$T$230)-ROW($T$3)+1),ROWS($N$3:N13))),"")</f>
        <v>0</v>
      </c>
      <c r="T13" cm="1" s="7" t="b">
        <f t="array" ref="T13">SUMPRODUCT(($I$3:$I$5=B13)*($K$3:$K$5=D13)*($J$3:$J$5&gt;=C13))&gt;0</f>
        <v>0</v>
      </c>
    </row>
    <row r="14" ht="14.00" customHeight="true">
      <c r="A14" s="5">
        <v>41640</v>
      </c>
      <c r="B14" t="s" s="6">
        <v>11</v>
      </c>
      <c r="C14" s="6">
        <v>81</v>
      </c>
      <c r="D14" s="6">
        <v>880</v>
      </c>
      <c r="E14" s="6">
        <v>95</v>
      </c>
      <c r="F14" s="6">
        <v>50</v>
      </c>
      <c r="N14" cm="1" s="5">
        <f t="array" ref="N14">IFERROR(INDEX(A$3:A$230,SMALL(IF($T$3:$T$230,ROW($T$3:$T$230)-ROW($T$3)+1),ROWS($N$3:N14))),"")</f>
        <v>41647</v>
      </c>
      <c r="O14" cm="1" s="6" t="s">
        <f t="array" ref="O14">IFERROR(INDEX(B$3:B$230,SMALL(IF($T$3:$T$230,ROW($T$3:$T$230)-ROW($T$3)+1),ROWS($N$3:N14))),"")</f>
        <v>10</v>
      </c>
      <c r="P14" cm="1" s="6">
        <f t="array" ref="P14">IFERROR(INDEX(C$3:C$230,SMALL(IF($T$3:$T$230,ROW($T$3:$T$230)-ROW($T$3)+1),ROWS($N$3:N14))),"")</f>
        <v>44</v>
      </c>
      <c r="Q14" cm="1" s="6">
        <f t="array" ref="Q14">IFERROR(INDEX(D$3:D$230,SMALL(IF($T$3:$T$230,ROW($T$3:$T$230)-ROW($T$3)+1),ROWS($N$3:N14))),"")</f>
        <v>885</v>
      </c>
      <c r="R14" cm="1" s="6">
        <f t="array" ref="R14">IFERROR(INDEX(E$3:E$230,SMALL(IF($T$3:$T$230,ROW($T$3:$T$230)-ROW($T$3)+1),ROWS($N$3:N14))),"")</f>
        <v>89</v>
      </c>
      <c r="S14" cm="1" s="6">
        <f t="array" ref="S14">IFERROR(INDEX(F$3:F$230,SMALL(IF($T$3:$T$230,ROW($T$3:$T$230)-ROW($T$3)+1),ROWS($N$3:N14))),"")</f>
        <v>0</v>
      </c>
      <c r="T14" cm="1" s="7" t="b">
        <f t="array" ref="T14">SUMPRODUCT(($I$3:$I$5=B14)*($K$3:$K$5=D14)*($J$3:$J$5&gt;=C14))&gt;0</f>
        <v>0</v>
      </c>
    </row>
    <row r="15" ht="14.00" customHeight="true">
      <c r="A15" s="5">
        <v>41641</v>
      </c>
      <c r="B15" t="s" s="6">
        <v>9</v>
      </c>
      <c r="C15" s="6">
        <v>20</v>
      </c>
      <c r="D15" s="6">
        <v>895</v>
      </c>
      <c r="E15" s="6">
        <v>95</v>
      </c>
      <c r="F15" s="6">
        <v>-100</v>
      </c>
      <c r="N15" cm="1" s="5">
        <f t="array" ref="N15">IFERROR(INDEX(A$3:A$230,SMALL(IF($T$3:$T$230,ROW($T$3:$T$230)-ROW($T$3)+1),ROWS($N$3:N15))),"")</f>
        <v>41647</v>
      </c>
      <c r="O15" cm="1" s="6" t="s">
        <f t="array" ref="O15">IFERROR(INDEX(B$3:B$230,SMALL(IF($T$3:$T$230,ROW($T$3:$T$230)-ROW($T$3)+1),ROWS($N$3:N15))),"")</f>
        <v>11</v>
      </c>
      <c r="P15" cm="1" s="6">
        <f t="array" ref="P15">IFERROR(INDEX(C$3:C$230,SMALL(IF($T$3:$T$230,ROW($T$3:$T$230)-ROW($T$3)+1),ROWS($N$3:N15))),"")</f>
        <v>74</v>
      </c>
      <c r="Q15" cm="1" s="6">
        <f t="array" ref="Q15">IFERROR(INDEX(D$3:D$230,SMALL(IF($T$3:$T$230,ROW($T$3:$T$230)-ROW($T$3)+1),ROWS($N$3:N15))),"")</f>
        <v>885</v>
      </c>
      <c r="R15" cm="1" s="6">
        <f t="array" ref="R15">IFERROR(INDEX(E$3:E$230,SMALL(IF($T$3:$T$230,ROW($T$3:$T$230)-ROW($T$3)+1),ROWS($N$3:N15))),"")</f>
        <v>77</v>
      </c>
      <c r="S15" cm="1" s="6">
        <f t="array" ref="S15">IFERROR(INDEX(F$3:F$230,SMALL(IF($T$3:$T$230,ROW($T$3:$T$230)-ROW($T$3)+1),ROWS($N$3:N15))),"")</f>
        <v>0</v>
      </c>
      <c r="T15" cm="1" s="7" t="b">
        <f t="array" ref="T15">SUMPRODUCT(($I$3:$I$5=B15)*($K$3:$K$5=D15)*($J$3:$J$5&gt;=C15))&gt;0</f>
        <v>0</v>
      </c>
    </row>
    <row r="16" ht="14.00" customHeight="true">
      <c r="A16" s="5">
        <v>41641</v>
      </c>
      <c r="B16" t="s" s="6">
        <v>9</v>
      </c>
      <c r="C16" s="6">
        <v>20</v>
      </c>
      <c r="D16" s="6">
        <v>890</v>
      </c>
      <c r="E16" s="6">
        <v>59</v>
      </c>
      <c r="F16" s="6">
        <v>-50</v>
      </c>
      <c r="N16" cm="1" s="5">
        <f t="array" ref="N16">IFERROR(INDEX(A$3:A$230,SMALL(IF($T$3:$T$230,ROW($T$3:$T$230)-ROW($T$3)+1),ROWS($N$3:N16))),"")</f>
        <v>41648</v>
      </c>
      <c r="O16" cm="1" s="6" t="s">
        <f t="array" ref="O16">IFERROR(INDEX(B$3:B$230,SMALL(IF($T$3:$T$230,ROW($T$3:$T$230)-ROW($T$3)+1),ROWS($N$3:N16))),"")</f>
        <v>9</v>
      </c>
      <c r="P16" cm="1" s="6">
        <f t="array" ref="P16">IFERROR(INDEX(C$3:C$230,SMALL(IF($T$3:$T$230,ROW($T$3:$T$230)-ROW($T$3)+1),ROWS($N$3:N16))),"")</f>
        <v>13</v>
      </c>
      <c r="Q16" cm="1" s="6">
        <f t="array" ref="Q16">IFERROR(INDEX(D$3:D$230,SMALL(IF($T$3:$T$230,ROW($T$3:$T$230)-ROW($T$3)+1),ROWS($N$3:N16))),"")</f>
        <v>885</v>
      </c>
      <c r="R16" cm="1" s="6">
        <f t="array" ref="R16">IFERROR(INDEX(E$3:E$230,SMALL(IF($T$3:$T$230,ROW($T$3:$T$230)-ROW($T$3)+1),ROWS($N$3:N16))),"")</f>
        <v>85</v>
      </c>
      <c r="S16" cm="1" s="6">
        <f t="array" ref="S16">IFERROR(INDEX(F$3:F$230,SMALL(IF($T$3:$T$230,ROW($T$3:$T$230)-ROW($T$3)+1),ROWS($N$3:N16))),"")</f>
        <v>0</v>
      </c>
      <c r="T16" cm="1" s="7" t="b">
        <f t="array" ref="T16">SUMPRODUCT(($I$3:$I$5=B16)*($K$3:$K$5=D16)*($J$3:$J$5&gt;=C16))&gt;0</f>
        <v>0</v>
      </c>
    </row>
    <row r="17" ht="14.00" customHeight="true">
      <c r="A17" s="5">
        <v>41641</v>
      </c>
      <c r="B17" t="s" s="6">
        <v>9</v>
      </c>
      <c r="C17" s="6">
        <v>20</v>
      </c>
      <c r="D17" s="6">
        <v>885</v>
      </c>
      <c r="E17" s="6">
        <v>52</v>
      </c>
      <c r="F17" s="6">
        <v>0</v>
      </c>
      <c r="N17" cm="1" s="5">
        <f t="array" ref="N17">IFERROR(INDEX(A$3:A$230,SMALL(IF($T$3:$T$230,ROW($T$3:$T$230)-ROW($T$3)+1),ROWS($N$3:N17))),"")</f>
        <v>41648</v>
      </c>
      <c r="O17" cm="1" s="6" t="s">
        <f t="array" ref="O17">IFERROR(INDEX(B$3:B$230,SMALL(IF($T$3:$T$230,ROW($T$3:$T$230)-ROW($T$3)+1),ROWS($N$3:N17))),"")</f>
        <v>10</v>
      </c>
      <c r="P17" cm="1" s="6">
        <f t="array" ref="P17">IFERROR(INDEX(C$3:C$230,SMALL(IF($T$3:$T$230,ROW($T$3:$T$230)-ROW($T$3)+1),ROWS($N$3:N17))),"")</f>
        <v>43</v>
      </c>
      <c r="Q17" cm="1" s="6">
        <f t="array" ref="Q17">IFERROR(INDEX(D$3:D$230,SMALL(IF($T$3:$T$230,ROW($T$3:$T$230)-ROW($T$3)+1),ROWS($N$3:N17))),"")</f>
        <v>885</v>
      </c>
      <c r="R17" cm="1" s="6">
        <f t="array" ref="R17">IFERROR(INDEX(E$3:E$230,SMALL(IF($T$3:$T$230,ROW($T$3:$T$230)-ROW($T$3)+1),ROWS($N$3:N17))),"")</f>
        <v>89</v>
      </c>
      <c r="S17" cm="1" s="6">
        <f t="array" ref="S17">IFERROR(INDEX(F$3:F$230,SMALL(IF($T$3:$T$230,ROW($T$3:$T$230)-ROW($T$3)+1),ROWS($N$3:N17))),"")</f>
        <v>0</v>
      </c>
      <c r="T17" cm="1" s="7" t="b">
        <f t="array" ref="T17">SUMPRODUCT(($I$3:$I$5=B17)*($K$3:$K$5=D17)*($J$3:$J$5&gt;=C17))&gt;0</f>
        <v>0</v>
      </c>
    </row>
    <row r="18" ht="14.00" customHeight="true">
      <c r="A18" s="5">
        <v>41641</v>
      </c>
      <c r="B18" t="s" s="6">
        <v>9</v>
      </c>
      <c r="C18" s="6">
        <v>20</v>
      </c>
      <c r="D18" s="6">
        <v>880</v>
      </c>
      <c r="E18" s="6">
        <v>62</v>
      </c>
      <c r="F18" s="6">
        <v>50</v>
      </c>
      <c r="N18" cm="1" s="5">
        <f t="array" ref="N18">IFERROR(INDEX(A$3:A$230,SMALL(IF($T$3:$T$230,ROW($T$3:$T$230)-ROW($T$3)+1),ROWS($N$3:N18))),"")</f>
        <v>41648</v>
      </c>
      <c r="O18" cm="1" s="6" t="s">
        <f t="array" ref="O18">IFERROR(INDEX(B$3:B$230,SMALL(IF($T$3:$T$230,ROW($T$3:$T$230)-ROW($T$3)+1),ROWS($N$3:N18))),"")</f>
        <v>11</v>
      </c>
      <c r="P18" cm="1" s="6">
        <f t="array" ref="P18">IFERROR(INDEX(C$3:C$230,SMALL(IF($T$3:$T$230,ROW($T$3:$T$230)-ROW($T$3)+1),ROWS($N$3:N18))),"")</f>
        <v>73</v>
      </c>
      <c r="Q18" cm="1" s="6">
        <f t="array" ref="Q18">IFERROR(INDEX(D$3:D$230,SMALL(IF($T$3:$T$230,ROW($T$3:$T$230)-ROW($T$3)+1),ROWS($N$3:N18))),"")</f>
        <v>885</v>
      </c>
      <c r="R18" cm="1" s="6">
        <f t="array" ref="R18">IFERROR(INDEX(E$3:E$230,SMALL(IF($T$3:$T$230,ROW($T$3:$T$230)-ROW($T$3)+1),ROWS($N$3:N18))),"")</f>
        <v>77</v>
      </c>
      <c r="S18" cm="1" s="6">
        <f t="array" ref="S18">IFERROR(INDEX(F$3:F$230,SMALL(IF($T$3:$T$230,ROW($T$3:$T$230)-ROW($T$3)+1),ROWS($N$3:N18))),"")</f>
        <v>0</v>
      </c>
      <c r="T18" cm="1" s="7" t="b">
        <f t="array" ref="T18">SUMPRODUCT(($I$3:$I$5=B18)*($K$3:$K$5=D18)*($J$3:$J$5&gt;=C18))&gt;0</f>
        <v>0</v>
      </c>
    </row>
    <row r="19" ht="14.00" customHeight="true">
      <c r="A19" s="5">
        <v>41641</v>
      </c>
      <c r="B19" t="s" s="6">
        <v>10</v>
      </c>
      <c r="C19" s="6">
        <v>50</v>
      </c>
      <c r="D19" s="6">
        <v>895</v>
      </c>
      <c r="E19" s="6">
        <v>90</v>
      </c>
      <c r="F19" s="6">
        <v>-100</v>
      </c>
      <c r="N19" cm="1" s="5">
        <f t="array" ref="N19">IFERROR(INDEX(A$3:A$230,SMALL(IF($T$3:$T$230,ROW($T$3:$T$230)-ROW($T$3)+1),ROWS($N$3:N19))),"")</f>
        <v>41649</v>
      </c>
      <c r="O19" cm="1" s="6" t="s">
        <f t="array" ref="O19">IFERROR(INDEX(B$3:B$230,SMALL(IF($T$3:$T$230,ROW($T$3:$T$230)-ROW($T$3)+1),ROWS($N$3:N19))),"")</f>
        <v>9</v>
      </c>
      <c r="P19" cm="1" s="6">
        <f t="array" ref="P19">IFERROR(INDEX(C$3:C$230,SMALL(IF($T$3:$T$230,ROW($T$3:$T$230)-ROW($T$3)+1),ROWS($N$3:N19))),"")</f>
        <v>12</v>
      </c>
      <c r="Q19" cm="1" s="6">
        <f t="array" ref="Q19">IFERROR(INDEX(D$3:D$230,SMALL(IF($T$3:$T$230,ROW($T$3:$T$230)-ROW($T$3)+1),ROWS($N$3:N19))),"")</f>
        <v>885</v>
      </c>
      <c r="R19" cm="1" s="6">
        <f t="array" ref="R19">IFERROR(INDEX(E$3:E$230,SMALL(IF($T$3:$T$230,ROW($T$3:$T$230)-ROW($T$3)+1),ROWS($N$3:N19))),"")</f>
        <v>85</v>
      </c>
      <c r="S19" cm="1" s="6">
        <f t="array" ref="S19">IFERROR(INDEX(F$3:F$230,SMALL(IF($T$3:$T$230,ROW($T$3:$T$230)-ROW($T$3)+1),ROWS($N$3:N19))),"")</f>
        <v>0</v>
      </c>
      <c r="T19" cm="1" s="7" t="b">
        <f t="array" ref="T19">SUMPRODUCT(($I$3:$I$5=B19)*($K$3:$K$5=D19)*($J$3:$J$5&gt;=C19))&gt;0</f>
        <v>0</v>
      </c>
    </row>
    <row r="20" ht="14.00" customHeight="true">
      <c r="A20" s="5">
        <v>41641</v>
      </c>
      <c r="B20" t="s" s="6">
        <v>10</v>
      </c>
      <c r="C20" s="6">
        <v>50</v>
      </c>
      <c r="D20" s="6">
        <v>890</v>
      </c>
      <c r="E20" s="6">
        <v>56</v>
      </c>
      <c r="F20" s="6">
        <v>-50</v>
      </c>
      <c r="N20" cm="1" s="5">
        <f t="array" ref="N20">IFERROR(INDEX(A$3:A$230,SMALL(IF($T$3:$T$230,ROW($T$3:$T$230)-ROW($T$3)+1),ROWS($N$3:N20))),"")</f>
        <v>41649</v>
      </c>
      <c r="O20" cm="1" s="6" t="s">
        <f t="array" ref="O20">IFERROR(INDEX(B$3:B$230,SMALL(IF($T$3:$T$230,ROW($T$3:$T$230)-ROW($T$3)+1),ROWS($N$3:N20))),"")</f>
        <v>10</v>
      </c>
      <c r="P20" cm="1" s="6">
        <f t="array" ref="P20">IFERROR(INDEX(C$3:C$230,SMALL(IF($T$3:$T$230,ROW($T$3:$T$230)-ROW($T$3)+1),ROWS($N$3:N20))),"")</f>
        <v>42</v>
      </c>
      <c r="Q20" cm="1" s="6">
        <f t="array" ref="Q20">IFERROR(INDEX(D$3:D$230,SMALL(IF($T$3:$T$230,ROW($T$3:$T$230)-ROW($T$3)+1),ROWS($N$3:N20))),"")</f>
        <v>885</v>
      </c>
      <c r="R20" cm="1" s="6">
        <f t="array" ref="R20">IFERROR(INDEX(E$3:E$230,SMALL(IF($T$3:$T$230,ROW($T$3:$T$230)-ROW($T$3)+1),ROWS($N$3:N20))),"")</f>
        <v>89</v>
      </c>
      <c r="S20" cm="1" s="6">
        <f t="array" ref="S20">IFERROR(INDEX(F$3:F$230,SMALL(IF($T$3:$T$230,ROW($T$3:$T$230)-ROW($T$3)+1),ROWS($N$3:N20))),"")</f>
        <v>0</v>
      </c>
      <c r="T20" cm="1" s="7" t="b">
        <f t="array" ref="T20">SUMPRODUCT(($I$3:$I$5=B20)*($K$3:$K$5=D20)*($J$3:$J$5&gt;=C20))&gt;0</f>
        <v>0</v>
      </c>
    </row>
    <row r="21" ht="14.00" customHeight="true">
      <c r="A21" s="5">
        <v>41641</v>
      </c>
      <c r="B21" t="s" s="6">
        <v>10</v>
      </c>
      <c r="C21" s="6">
        <v>50</v>
      </c>
      <c r="D21" s="6">
        <v>885</v>
      </c>
      <c r="E21" s="6">
        <v>75</v>
      </c>
      <c r="F21" s="6">
        <v>0</v>
      </c>
      <c r="N21" cm="1" s="5">
        <f t="array" ref="N21">IFERROR(INDEX(A$3:A$230,SMALL(IF($T$3:$T$230,ROW($T$3:$T$230)-ROW($T$3)+1),ROWS($N$3:N21))),"")</f>
        <v>41649</v>
      </c>
      <c r="O21" cm="1" s="6" t="s">
        <f t="array" ref="O21">IFERROR(INDEX(B$3:B$230,SMALL(IF($T$3:$T$230,ROW($T$3:$T$230)-ROW($T$3)+1),ROWS($N$3:N21))),"")</f>
        <v>11</v>
      </c>
      <c r="P21" cm="1" s="6">
        <f t="array" ref="P21">IFERROR(INDEX(C$3:C$230,SMALL(IF($T$3:$T$230,ROW($T$3:$T$230)-ROW($T$3)+1),ROWS($N$3:N21))),"")</f>
        <v>72</v>
      </c>
      <c r="Q21" cm="1" s="6">
        <f t="array" ref="Q21">IFERROR(INDEX(D$3:D$230,SMALL(IF($T$3:$T$230,ROW($T$3:$T$230)-ROW($T$3)+1),ROWS($N$3:N21))),"")</f>
        <v>885</v>
      </c>
      <c r="R21" cm="1" s="6">
        <f t="array" ref="R21">IFERROR(INDEX(E$3:E$230,SMALL(IF($T$3:$T$230,ROW($T$3:$T$230)-ROW($T$3)+1),ROWS($N$3:N21))),"")</f>
        <v>77</v>
      </c>
      <c r="S21" cm="1" s="6">
        <f t="array" ref="S21">IFERROR(INDEX(F$3:F$230,SMALL(IF($T$3:$T$230,ROW($T$3:$T$230)-ROW($T$3)+1),ROWS($N$3:N21))),"")</f>
        <v>0</v>
      </c>
      <c r="T21" cm="1" s="7" t="b">
        <f t="array" ref="T21">SUMPRODUCT(($I$3:$I$5=B21)*($K$3:$K$5=D21)*($J$3:$J$5&gt;=C21))&gt;0</f>
        <v>0</v>
      </c>
    </row>
    <row r="22" ht="14.00" customHeight="true">
      <c r="A22" s="5">
        <v>41641</v>
      </c>
      <c r="B22" t="s" s="6">
        <v>10</v>
      </c>
      <c r="C22" s="6">
        <v>50</v>
      </c>
      <c r="D22" s="6">
        <v>880</v>
      </c>
      <c r="E22" s="6">
        <v>97</v>
      </c>
      <c r="F22" s="6">
        <v>50</v>
      </c>
      <c r="N22" cm="1" s="5">
        <f t="array" ref="N22">IFERROR(INDEX(A$3:A$230,SMALL(IF($T$3:$T$230,ROW($T$3:$T$230)-ROW($T$3)+1),ROWS($N$3:N22))),"")</f>
        <v>41650</v>
      </c>
      <c r="O22" cm="1" s="6" t="s">
        <f t="array" ref="O22">IFERROR(INDEX(B$3:B$230,SMALL(IF($T$3:$T$230,ROW($T$3:$T$230)-ROW($T$3)+1),ROWS($N$3:N22))),"")</f>
        <v>9</v>
      </c>
      <c r="P22" cm="1" s="6">
        <f t="array" ref="P22">IFERROR(INDEX(C$3:C$230,SMALL(IF($T$3:$T$230,ROW($T$3:$T$230)-ROW($T$3)+1),ROWS($N$3:N22))),"")</f>
        <v>11</v>
      </c>
      <c r="Q22" cm="1" s="6">
        <f t="array" ref="Q22">IFERROR(INDEX(D$3:D$230,SMALL(IF($T$3:$T$230,ROW($T$3:$T$230)-ROW($T$3)+1),ROWS($N$3:N22))),"")</f>
        <v>885</v>
      </c>
      <c r="R22" cm="1" s="6">
        <f t="array" ref="R22">IFERROR(INDEX(E$3:E$230,SMALL(IF($T$3:$T$230,ROW($T$3:$T$230)-ROW($T$3)+1),ROWS($N$3:N22))),"")</f>
        <v>85</v>
      </c>
      <c r="S22" cm="1" s="6">
        <f t="array" ref="S22">IFERROR(INDEX(F$3:F$230,SMALL(IF($T$3:$T$230,ROW($T$3:$T$230)-ROW($T$3)+1),ROWS($N$3:N22))),"")</f>
        <v>0</v>
      </c>
      <c r="T22" cm="1" s="7" t="b">
        <f t="array" ref="T22">SUMPRODUCT(($I$3:$I$5=B22)*($K$3:$K$5=D22)*($J$3:$J$5&gt;=C22))&gt;0</f>
        <v>0</v>
      </c>
    </row>
    <row r="23" ht="14.00" customHeight="true">
      <c r="A23" s="5">
        <v>41641</v>
      </c>
      <c r="B23" t="s" s="6">
        <v>11</v>
      </c>
      <c r="C23" s="6">
        <v>80</v>
      </c>
      <c r="D23" s="6">
        <v>895</v>
      </c>
      <c r="E23" s="6">
        <v>63</v>
      </c>
      <c r="F23" s="6">
        <v>-100</v>
      </c>
      <c r="N23" cm="1" s="5">
        <f t="array" ref="N23">IFERROR(INDEX(A$3:A$230,SMALL(IF($T$3:$T$230,ROW($T$3:$T$230)-ROW($T$3)+1),ROWS($N$3:N23))),"")</f>
        <v>41650</v>
      </c>
      <c r="O23" cm="1" s="6" t="s">
        <f t="array" ref="O23">IFERROR(INDEX(B$3:B$230,SMALL(IF($T$3:$T$230,ROW($T$3:$T$230)-ROW($T$3)+1),ROWS($N$3:N23))),"")</f>
        <v>10</v>
      </c>
      <c r="P23" cm="1" s="6">
        <f t="array" ref="P23">IFERROR(INDEX(C$3:C$230,SMALL(IF($T$3:$T$230,ROW($T$3:$T$230)-ROW($T$3)+1),ROWS($N$3:N23))),"")</f>
        <v>41</v>
      </c>
      <c r="Q23" cm="1" s="6">
        <f t="array" ref="Q23">IFERROR(INDEX(D$3:D$230,SMALL(IF($T$3:$T$230,ROW($T$3:$T$230)-ROW($T$3)+1),ROWS($N$3:N23))),"")</f>
        <v>885</v>
      </c>
      <c r="R23" cm="1" s="6">
        <f t="array" ref="R23">IFERROR(INDEX(E$3:E$230,SMALL(IF($T$3:$T$230,ROW($T$3:$T$230)-ROW($T$3)+1),ROWS($N$3:N23))),"")</f>
        <v>89</v>
      </c>
      <c r="S23" cm="1" s="6">
        <f t="array" ref="S23">IFERROR(INDEX(F$3:F$230,SMALL(IF($T$3:$T$230,ROW($T$3:$T$230)-ROW($T$3)+1),ROWS($N$3:N23))),"")</f>
        <v>0</v>
      </c>
      <c r="T23" cm="1" s="7" t="b">
        <f t="array" ref="T23">SUMPRODUCT(($I$3:$I$5=B23)*($K$3:$K$5=D23)*($J$3:$J$5&gt;=C23))&gt;0</f>
        <v>0</v>
      </c>
    </row>
    <row r="24" ht="14.00" customHeight="true">
      <c r="A24" s="5">
        <v>41641</v>
      </c>
      <c r="B24" t="s" s="6">
        <v>11</v>
      </c>
      <c r="C24" s="6">
        <v>80</v>
      </c>
      <c r="D24" s="6">
        <v>890</v>
      </c>
      <c r="E24" s="6">
        <v>52</v>
      </c>
      <c r="F24" s="6">
        <v>-50</v>
      </c>
      <c r="N24" cm="1" s="5">
        <f t="array" ref="N24">IFERROR(INDEX(A$3:A$230,SMALL(IF($T$3:$T$230,ROW($T$3:$T$230)-ROW($T$3)+1),ROWS($N$3:N24))),"")</f>
        <v>41650</v>
      </c>
      <c r="O24" cm="1" s="6" t="s">
        <f t="array" ref="O24">IFERROR(INDEX(B$3:B$230,SMALL(IF($T$3:$T$230,ROW($T$3:$T$230)-ROW($T$3)+1),ROWS($N$3:N24))),"")</f>
        <v>11</v>
      </c>
      <c r="P24" cm="1" s="6">
        <f t="array" ref="P24">IFERROR(INDEX(C$3:C$230,SMALL(IF($T$3:$T$230,ROW($T$3:$T$230)-ROW($T$3)+1),ROWS($N$3:N24))),"")</f>
        <v>71</v>
      </c>
      <c r="Q24" cm="1" s="6">
        <f t="array" ref="Q24">IFERROR(INDEX(D$3:D$230,SMALL(IF($T$3:$T$230,ROW($T$3:$T$230)-ROW($T$3)+1),ROWS($N$3:N24))),"")</f>
        <v>885</v>
      </c>
      <c r="R24" cm="1" s="6">
        <f t="array" ref="R24">IFERROR(INDEX(E$3:E$230,SMALL(IF($T$3:$T$230,ROW($T$3:$T$230)-ROW($T$3)+1),ROWS($N$3:N24))),"")</f>
        <v>77</v>
      </c>
      <c r="S24" cm="1" s="6">
        <f t="array" ref="S24">IFERROR(INDEX(F$3:F$230,SMALL(IF($T$3:$T$230,ROW($T$3:$T$230)-ROW($T$3)+1),ROWS($N$3:N24))),"")</f>
        <v>0</v>
      </c>
      <c r="T24" cm="1" s="7" t="b">
        <f t="array" ref="T24">SUMPRODUCT(($I$3:$I$5=B24)*($K$3:$K$5=D24)*($J$3:$J$5&gt;=C24))&gt;0</f>
        <v>0</v>
      </c>
    </row>
    <row r="25" ht="14.00" customHeight="true">
      <c r="A25" s="5">
        <v>41641</v>
      </c>
      <c r="B25" t="s" s="6">
        <v>11</v>
      </c>
      <c r="C25" s="6">
        <v>80</v>
      </c>
      <c r="D25" s="6">
        <v>885</v>
      </c>
      <c r="E25" s="6">
        <v>71</v>
      </c>
      <c r="F25" s="6">
        <v>0</v>
      </c>
      <c r="N25" cm="1" s="5">
        <f t="array" ref="N25">IFERROR(INDEX(A$3:A$230,SMALL(IF($T$3:$T$230,ROW($T$3:$T$230)-ROW($T$3)+1),ROWS($N$3:N25))),"")</f>
        <v>41651</v>
      </c>
      <c r="O25" cm="1" s="6" t="s">
        <f t="array" ref="O25">IFERROR(INDEX(B$3:B$230,SMALL(IF($T$3:$T$230,ROW($T$3:$T$230)-ROW($T$3)+1),ROWS($N$3:N25))),"")</f>
        <v>9</v>
      </c>
      <c r="P25" cm="1" s="6">
        <f t="array" ref="P25">IFERROR(INDEX(C$3:C$230,SMALL(IF($T$3:$T$230,ROW($T$3:$T$230)-ROW($T$3)+1),ROWS($N$3:N25))),"")</f>
        <v>10</v>
      </c>
      <c r="Q25" cm="1" s="6">
        <f t="array" ref="Q25">IFERROR(INDEX(D$3:D$230,SMALL(IF($T$3:$T$230,ROW($T$3:$T$230)-ROW($T$3)+1),ROWS($N$3:N25))),"")</f>
        <v>885</v>
      </c>
      <c r="R25" cm="1" s="6">
        <f t="array" ref="R25">IFERROR(INDEX(E$3:E$230,SMALL(IF($T$3:$T$230,ROW($T$3:$T$230)-ROW($T$3)+1),ROWS($N$3:N25))),"")</f>
        <v>85</v>
      </c>
      <c r="S25" cm="1" s="6">
        <f t="array" ref="S25">IFERROR(INDEX(F$3:F$230,SMALL(IF($T$3:$T$230,ROW($T$3:$T$230)-ROW($T$3)+1),ROWS($N$3:N25))),"")</f>
        <v>0</v>
      </c>
      <c r="T25" cm="1" s="7" t="b">
        <f t="array" ref="T25">SUMPRODUCT(($I$3:$I$5=B25)*($K$3:$K$5=D25)*($J$3:$J$5&gt;=C25))&gt;0</f>
        <v>0</v>
      </c>
    </row>
    <row r="26" ht="14.00" customHeight="true">
      <c r="A26" s="5">
        <v>41641</v>
      </c>
      <c r="B26" t="s" s="6">
        <v>11</v>
      </c>
      <c r="C26" s="6">
        <v>80</v>
      </c>
      <c r="D26" s="6">
        <v>880</v>
      </c>
      <c r="E26" s="6">
        <v>83</v>
      </c>
      <c r="F26" s="6">
        <v>50</v>
      </c>
      <c r="N26" cm="1" s="5">
        <f t="array" ref="N26">IFERROR(INDEX(A$3:A$230,SMALL(IF($T$3:$T$230,ROW($T$3:$T$230)-ROW($T$3)+1),ROWS($N$3:N26))),"")</f>
        <v>41651</v>
      </c>
      <c r="O26" cm="1" s="6" t="s">
        <f t="array" ref="O26">IFERROR(INDEX(B$3:B$230,SMALL(IF($T$3:$T$230,ROW($T$3:$T$230)-ROW($T$3)+1),ROWS($N$3:N26))),"")</f>
        <v>10</v>
      </c>
      <c r="P26" cm="1" s="6">
        <f t="array" ref="P26">IFERROR(INDEX(C$3:C$230,SMALL(IF($T$3:$T$230,ROW($T$3:$T$230)-ROW($T$3)+1),ROWS($N$3:N26))),"")</f>
        <v>40</v>
      </c>
      <c r="Q26" cm="1" s="6">
        <f t="array" ref="Q26">IFERROR(INDEX(D$3:D$230,SMALL(IF($T$3:$T$230,ROW($T$3:$T$230)-ROW($T$3)+1),ROWS($N$3:N26))),"")</f>
        <v>885</v>
      </c>
      <c r="R26" cm="1" s="6">
        <f t="array" ref="R26">IFERROR(INDEX(E$3:E$230,SMALL(IF($T$3:$T$230,ROW($T$3:$T$230)-ROW($T$3)+1),ROWS($N$3:N26))),"")</f>
        <v>89</v>
      </c>
      <c r="S26" cm="1" s="6">
        <f t="array" ref="S26">IFERROR(INDEX(F$3:F$230,SMALL(IF($T$3:$T$230,ROW($T$3:$T$230)-ROW($T$3)+1),ROWS($N$3:N26))),"")</f>
        <v>0</v>
      </c>
      <c r="T26" cm="1" s="7" t="b">
        <f t="array" ref="T26">SUMPRODUCT(($I$3:$I$5=B26)*($K$3:$K$5=D26)*($J$3:$J$5&gt;=C26))&gt;0</f>
        <v>0</v>
      </c>
    </row>
    <row r="27" ht="14.00" customHeight="true">
      <c r="A27" s="5">
        <v>41642</v>
      </c>
      <c r="B27" t="s" s="6">
        <v>9</v>
      </c>
      <c r="C27" s="6">
        <v>19</v>
      </c>
      <c r="D27" s="6">
        <v>895</v>
      </c>
      <c r="E27" s="6">
        <v>57</v>
      </c>
      <c r="F27" s="6">
        <v>-100</v>
      </c>
      <c r="N27" cm="1" s="5">
        <f t="array" ref="N27">IFERROR(INDEX(A$3:A$230,SMALL(IF($T$3:$T$230,ROW($T$3:$T$230)-ROW($T$3)+1),ROWS($N$3:N27))),"")</f>
        <v>41651</v>
      </c>
      <c r="O27" cm="1" s="6" t="s">
        <f t="array" ref="O27">IFERROR(INDEX(B$3:B$230,SMALL(IF($T$3:$T$230,ROW($T$3:$T$230)-ROW($T$3)+1),ROWS($N$3:N27))),"")</f>
        <v>11</v>
      </c>
      <c r="P27" cm="1" s="6">
        <f t="array" ref="P27">IFERROR(INDEX(C$3:C$230,SMALL(IF($T$3:$T$230,ROW($T$3:$T$230)-ROW($T$3)+1),ROWS($N$3:N27))),"")</f>
        <v>70</v>
      </c>
      <c r="Q27" cm="1" s="6">
        <f t="array" ref="Q27">IFERROR(INDEX(D$3:D$230,SMALL(IF($T$3:$T$230,ROW($T$3:$T$230)-ROW($T$3)+1),ROWS($N$3:N27))),"")</f>
        <v>885</v>
      </c>
      <c r="R27" cm="1" s="6">
        <f t="array" ref="R27">IFERROR(INDEX(E$3:E$230,SMALL(IF($T$3:$T$230,ROW($T$3:$T$230)-ROW($T$3)+1),ROWS($N$3:N27))),"")</f>
        <v>77</v>
      </c>
      <c r="S27" cm="1" s="6">
        <f t="array" ref="S27">IFERROR(INDEX(F$3:F$230,SMALL(IF($T$3:$T$230,ROW($T$3:$T$230)-ROW($T$3)+1),ROWS($N$3:N27))),"")</f>
        <v>0</v>
      </c>
      <c r="T27" cm="1" s="7" t="b">
        <f t="array" ref="T27">SUMPRODUCT(($I$3:$I$5=B27)*($K$3:$K$5=D27)*($J$3:$J$5&gt;=C27))&gt;0</f>
        <v>0</v>
      </c>
    </row>
    <row r="28" ht="14.00" customHeight="true">
      <c r="A28" s="5">
        <v>41642</v>
      </c>
      <c r="B28" t="s" s="6">
        <v>9</v>
      </c>
      <c r="C28" s="6">
        <v>19</v>
      </c>
      <c r="D28" s="6">
        <v>890</v>
      </c>
      <c r="E28" s="6">
        <v>59</v>
      </c>
      <c r="F28" s="6">
        <v>-50</v>
      </c>
      <c r="N28" cm="1" s="5">
        <f t="array" ref="N28">IFERROR(INDEX(A$3:A$230,SMALL(IF($T$3:$T$230,ROW($T$3:$T$230)-ROW($T$3)+1),ROWS($N$3:N28))),"")</f>
        <v>41652</v>
      </c>
      <c r="O28" cm="1" s="6" t="s">
        <f t="array" ref="O28">IFERROR(INDEX(B$3:B$230,SMALL(IF($T$3:$T$230,ROW($T$3:$T$230)-ROW($T$3)+1),ROWS($N$3:N28))),"")</f>
        <v>9</v>
      </c>
      <c r="P28" cm="1" s="6">
        <f t="array" ref="P28">IFERROR(INDEX(C$3:C$230,SMALL(IF($T$3:$T$230,ROW($T$3:$T$230)-ROW($T$3)+1),ROWS($N$3:N28))),"")</f>
        <v>9</v>
      </c>
      <c r="Q28" cm="1" s="6">
        <f t="array" ref="Q28">IFERROR(INDEX(D$3:D$230,SMALL(IF($T$3:$T$230,ROW($T$3:$T$230)-ROW($T$3)+1),ROWS($N$3:N28))),"")</f>
        <v>885</v>
      </c>
      <c r="R28" cm="1" s="6">
        <f t="array" ref="R28">IFERROR(INDEX(E$3:E$230,SMALL(IF($T$3:$T$230,ROW($T$3:$T$230)-ROW($T$3)+1),ROWS($N$3:N28))),"")</f>
        <v>85</v>
      </c>
      <c r="S28" cm="1" s="6">
        <f t="array" ref="S28">IFERROR(INDEX(F$3:F$230,SMALL(IF($T$3:$T$230,ROW($T$3:$T$230)-ROW($T$3)+1),ROWS($N$3:N28))),"")</f>
        <v>0</v>
      </c>
      <c r="T28" cm="1" s="7" t="b">
        <f t="array" ref="T28">SUMPRODUCT(($I$3:$I$5=B28)*($K$3:$K$5=D28)*($J$3:$J$5&gt;=C28))&gt;0</f>
        <v>0</v>
      </c>
    </row>
    <row r="29" ht="14.00" customHeight="true">
      <c r="A29" s="5">
        <v>41642</v>
      </c>
      <c r="B29" t="s" s="6">
        <v>9</v>
      </c>
      <c r="C29" s="6">
        <v>19</v>
      </c>
      <c r="D29" s="6">
        <v>885</v>
      </c>
      <c r="E29" s="6">
        <v>85</v>
      </c>
      <c r="F29" s="6">
        <v>0</v>
      </c>
      <c r="N29" cm="1" s="5">
        <f t="array" ref="N29">IFERROR(INDEX(A$3:A$230,SMALL(IF($T$3:$T$230,ROW($T$3:$T$230)-ROW($T$3)+1),ROWS($N$3:N29))),"")</f>
        <v>41652</v>
      </c>
      <c r="O29" cm="1" s="6" t="s">
        <f t="array" ref="O29">IFERROR(INDEX(B$3:B$230,SMALL(IF($T$3:$T$230,ROW($T$3:$T$230)-ROW($T$3)+1),ROWS($N$3:N29))),"")</f>
        <v>10</v>
      </c>
      <c r="P29" cm="1" s="6">
        <f t="array" ref="P29">IFERROR(INDEX(C$3:C$230,SMALL(IF($T$3:$T$230,ROW($T$3:$T$230)-ROW($T$3)+1),ROWS($N$3:N29))),"")</f>
        <v>39</v>
      </c>
      <c r="Q29" cm="1" s="6">
        <f t="array" ref="Q29">IFERROR(INDEX(D$3:D$230,SMALL(IF($T$3:$T$230,ROW($T$3:$T$230)-ROW($T$3)+1),ROWS($N$3:N29))),"")</f>
        <v>885</v>
      </c>
      <c r="R29" cm="1" s="6">
        <f t="array" ref="R29">IFERROR(INDEX(E$3:E$230,SMALL(IF($T$3:$T$230,ROW($T$3:$T$230)-ROW($T$3)+1),ROWS($N$3:N29))),"")</f>
        <v>89</v>
      </c>
      <c r="S29" cm="1" s="6">
        <f t="array" ref="S29">IFERROR(INDEX(F$3:F$230,SMALL(IF($T$3:$T$230,ROW($T$3:$T$230)-ROW($T$3)+1),ROWS($N$3:N29))),"")</f>
        <v>0</v>
      </c>
      <c r="T29" cm="1" s="7" t="b">
        <f t="array" ref="T29">SUMPRODUCT(($I$3:$I$5=B29)*($K$3:$K$5=D29)*($J$3:$J$5&gt;=C29))&gt;0</f>
        <v>0</v>
      </c>
    </row>
    <row r="30" ht="14.00" customHeight="true">
      <c r="A30" s="5">
        <v>41642</v>
      </c>
      <c r="B30" t="s" s="6">
        <v>9</v>
      </c>
      <c r="C30" s="6">
        <v>19</v>
      </c>
      <c r="D30" s="6">
        <v>880</v>
      </c>
      <c r="E30" s="6">
        <v>99</v>
      </c>
      <c r="F30" s="6">
        <v>50</v>
      </c>
      <c r="N30" cm="1" s="5">
        <f t="array" ref="N30">IFERROR(INDEX(A$3:A$230,SMALL(IF($T$3:$T$230,ROW($T$3:$T$230)-ROW($T$3)+1),ROWS($N$3:N30))),"")</f>
        <v>41652</v>
      </c>
      <c r="O30" cm="1" s="6" t="s">
        <f t="array" ref="O30">IFERROR(INDEX(B$3:B$230,SMALL(IF($T$3:$T$230,ROW($T$3:$T$230)-ROW($T$3)+1),ROWS($N$3:N30))),"")</f>
        <v>11</v>
      </c>
      <c r="P30" cm="1" s="6">
        <f t="array" ref="P30">IFERROR(INDEX(C$3:C$230,SMALL(IF($T$3:$T$230,ROW($T$3:$T$230)-ROW($T$3)+1),ROWS($N$3:N30))),"")</f>
        <v>69</v>
      </c>
      <c r="Q30" cm="1" s="6">
        <f t="array" ref="Q30">IFERROR(INDEX(D$3:D$230,SMALL(IF($T$3:$T$230,ROW($T$3:$T$230)-ROW($T$3)+1),ROWS($N$3:N30))),"")</f>
        <v>885</v>
      </c>
      <c r="R30" cm="1" s="6">
        <f t="array" ref="R30">IFERROR(INDEX(E$3:E$230,SMALL(IF($T$3:$T$230,ROW($T$3:$T$230)-ROW($T$3)+1),ROWS($N$3:N30))),"")</f>
        <v>77</v>
      </c>
      <c r="S30" cm="1" s="6">
        <f t="array" ref="S30">IFERROR(INDEX(F$3:F$230,SMALL(IF($T$3:$T$230,ROW($T$3:$T$230)-ROW($T$3)+1),ROWS($N$3:N30))),"")</f>
        <v>0</v>
      </c>
      <c r="T30" cm="1" s="7" t="b">
        <f t="array" ref="T30">SUMPRODUCT(($I$3:$I$5=B30)*($K$3:$K$5=D30)*($J$3:$J$5&gt;=C30))&gt;0</f>
        <v>0</v>
      </c>
    </row>
    <row r="31" ht="14.00" customHeight="true">
      <c r="A31" s="5">
        <v>41642</v>
      </c>
      <c r="B31" t="s" s="6">
        <v>10</v>
      </c>
      <c r="C31" s="6">
        <v>49</v>
      </c>
      <c r="D31" s="6">
        <v>895</v>
      </c>
      <c r="E31" s="6">
        <v>77</v>
      </c>
      <c r="F31" s="6">
        <v>-100</v>
      </c>
      <c r="N31" cm="1" s="5">
        <f t="array" ref="N31">IFERROR(INDEX(A$3:A$230,SMALL(IF($T$3:$T$230,ROW($T$3:$T$230)-ROW($T$3)+1),ROWS($N$3:N31))),"")</f>
        <v>41653</v>
      </c>
      <c r="O31" cm="1" s="6" t="s">
        <f t="array" ref="O31">IFERROR(INDEX(B$3:B$230,SMALL(IF($T$3:$T$230,ROW($T$3:$T$230)-ROW($T$3)+1),ROWS($N$3:N31))),"")</f>
        <v>9</v>
      </c>
      <c r="P31" cm="1" s="6">
        <f t="array" ref="P31">IFERROR(INDEX(C$3:C$230,SMALL(IF($T$3:$T$230,ROW($T$3:$T$230)-ROW($T$3)+1),ROWS($N$3:N31))),"")</f>
        <v>8</v>
      </c>
      <c r="Q31" cm="1" s="6">
        <f t="array" ref="Q31">IFERROR(INDEX(D$3:D$230,SMALL(IF($T$3:$T$230,ROW($T$3:$T$230)-ROW($T$3)+1),ROWS($N$3:N31))),"")</f>
        <v>885</v>
      </c>
      <c r="R31" cm="1" s="6">
        <f t="array" ref="R31">IFERROR(INDEX(E$3:E$230,SMALL(IF($T$3:$T$230,ROW($T$3:$T$230)-ROW($T$3)+1),ROWS($N$3:N31))),"")</f>
        <v>85</v>
      </c>
      <c r="S31" cm="1" s="6">
        <f t="array" ref="S31">IFERROR(INDEX(F$3:F$230,SMALL(IF($T$3:$T$230,ROW($T$3:$T$230)-ROW($T$3)+1),ROWS($N$3:N31))),"")</f>
        <v>0</v>
      </c>
      <c r="T31" cm="1" s="7" t="b">
        <f t="array" ref="T31">SUMPRODUCT(($I$3:$I$5=B31)*($K$3:$K$5=D31)*($J$3:$J$5&gt;=C31))&gt;0</f>
        <v>0</v>
      </c>
    </row>
    <row r="32" ht="14.00" customHeight="true">
      <c r="A32" s="5">
        <v>41642</v>
      </c>
      <c r="B32" t="s" s="6">
        <v>10</v>
      </c>
      <c r="C32" s="6">
        <v>49</v>
      </c>
      <c r="D32" s="6">
        <v>890</v>
      </c>
      <c r="E32" s="6">
        <v>55</v>
      </c>
      <c r="F32" s="6">
        <v>-50</v>
      </c>
      <c r="N32" cm="1" s="5">
        <f t="array" ref="N32">IFERROR(INDEX(A$3:A$230,SMALL(IF($T$3:$T$230,ROW($T$3:$T$230)-ROW($T$3)+1),ROWS($N$3:N32))),"")</f>
        <v>41653</v>
      </c>
      <c r="O32" cm="1" s="6" t="s">
        <f t="array" ref="O32">IFERROR(INDEX(B$3:B$230,SMALL(IF($T$3:$T$230,ROW($T$3:$T$230)-ROW($T$3)+1),ROWS($N$3:N32))),"")</f>
        <v>10</v>
      </c>
      <c r="P32" cm="1" s="6">
        <f t="array" ref="P32">IFERROR(INDEX(C$3:C$230,SMALL(IF($T$3:$T$230,ROW($T$3:$T$230)-ROW($T$3)+1),ROWS($N$3:N32))),"")</f>
        <v>38</v>
      </c>
      <c r="Q32" cm="1" s="6">
        <f t="array" ref="Q32">IFERROR(INDEX(D$3:D$230,SMALL(IF($T$3:$T$230,ROW($T$3:$T$230)-ROW($T$3)+1),ROWS($N$3:N32))),"")</f>
        <v>885</v>
      </c>
      <c r="R32" cm="1" s="6">
        <f t="array" ref="R32">IFERROR(INDEX(E$3:E$230,SMALL(IF($T$3:$T$230,ROW($T$3:$T$230)-ROW($T$3)+1),ROWS($N$3:N32))),"")</f>
        <v>89</v>
      </c>
      <c r="S32" cm="1" s="6">
        <f t="array" ref="S32">IFERROR(INDEX(F$3:F$230,SMALL(IF($T$3:$T$230,ROW($T$3:$T$230)-ROW($T$3)+1),ROWS($N$3:N32))),"")</f>
        <v>0</v>
      </c>
      <c r="T32" cm="1" s="7" t="b">
        <f t="array" ref="T32">SUMPRODUCT(($I$3:$I$5=B32)*($K$3:$K$5=D32)*($J$3:$J$5&gt;=C32))&gt;0</f>
        <v>0</v>
      </c>
    </row>
    <row r="33" ht="14.00" customHeight="true">
      <c r="A33" s="5">
        <v>41642</v>
      </c>
      <c r="B33" t="s" s="6">
        <v>10</v>
      </c>
      <c r="C33" s="6">
        <v>49</v>
      </c>
      <c r="D33" s="6">
        <v>885</v>
      </c>
      <c r="E33" s="6">
        <v>89</v>
      </c>
      <c r="F33" s="6">
        <v>0</v>
      </c>
      <c r="N33" cm="1" s="5">
        <f t="array" ref="N33">IFERROR(INDEX(A$3:A$230,SMALL(IF($T$3:$T$230,ROW($T$3:$T$230)-ROW($T$3)+1),ROWS($N$3:N33))),"")</f>
        <v>41653</v>
      </c>
      <c r="O33" cm="1" s="6" t="s">
        <f t="array" ref="O33">IFERROR(INDEX(B$3:B$230,SMALL(IF($T$3:$T$230,ROW($T$3:$T$230)-ROW($T$3)+1),ROWS($N$3:N33))),"")</f>
        <v>11</v>
      </c>
      <c r="P33" cm="1" s="6">
        <f t="array" ref="P33">IFERROR(INDEX(C$3:C$230,SMALL(IF($T$3:$T$230,ROW($T$3:$T$230)-ROW($T$3)+1),ROWS($N$3:N33))),"")</f>
        <v>68</v>
      </c>
      <c r="Q33" cm="1" s="6">
        <f t="array" ref="Q33">IFERROR(INDEX(D$3:D$230,SMALL(IF($T$3:$T$230,ROW($T$3:$T$230)-ROW($T$3)+1),ROWS($N$3:N33))),"")</f>
        <v>885</v>
      </c>
      <c r="R33" cm="1" s="6">
        <f t="array" ref="R33">IFERROR(INDEX(E$3:E$230,SMALL(IF($T$3:$T$230,ROW($T$3:$T$230)-ROW($T$3)+1),ROWS($N$3:N33))),"")</f>
        <v>77</v>
      </c>
      <c r="S33" cm="1" s="6">
        <f t="array" ref="S33">IFERROR(INDEX(F$3:F$230,SMALL(IF($T$3:$T$230,ROW($T$3:$T$230)-ROW($T$3)+1),ROWS($N$3:N33))),"")</f>
        <v>0</v>
      </c>
      <c r="T33" cm="1" s="7" t="b">
        <f t="array" ref="T33">SUMPRODUCT(($I$3:$I$5=B33)*($K$3:$K$5=D33)*($J$3:$J$5&gt;=C33))&gt;0</f>
        <v>0</v>
      </c>
    </row>
    <row r="34" ht="14.00" customHeight="true">
      <c r="A34" s="5">
        <v>41642</v>
      </c>
      <c r="B34" t="s" s="6">
        <v>10</v>
      </c>
      <c r="C34" s="6">
        <v>49</v>
      </c>
      <c r="D34" s="6">
        <v>880</v>
      </c>
      <c r="E34" s="6">
        <v>79</v>
      </c>
      <c r="F34" s="6">
        <v>50</v>
      </c>
      <c r="N34" cm="1" s="5">
        <f t="array" ref="N34">IFERROR(INDEX(A$3:A$230,SMALL(IF($T$3:$T$230,ROW($T$3:$T$230)-ROW($T$3)+1),ROWS($N$3:N34))),"")</f>
        <v>41654</v>
      </c>
      <c r="O34" cm="1" s="6" t="s">
        <f t="array" ref="O34">IFERROR(INDEX(B$3:B$230,SMALL(IF($T$3:$T$230,ROW($T$3:$T$230)-ROW($T$3)+1),ROWS($N$3:N34))),"")</f>
        <v>9</v>
      </c>
      <c r="P34" cm="1" s="6">
        <f t="array" ref="P34">IFERROR(INDEX(C$3:C$230,SMALL(IF($T$3:$T$230,ROW($T$3:$T$230)-ROW($T$3)+1),ROWS($N$3:N34))),"")</f>
        <v>7</v>
      </c>
      <c r="Q34" cm="1" s="6">
        <f t="array" ref="Q34">IFERROR(INDEX(D$3:D$230,SMALL(IF($T$3:$T$230,ROW($T$3:$T$230)-ROW($T$3)+1),ROWS($N$3:N34))),"")</f>
        <v>885</v>
      </c>
      <c r="R34" cm="1" s="6">
        <f t="array" ref="R34">IFERROR(INDEX(E$3:E$230,SMALL(IF($T$3:$T$230,ROW($T$3:$T$230)-ROW($T$3)+1),ROWS($N$3:N34))),"")</f>
        <v>85</v>
      </c>
      <c r="S34" cm="1" s="6">
        <f t="array" ref="S34">IFERROR(INDEX(F$3:F$230,SMALL(IF($T$3:$T$230,ROW($T$3:$T$230)-ROW($T$3)+1),ROWS($N$3:N34))),"")</f>
        <v>0</v>
      </c>
      <c r="T34" cm="1" s="7" t="b">
        <f t="array" ref="T34">SUMPRODUCT(($I$3:$I$5=B34)*($K$3:$K$5=D34)*($J$3:$J$5&gt;=C34))&gt;0</f>
        <v>0</v>
      </c>
    </row>
    <row r="35" ht="14.00" customHeight="true">
      <c r="A35" s="5">
        <v>41642</v>
      </c>
      <c r="B35" t="s" s="6">
        <v>11</v>
      </c>
      <c r="C35" s="6">
        <v>79</v>
      </c>
      <c r="D35" s="6">
        <v>895</v>
      </c>
      <c r="E35" s="6">
        <v>61</v>
      </c>
      <c r="F35" s="6">
        <v>-100</v>
      </c>
      <c r="N35" cm="1" s="5">
        <f t="array" ref="N35">IFERROR(INDEX(A$3:A$230,SMALL(IF($T$3:$T$230,ROW($T$3:$T$230)-ROW($T$3)+1),ROWS($N$3:N35))),"")</f>
        <v>41654</v>
      </c>
      <c r="O35" cm="1" s="6" t="s">
        <f t="array" ref="O35">IFERROR(INDEX(B$3:B$230,SMALL(IF($T$3:$T$230,ROW($T$3:$T$230)-ROW($T$3)+1),ROWS($N$3:N35))),"")</f>
        <v>10</v>
      </c>
      <c r="P35" cm="1" s="6">
        <f t="array" ref="P35">IFERROR(INDEX(C$3:C$230,SMALL(IF($T$3:$T$230,ROW($T$3:$T$230)-ROW($T$3)+1),ROWS($N$3:N35))),"")</f>
        <v>37</v>
      </c>
      <c r="Q35" cm="1" s="6">
        <f t="array" ref="Q35">IFERROR(INDEX(D$3:D$230,SMALL(IF($T$3:$T$230,ROW($T$3:$T$230)-ROW($T$3)+1),ROWS($N$3:N35))),"")</f>
        <v>885</v>
      </c>
      <c r="R35" cm="1" s="6">
        <f t="array" ref="R35">IFERROR(INDEX(E$3:E$230,SMALL(IF($T$3:$T$230,ROW($T$3:$T$230)-ROW($T$3)+1),ROWS($N$3:N35))),"")</f>
        <v>89</v>
      </c>
      <c r="S35" cm="1" s="6">
        <f t="array" ref="S35">IFERROR(INDEX(F$3:F$230,SMALL(IF($T$3:$T$230,ROW($T$3:$T$230)-ROW($T$3)+1),ROWS($N$3:N35))),"")</f>
        <v>0</v>
      </c>
      <c r="T35" cm="1" s="7" t="b">
        <f t="array" ref="T35">SUMPRODUCT(($I$3:$I$5=B35)*($K$3:$K$5=D35)*($J$3:$J$5&gt;=C35))&gt;0</f>
        <v>0</v>
      </c>
    </row>
    <row r="36" ht="14.00" customHeight="true">
      <c r="A36" s="5">
        <v>41642</v>
      </c>
      <c r="B36" t="s" s="6">
        <v>11</v>
      </c>
      <c r="C36" s="6">
        <v>79</v>
      </c>
      <c r="D36" s="6">
        <v>890</v>
      </c>
      <c r="E36" s="6">
        <v>60</v>
      </c>
      <c r="F36" s="6">
        <v>-50</v>
      </c>
      <c r="N36" cm="1" s="5">
        <f t="array" ref="N36">IFERROR(INDEX(A$3:A$230,SMALL(IF($T$3:$T$230,ROW($T$3:$T$230)-ROW($T$3)+1),ROWS($N$3:N36))),"")</f>
        <v>41654</v>
      </c>
      <c r="O36" cm="1" s="6" t="s">
        <f t="array" ref="O36">IFERROR(INDEX(B$3:B$230,SMALL(IF($T$3:$T$230,ROW($T$3:$T$230)-ROW($T$3)+1),ROWS($N$3:N36))),"")</f>
        <v>11</v>
      </c>
      <c r="P36" cm="1" s="6">
        <f t="array" ref="P36">IFERROR(INDEX(C$3:C$230,SMALL(IF($T$3:$T$230,ROW($T$3:$T$230)-ROW($T$3)+1),ROWS($N$3:N36))),"")</f>
        <v>67</v>
      </c>
      <c r="Q36" cm="1" s="6">
        <f t="array" ref="Q36">IFERROR(INDEX(D$3:D$230,SMALL(IF($T$3:$T$230,ROW($T$3:$T$230)-ROW($T$3)+1),ROWS($N$3:N36))),"")</f>
        <v>885</v>
      </c>
      <c r="R36" cm="1" s="6">
        <f t="array" ref="R36">IFERROR(INDEX(E$3:E$230,SMALL(IF($T$3:$T$230,ROW($T$3:$T$230)-ROW($T$3)+1),ROWS($N$3:N36))),"")</f>
        <v>77</v>
      </c>
      <c r="S36" cm="1" s="6">
        <f t="array" ref="S36">IFERROR(INDEX(F$3:F$230,SMALL(IF($T$3:$T$230,ROW($T$3:$T$230)-ROW($T$3)+1),ROWS($N$3:N36))),"")</f>
        <v>0</v>
      </c>
      <c r="T36" cm="1" s="7" t="b">
        <f t="array" ref="T36">SUMPRODUCT(($I$3:$I$5=B36)*($K$3:$K$5=D36)*($J$3:$J$5&gt;=C36))&gt;0</f>
        <v>0</v>
      </c>
    </row>
    <row r="37" ht="14.00" customHeight="true">
      <c r="A37" s="5">
        <v>41642</v>
      </c>
      <c r="B37" t="s" s="6">
        <v>11</v>
      </c>
      <c r="C37" s="6">
        <v>79</v>
      </c>
      <c r="D37" s="6">
        <v>885</v>
      </c>
      <c r="E37" s="6">
        <v>77</v>
      </c>
      <c r="F37" s="6">
        <v>0</v>
      </c>
      <c r="N37" cm="1" s="5">
        <f t="array" ref="N37">IFERROR(INDEX(A$3:A$230,SMALL(IF($T$3:$T$230,ROW($T$3:$T$230)-ROW($T$3)+1),ROWS($N$3:N37))),"")</f>
        <v>41655</v>
      </c>
      <c r="O37" cm="1" s="6" t="s">
        <f t="array" ref="O37">IFERROR(INDEX(B$3:B$230,SMALL(IF($T$3:$T$230,ROW($T$3:$T$230)-ROW($T$3)+1),ROWS($N$3:N37))),"")</f>
        <v>9</v>
      </c>
      <c r="P37" cm="1" s="6">
        <f t="array" ref="P37">IFERROR(INDEX(C$3:C$230,SMALL(IF($T$3:$T$230,ROW($T$3:$T$230)-ROW($T$3)+1),ROWS($N$3:N37))),"")</f>
        <v>6</v>
      </c>
      <c r="Q37" cm="1" s="6">
        <f t="array" ref="Q37">IFERROR(INDEX(D$3:D$230,SMALL(IF($T$3:$T$230,ROW($T$3:$T$230)-ROW($T$3)+1),ROWS($N$3:N37))),"")</f>
        <v>885</v>
      </c>
      <c r="R37" cm="1" s="6">
        <f t="array" ref="R37">IFERROR(INDEX(E$3:E$230,SMALL(IF($T$3:$T$230,ROW($T$3:$T$230)-ROW($T$3)+1),ROWS($N$3:N37))),"")</f>
        <v>85</v>
      </c>
      <c r="S37" cm="1" s="6">
        <f t="array" ref="S37">IFERROR(INDEX(F$3:F$230,SMALL(IF($T$3:$T$230,ROW($T$3:$T$230)-ROW($T$3)+1),ROWS($N$3:N37))),"")</f>
        <v>0</v>
      </c>
      <c r="T37" cm="1" s="7" t="b">
        <f t="array" ref="T37">SUMPRODUCT(($I$3:$I$5=B37)*($K$3:$K$5=D37)*($J$3:$J$5&gt;=C37))&gt;0</f>
        <v>0</v>
      </c>
    </row>
    <row r="38" ht="14.00" customHeight="true">
      <c r="A38" s="5">
        <v>41642</v>
      </c>
      <c r="B38" t="s" s="6">
        <v>11</v>
      </c>
      <c r="C38" s="6">
        <v>79</v>
      </c>
      <c r="D38" s="6">
        <v>880</v>
      </c>
      <c r="E38" s="6">
        <v>58</v>
      </c>
      <c r="F38" s="6">
        <v>50</v>
      </c>
      <c r="N38" cm="1" s="5">
        <f t="array" ref="N38">IFERROR(INDEX(A$3:A$230,SMALL(IF($T$3:$T$230,ROW($T$3:$T$230)-ROW($T$3)+1),ROWS($N$3:N38))),"")</f>
        <v>41655</v>
      </c>
      <c r="O38" cm="1" s="6" t="s">
        <f t="array" ref="O38">IFERROR(INDEX(B$3:B$230,SMALL(IF($T$3:$T$230,ROW($T$3:$T$230)-ROW($T$3)+1),ROWS($N$3:N38))),"")</f>
        <v>10</v>
      </c>
      <c r="P38" cm="1" s="6">
        <f t="array" ref="P38">IFERROR(INDEX(C$3:C$230,SMALL(IF($T$3:$T$230,ROW($T$3:$T$230)-ROW($T$3)+1),ROWS($N$3:N38))),"")</f>
        <v>36</v>
      </c>
      <c r="Q38" cm="1" s="6">
        <f t="array" ref="Q38">IFERROR(INDEX(D$3:D$230,SMALL(IF($T$3:$T$230,ROW($T$3:$T$230)-ROW($T$3)+1),ROWS($N$3:N38))),"")</f>
        <v>885</v>
      </c>
      <c r="R38" cm="1" s="6">
        <f t="array" ref="R38">IFERROR(INDEX(E$3:E$230,SMALL(IF($T$3:$T$230,ROW($T$3:$T$230)-ROW($T$3)+1),ROWS($N$3:N38))),"")</f>
        <v>89</v>
      </c>
      <c r="S38" cm="1" s="6">
        <f t="array" ref="S38">IFERROR(INDEX(F$3:F$230,SMALL(IF($T$3:$T$230,ROW($T$3:$T$230)-ROW($T$3)+1),ROWS($N$3:N38))),"")</f>
        <v>0</v>
      </c>
      <c r="T38" cm="1" s="7" t="b">
        <f t="array" ref="T38">SUMPRODUCT(($I$3:$I$5=B38)*($K$3:$K$5=D38)*($J$3:$J$5&gt;=C38))&gt;0</f>
        <v>0</v>
      </c>
    </row>
    <row r="39" ht="14.00" customHeight="true">
      <c r="A39" s="5">
        <v>41643</v>
      </c>
      <c r="B39" t="s" s="6">
        <v>9</v>
      </c>
      <c r="C39" s="6">
        <v>18</v>
      </c>
      <c r="D39" s="6">
        <v>895</v>
      </c>
      <c r="E39" s="6">
        <v>57</v>
      </c>
      <c r="F39" s="6">
        <v>-100</v>
      </c>
      <c r="N39" cm="1" s="5">
        <f t="array" ref="N39">IFERROR(INDEX(A$3:A$230,SMALL(IF($T$3:$T$230,ROW($T$3:$T$230)-ROW($T$3)+1),ROWS($N$3:N39))),"")</f>
        <v>41655</v>
      </c>
      <c r="O39" cm="1" s="6" t="s">
        <f t="array" ref="O39">IFERROR(INDEX(B$3:B$230,SMALL(IF($T$3:$T$230,ROW($T$3:$T$230)-ROW($T$3)+1),ROWS($N$3:N39))),"")</f>
        <v>11</v>
      </c>
      <c r="P39" cm="1" s="6">
        <f t="array" ref="P39">IFERROR(INDEX(C$3:C$230,SMALL(IF($T$3:$T$230,ROW($T$3:$T$230)-ROW($T$3)+1),ROWS($N$3:N39))),"")</f>
        <v>66</v>
      </c>
      <c r="Q39" cm="1" s="6">
        <f t="array" ref="Q39">IFERROR(INDEX(D$3:D$230,SMALL(IF($T$3:$T$230,ROW($T$3:$T$230)-ROW($T$3)+1),ROWS($N$3:N39))),"")</f>
        <v>885</v>
      </c>
      <c r="R39" cm="1" s="6">
        <f t="array" ref="R39">IFERROR(INDEX(E$3:E$230,SMALL(IF($T$3:$T$230,ROW($T$3:$T$230)-ROW($T$3)+1),ROWS($N$3:N39))),"")</f>
        <v>77</v>
      </c>
      <c r="S39" cm="1" s="6">
        <f t="array" ref="S39">IFERROR(INDEX(F$3:F$230,SMALL(IF($T$3:$T$230,ROW($T$3:$T$230)-ROW($T$3)+1),ROWS($N$3:N39))),"")</f>
        <v>0</v>
      </c>
      <c r="T39" cm="1" s="7" t="b">
        <f t="array" ref="T39">SUMPRODUCT(($I$3:$I$5=B39)*($K$3:$K$5=D39)*($J$3:$J$5&gt;=C39))&gt;0</f>
        <v>0</v>
      </c>
    </row>
    <row r="40" ht="14.00" customHeight="true">
      <c r="A40" s="5">
        <v>41643</v>
      </c>
      <c r="B40" t="s" s="6">
        <v>9</v>
      </c>
      <c r="C40" s="6">
        <v>18</v>
      </c>
      <c r="D40" s="6">
        <v>890</v>
      </c>
      <c r="E40" s="6">
        <v>59</v>
      </c>
      <c r="F40" s="6">
        <v>-50</v>
      </c>
      <c r="N40" cm="1" s="5">
        <f t="array" ref="N40">IFERROR(INDEX(A$3:A$230,SMALL(IF($T$3:$T$230,ROW($T$3:$T$230)-ROW($T$3)+1),ROWS($N$3:N40))),"")</f>
        <v>41656</v>
      </c>
      <c r="O40" cm="1" s="6" t="s">
        <f t="array" ref="O40">IFERROR(INDEX(B$3:B$230,SMALL(IF($T$3:$T$230,ROW($T$3:$T$230)-ROW($T$3)+1),ROWS($N$3:N40))),"")</f>
        <v>9</v>
      </c>
      <c r="P40" cm="1" s="6">
        <f t="array" ref="P40">IFERROR(INDEX(C$3:C$230,SMALL(IF($T$3:$T$230,ROW($T$3:$T$230)-ROW($T$3)+1),ROWS($N$3:N40))),"")</f>
        <v>5</v>
      </c>
      <c r="Q40" cm="1" s="6">
        <f t="array" ref="Q40">IFERROR(INDEX(D$3:D$230,SMALL(IF($T$3:$T$230,ROW($T$3:$T$230)-ROW($T$3)+1),ROWS($N$3:N40))),"")</f>
        <v>885</v>
      </c>
      <c r="R40" cm="1" s="6">
        <f t="array" ref="R40">IFERROR(INDEX(E$3:E$230,SMALL(IF($T$3:$T$230,ROW($T$3:$T$230)-ROW($T$3)+1),ROWS($N$3:N40))),"")</f>
        <v>85</v>
      </c>
      <c r="S40" cm="1" s="6">
        <f t="array" ref="S40">IFERROR(INDEX(F$3:F$230,SMALL(IF($T$3:$T$230,ROW($T$3:$T$230)-ROW($T$3)+1),ROWS($N$3:N40))),"")</f>
        <v>0</v>
      </c>
      <c r="T40" cm="1" s="7" t="b">
        <f t="array" ref="T40">SUMPRODUCT(($I$3:$I$5=B40)*($K$3:$K$5=D40)*($J$3:$J$5&gt;=C40))&gt;0</f>
        <v>0</v>
      </c>
    </row>
    <row r="41" ht="14.00" customHeight="true">
      <c r="A41" s="5">
        <v>41643</v>
      </c>
      <c r="B41" t="s" s="6">
        <v>9</v>
      </c>
      <c r="C41" s="6">
        <v>18</v>
      </c>
      <c r="D41" s="6">
        <v>885</v>
      </c>
      <c r="E41" s="6">
        <v>85</v>
      </c>
      <c r="F41" s="6">
        <v>0</v>
      </c>
      <c r="N41" cm="1" s="5">
        <f t="array" ref="N41">IFERROR(INDEX(A$3:A$230,SMALL(IF($T$3:$T$230,ROW($T$3:$T$230)-ROW($T$3)+1),ROWS($N$3:N41))),"")</f>
        <v>41656</v>
      </c>
      <c r="O41" cm="1" s="6" t="s">
        <f t="array" ref="O41">IFERROR(INDEX(B$3:B$230,SMALL(IF($T$3:$T$230,ROW($T$3:$T$230)-ROW($T$3)+1),ROWS($N$3:N41))),"")</f>
        <v>10</v>
      </c>
      <c r="P41" cm="1" s="6">
        <f t="array" ref="P41">IFERROR(INDEX(C$3:C$230,SMALL(IF($T$3:$T$230,ROW($T$3:$T$230)-ROW($T$3)+1),ROWS($N$3:N41))),"")</f>
        <v>35</v>
      </c>
      <c r="Q41" cm="1" s="6">
        <f t="array" ref="Q41">IFERROR(INDEX(D$3:D$230,SMALL(IF($T$3:$T$230,ROW($T$3:$T$230)-ROW($T$3)+1),ROWS($N$3:N41))),"")</f>
        <v>885</v>
      </c>
      <c r="R41" cm="1" s="6">
        <f t="array" ref="R41">IFERROR(INDEX(E$3:E$230,SMALL(IF($T$3:$T$230,ROW($T$3:$T$230)-ROW($T$3)+1),ROWS($N$3:N41))),"")</f>
        <v>89</v>
      </c>
      <c r="S41" cm="1" s="6">
        <f t="array" ref="S41">IFERROR(INDEX(F$3:F$230,SMALL(IF($T$3:$T$230,ROW($T$3:$T$230)-ROW($T$3)+1),ROWS($N$3:N41))),"")</f>
        <v>0</v>
      </c>
      <c r="T41" cm="1" s="7" t="b">
        <f t="array" ref="T41">SUMPRODUCT(($I$3:$I$5=B41)*($K$3:$K$5=D41)*($J$3:$J$5&gt;=C41))&gt;0</f>
        <v>1</v>
      </c>
    </row>
    <row r="42" ht="14.00" customHeight="true">
      <c r="A42" s="5">
        <v>41643</v>
      </c>
      <c r="B42" t="s" s="6">
        <v>9</v>
      </c>
      <c r="C42" s="6">
        <v>18</v>
      </c>
      <c r="D42" s="6">
        <v>880</v>
      </c>
      <c r="E42" s="6">
        <v>99</v>
      </c>
      <c r="F42" s="6">
        <v>50</v>
      </c>
      <c r="N42" cm="1" s="5">
        <f t="array" ref="N42">IFERROR(INDEX(A$3:A$230,SMALL(IF($T$3:$T$230,ROW($T$3:$T$230)-ROW($T$3)+1),ROWS($N$3:N42))),"")</f>
        <v>41656</v>
      </c>
      <c r="O42" cm="1" s="6" t="s">
        <f t="array" ref="O42">IFERROR(INDEX(B$3:B$230,SMALL(IF($T$3:$T$230,ROW($T$3:$T$230)-ROW($T$3)+1),ROWS($N$3:N42))),"")</f>
        <v>11</v>
      </c>
      <c r="P42" cm="1" s="6">
        <f t="array" ref="P42">IFERROR(INDEX(C$3:C$230,SMALL(IF($T$3:$T$230,ROW($T$3:$T$230)-ROW($T$3)+1),ROWS($N$3:N42))),"")</f>
        <v>65</v>
      </c>
      <c r="Q42" cm="1" s="6">
        <f t="array" ref="Q42">IFERROR(INDEX(D$3:D$230,SMALL(IF($T$3:$T$230,ROW($T$3:$T$230)-ROW($T$3)+1),ROWS($N$3:N42))),"")</f>
        <v>885</v>
      </c>
      <c r="R42" cm="1" s="6">
        <f t="array" ref="R42">IFERROR(INDEX(E$3:E$230,SMALL(IF($T$3:$T$230,ROW($T$3:$T$230)-ROW($T$3)+1),ROWS($N$3:N42))),"")</f>
        <v>77</v>
      </c>
      <c r="S42" cm="1" s="6">
        <f t="array" ref="S42">IFERROR(INDEX(F$3:F$230,SMALL(IF($T$3:$T$230,ROW($T$3:$T$230)-ROW($T$3)+1),ROWS($N$3:N42))),"")</f>
        <v>0</v>
      </c>
      <c r="T42" cm="1" s="7" t="b">
        <f t="array" ref="T42">SUMPRODUCT(($I$3:$I$5=B42)*($K$3:$K$5=D42)*($J$3:$J$5&gt;=C42))&gt;0</f>
        <v>0</v>
      </c>
    </row>
    <row r="43" ht="14.00" customHeight="true">
      <c r="A43" s="5">
        <v>41643</v>
      </c>
      <c r="B43" t="s" s="6">
        <v>10</v>
      </c>
      <c r="C43" s="6">
        <v>48</v>
      </c>
      <c r="D43" s="6">
        <v>895</v>
      </c>
      <c r="E43" s="6">
        <v>77</v>
      </c>
      <c r="F43" s="6">
        <v>-100</v>
      </c>
      <c r="N43" cm="1" s="5">
        <f t="array" ref="N43">IFERROR(INDEX(A$3:A$230,SMALL(IF($T$3:$T$230,ROW($T$3:$T$230)-ROW($T$3)+1),ROWS($N$3:N43))),"")</f>
        <v>41657</v>
      </c>
      <c r="O43" cm="1" s="6" t="s">
        <f t="array" ref="O43">IFERROR(INDEX(B$3:B$230,SMALL(IF($T$3:$T$230,ROW($T$3:$T$230)-ROW($T$3)+1),ROWS($N$3:N43))),"")</f>
        <v>9</v>
      </c>
      <c r="P43" cm="1" s="6">
        <f t="array" ref="P43">IFERROR(INDEX(C$3:C$230,SMALL(IF($T$3:$T$230,ROW($T$3:$T$230)-ROW($T$3)+1),ROWS($N$3:N43))),"")</f>
        <v>4</v>
      </c>
      <c r="Q43" cm="1" s="6">
        <f t="array" ref="Q43">IFERROR(INDEX(D$3:D$230,SMALL(IF($T$3:$T$230,ROW($T$3:$T$230)-ROW($T$3)+1),ROWS($N$3:N43))),"")</f>
        <v>885</v>
      </c>
      <c r="R43" cm="1" s="6">
        <f t="array" ref="R43">IFERROR(INDEX(E$3:E$230,SMALL(IF($T$3:$T$230,ROW($T$3:$T$230)-ROW($T$3)+1),ROWS($N$3:N43))),"")</f>
        <v>85</v>
      </c>
      <c r="S43" cm="1" s="6">
        <f t="array" ref="S43">IFERROR(INDEX(F$3:F$230,SMALL(IF($T$3:$T$230,ROW($T$3:$T$230)-ROW($T$3)+1),ROWS($N$3:N43))),"")</f>
        <v>0</v>
      </c>
      <c r="T43" cm="1" s="7" t="b">
        <f t="array" ref="T43">SUMPRODUCT(($I$3:$I$5=B43)*($K$3:$K$5=D43)*($J$3:$J$5&gt;=C43))&gt;0</f>
        <v>0</v>
      </c>
    </row>
    <row r="44" ht="14.00" customHeight="true">
      <c r="A44" s="5">
        <v>41643</v>
      </c>
      <c r="B44" t="s" s="6">
        <v>10</v>
      </c>
      <c r="C44" s="6">
        <v>48</v>
      </c>
      <c r="D44" s="6">
        <v>890</v>
      </c>
      <c r="E44" s="6">
        <v>55</v>
      </c>
      <c r="F44" s="6">
        <v>-50</v>
      </c>
      <c r="N44" cm="1" s="5">
        <f t="array" ref="N44">IFERROR(INDEX(A$3:A$230,SMALL(IF($T$3:$T$230,ROW($T$3:$T$230)-ROW($T$3)+1),ROWS($N$3:N44))),"")</f>
        <v>41657</v>
      </c>
      <c r="O44" cm="1" s="6" t="s">
        <f t="array" ref="O44">IFERROR(INDEX(B$3:B$230,SMALL(IF($T$3:$T$230,ROW($T$3:$T$230)-ROW($T$3)+1),ROWS($N$3:N44))),"")</f>
        <v>10</v>
      </c>
      <c r="P44" cm="1" s="6">
        <f t="array" ref="P44">IFERROR(INDEX(C$3:C$230,SMALL(IF($T$3:$T$230,ROW($T$3:$T$230)-ROW($T$3)+1),ROWS($N$3:N44))),"")</f>
        <v>34</v>
      </c>
      <c r="Q44" cm="1" s="6">
        <f t="array" ref="Q44">IFERROR(INDEX(D$3:D$230,SMALL(IF($T$3:$T$230,ROW($T$3:$T$230)-ROW($T$3)+1),ROWS($N$3:N44))),"")</f>
        <v>885</v>
      </c>
      <c r="R44" cm="1" s="6">
        <f t="array" ref="R44">IFERROR(INDEX(E$3:E$230,SMALL(IF($T$3:$T$230,ROW($T$3:$T$230)-ROW($T$3)+1),ROWS($N$3:N44))),"")</f>
        <v>89</v>
      </c>
      <c r="S44" cm="1" s="6">
        <f t="array" ref="S44">IFERROR(INDEX(F$3:F$230,SMALL(IF($T$3:$T$230,ROW($T$3:$T$230)-ROW($T$3)+1),ROWS($N$3:N44))),"")</f>
        <v>0</v>
      </c>
      <c r="T44" cm="1" s="7" t="b">
        <f t="array" ref="T44">SUMPRODUCT(($I$3:$I$5=B44)*($K$3:$K$5=D44)*($J$3:$J$5&gt;=C44))&gt;0</f>
        <v>0</v>
      </c>
    </row>
    <row r="45" ht="14.00" customHeight="true">
      <c r="A45" s="5">
        <v>41643</v>
      </c>
      <c r="B45" t="s" s="6">
        <v>10</v>
      </c>
      <c r="C45" s="6">
        <v>48</v>
      </c>
      <c r="D45" s="6">
        <v>885</v>
      </c>
      <c r="E45" s="6">
        <v>89</v>
      </c>
      <c r="F45" s="6">
        <v>0</v>
      </c>
      <c r="N45" cm="1" s="5">
        <f t="array" ref="N45">IFERROR(INDEX(A$3:A$230,SMALL(IF($T$3:$T$230,ROW($T$3:$T$230)-ROW($T$3)+1),ROWS($N$3:N45))),"")</f>
        <v>41657</v>
      </c>
      <c r="O45" cm="1" s="6" t="s">
        <f t="array" ref="O45">IFERROR(INDEX(B$3:B$230,SMALL(IF($T$3:$T$230,ROW($T$3:$T$230)-ROW($T$3)+1),ROWS($N$3:N45))),"")</f>
        <v>11</v>
      </c>
      <c r="P45" cm="1" s="6">
        <f t="array" ref="P45">IFERROR(INDEX(C$3:C$230,SMALL(IF($T$3:$T$230,ROW($T$3:$T$230)-ROW($T$3)+1),ROWS($N$3:N45))),"")</f>
        <v>64</v>
      </c>
      <c r="Q45" cm="1" s="6">
        <f t="array" ref="Q45">IFERROR(INDEX(D$3:D$230,SMALL(IF($T$3:$T$230,ROW($T$3:$T$230)-ROW($T$3)+1),ROWS($N$3:N45))),"")</f>
        <v>885</v>
      </c>
      <c r="R45" cm="1" s="6">
        <f t="array" ref="R45">IFERROR(INDEX(E$3:E$230,SMALL(IF($T$3:$T$230,ROW($T$3:$T$230)-ROW($T$3)+1),ROWS($N$3:N45))),"")</f>
        <v>77</v>
      </c>
      <c r="S45" cm="1" s="6">
        <f t="array" ref="S45">IFERROR(INDEX(F$3:F$230,SMALL(IF($T$3:$T$230,ROW($T$3:$T$230)-ROW($T$3)+1),ROWS($N$3:N45))),"")</f>
        <v>0</v>
      </c>
      <c r="T45" cm="1" s="7" t="b">
        <f t="array" ref="T45">SUMPRODUCT(($I$3:$I$5=B45)*($K$3:$K$5=D45)*($J$3:$J$5&gt;=C45))&gt;0</f>
        <v>0</v>
      </c>
    </row>
    <row r="46" ht="14.00" customHeight="true">
      <c r="A46" s="5">
        <v>41643</v>
      </c>
      <c r="B46" t="s" s="6">
        <v>10</v>
      </c>
      <c r="C46" s="6">
        <v>48</v>
      </c>
      <c r="D46" s="6">
        <v>880</v>
      </c>
      <c r="E46" s="6">
        <v>79</v>
      </c>
      <c r="F46" s="6">
        <v>50</v>
      </c>
      <c r="N46" cm="1" s="5">
        <f t="array" ref="N46">IFERROR(INDEX(A$3:A$230,SMALL(IF($T$3:$T$230,ROW($T$3:$T$230)-ROW($T$3)+1),ROWS($N$3:N46))),"")</f>
        <v>41658</v>
      </c>
      <c r="O46" cm="1" s="6" t="s">
        <f t="array" ref="O46">IFERROR(INDEX(B$3:B$230,SMALL(IF($T$3:$T$230,ROW($T$3:$T$230)-ROW($T$3)+1),ROWS($N$3:N46))),"")</f>
        <v>9</v>
      </c>
      <c r="P46" cm="1" s="6">
        <f t="array" ref="P46">IFERROR(INDEX(C$3:C$230,SMALL(IF($T$3:$T$230,ROW($T$3:$T$230)-ROW($T$3)+1),ROWS($N$3:N46))),"")</f>
        <v>3</v>
      </c>
      <c r="Q46" cm="1" s="6">
        <f t="array" ref="Q46">IFERROR(INDEX(D$3:D$230,SMALL(IF($T$3:$T$230,ROW($T$3:$T$230)-ROW($T$3)+1),ROWS($N$3:N46))),"")</f>
        <v>885</v>
      </c>
      <c r="R46" cm="1" s="6">
        <f t="array" ref="R46">IFERROR(INDEX(E$3:E$230,SMALL(IF($T$3:$T$230,ROW($T$3:$T$230)-ROW($T$3)+1),ROWS($N$3:N46))),"")</f>
        <v>85</v>
      </c>
      <c r="S46" cm="1" s="6">
        <f t="array" ref="S46">IFERROR(INDEX(F$3:F$230,SMALL(IF($T$3:$T$230,ROW($T$3:$T$230)-ROW($T$3)+1),ROWS($N$3:N46))),"")</f>
        <v>0</v>
      </c>
      <c r="T46" cm="1" s="7" t="b">
        <f t="array" ref="T46">SUMPRODUCT(($I$3:$I$5=B46)*($K$3:$K$5=D46)*($J$3:$J$5&gt;=C46))&gt;0</f>
        <v>0</v>
      </c>
    </row>
    <row r="47" ht="14.00" customHeight="true">
      <c r="A47" s="5">
        <v>41643</v>
      </c>
      <c r="B47" t="s" s="6">
        <v>11</v>
      </c>
      <c r="C47" s="6">
        <v>78</v>
      </c>
      <c r="D47" s="6">
        <v>895</v>
      </c>
      <c r="E47" s="6">
        <v>61</v>
      </c>
      <c r="F47" s="6">
        <v>-100</v>
      </c>
      <c r="N47" cm="1" s="5">
        <f t="array" ref="N47">IFERROR(INDEX(A$3:A$230,SMALL(IF($T$3:$T$230,ROW($T$3:$T$230)-ROW($T$3)+1),ROWS($N$3:N47))),"")</f>
        <v>41658</v>
      </c>
      <c r="O47" cm="1" s="6" t="s">
        <f t="array" ref="O47">IFERROR(INDEX(B$3:B$230,SMALL(IF($T$3:$T$230,ROW($T$3:$T$230)-ROW($T$3)+1),ROWS($N$3:N47))),"")</f>
        <v>10</v>
      </c>
      <c r="P47" cm="1" s="6">
        <f t="array" ref="P47">IFERROR(INDEX(C$3:C$230,SMALL(IF($T$3:$T$230,ROW($T$3:$T$230)-ROW($T$3)+1),ROWS($N$3:N47))),"")</f>
        <v>33</v>
      </c>
      <c r="Q47" cm="1" s="6">
        <f t="array" ref="Q47">IFERROR(INDEX(D$3:D$230,SMALL(IF($T$3:$T$230,ROW($T$3:$T$230)-ROW($T$3)+1),ROWS($N$3:N47))),"")</f>
        <v>885</v>
      </c>
      <c r="R47" cm="1" s="6">
        <f t="array" ref="R47">IFERROR(INDEX(E$3:E$230,SMALL(IF($T$3:$T$230,ROW($T$3:$T$230)-ROW($T$3)+1),ROWS($N$3:N47))),"")</f>
        <v>89</v>
      </c>
      <c r="S47" cm="1" s="6">
        <f t="array" ref="S47">IFERROR(INDEX(F$3:F$230,SMALL(IF($T$3:$T$230,ROW($T$3:$T$230)-ROW($T$3)+1),ROWS($N$3:N47))),"")</f>
        <v>0</v>
      </c>
      <c r="T47" cm="1" s="7" t="b">
        <f t="array" ref="T47">SUMPRODUCT(($I$3:$I$5=B47)*($K$3:$K$5=D47)*($J$3:$J$5&gt;=C47))&gt;0</f>
        <v>0</v>
      </c>
    </row>
    <row r="48" ht="14.00" customHeight="true">
      <c r="A48" s="5">
        <v>41643</v>
      </c>
      <c r="B48" t="s" s="6">
        <v>11</v>
      </c>
      <c r="C48" s="6">
        <v>78</v>
      </c>
      <c r="D48" s="6">
        <v>890</v>
      </c>
      <c r="E48" s="6">
        <v>60</v>
      </c>
      <c r="F48" s="6">
        <v>-50</v>
      </c>
      <c r="N48" cm="1" s="5">
        <f t="array" ref="N48">IFERROR(INDEX(A$3:A$230,SMALL(IF($T$3:$T$230,ROW($T$3:$T$230)-ROW($T$3)+1),ROWS($N$3:N48))),"")</f>
        <v>41658</v>
      </c>
      <c r="O48" cm="1" s="6" t="s">
        <f t="array" ref="O48">IFERROR(INDEX(B$3:B$230,SMALL(IF($T$3:$T$230,ROW($T$3:$T$230)-ROW($T$3)+1),ROWS($N$3:N48))),"")</f>
        <v>11</v>
      </c>
      <c r="P48" cm="1" s="6">
        <f t="array" ref="P48">IFERROR(INDEX(C$3:C$230,SMALL(IF($T$3:$T$230,ROW($T$3:$T$230)-ROW($T$3)+1),ROWS($N$3:N48))),"")</f>
        <v>63</v>
      </c>
      <c r="Q48" cm="1" s="6">
        <f t="array" ref="Q48">IFERROR(INDEX(D$3:D$230,SMALL(IF($T$3:$T$230,ROW($T$3:$T$230)-ROW($T$3)+1),ROWS($N$3:N48))),"")</f>
        <v>885</v>
      </c>
      <c r="R48" cm="1" s="6">
        <f t="array" ref="R48">IFERROR(INDEX(E$3:E$230,SMALL(IF($T$3:$T$230,ROW($T$3:$T$230)-ROW($T$3)+1),ROWS($N$3:N48))),"")</f>
        <v>77</v>
      </c>
      <c r="S48" cm="1" s="6">
        <f t="array" ref="S48">IFERROR(INDEX(F$3:F$230,SMALL(IF($T$3:$T$230,ROW($T$3:$T$230)-ROW($T$3)+1),ROWS($N$3:N48))),"")</f>
        <v>0</v>
      </c>
      <c r="T48" cm="1" s="7" t="b">
        <f t="array" ref="T48">SUMPRODUCT(($I$3:$I$5=B48)*($K$3:$K$5=D48)*($J$3:$J$5&gt;=C48))&gt;0</f>
        <v>0</v>
      </c>
    </row>
    <row r="49" ht="14.00" customHeight="true">
      <c r="A49" s="5">
        <v>41643</v>
      </c>
      <c r="B49" t="s" s="6">
        <v>11</v>
      </c>
      <c r="C49" s="6">
        <v>78</v>
      </c>
      <c r="D49" s="6">
        <v>885</v>
      </c>
      <c r="E49" s="6">
        <v>77</v>
      </c>
      <c r="F49" s="6">
        <v>0</v>
      </c>
      <c r="T49" cm="1" s="7" t="b">
        <f t="array" ref="T49">SUMPRODUCT(($I$3:$I$5=B49)*($K$3:$K$5=D49)*($J$3:$J$5&gt;=C49))&gt;0</f>
        <v>0</v>
      </c>
    </row>
    <row r="50" ht="14.00" customHeight="true">
      <c r="A50" s="5">
        <v>41643</v>
      </c>
      <c r="B50" t="s" s="6">
        <v>11</v>
      </c>
      <c r="C50" s="6">
        <v>78</v>
      </c>
      <c r="D50" s="6">
        <v>880</v>
      </c>
      <c r="E50" s="6">
        <v>58</v>
      </c>
      <c r="F50" s="6">
        <v>50</v>
      </c>
      <c r="T50" cm="1" s="7" t="b">
        <f t="array" ref="T50">SUMPRODUCT(($I$3:$I$5=B50)*($K$3:$K$5=D50)*($J$3:$J$5&gt;=C50))&gt;0</f>
        <v>0</v>
      </c>
    </row>
    <row r="51" ht="14.00" customHeight="true">
      <c r="A51" s="5">
        <v>41644</v>
      </c>
      <c r="B51" t="s" s="6">
        <v>9</v>
      </c>
      <c r="C51" s="6">
        <v>17</v>
      </c>
      <c r="D51" s="6">
        <v>895</v>
      </c>
      <c r="E51" s="6">
        <v>57</v>
      </c>
      <c r="F51" s="6">
        <v>-100</v>
      </c>
      <c r="T51" cm="1" s="7" t="b">
        <f t="array" ref="T51">SUMPRODUCT(($I$3:$I$5=B51)*($K$3:$K$5=D51)*($J$3:$J$5&gt;=C51))&gt;0</f>
        <v>0</v>
      </c>
    </row>
    <row r="52" ht="14.00" customHeight="true">
      <c r="A52" s="5">
        <v>41644</v>
      </c>
      <c r="B52" t="s" s="6">
        <v>9</v>
      </c>
      <c r="C52" s="6">
        <v>17</v>
      </c>
      <c r="D52" s="6">
        <v>890</v>
      </c>
      <c r="E52" s="6">
        <v>59</v>
      </c>
      <c r="F52" s="6">
        <v>-50</v>
      </c>
      <c r="T52" cm="1" s="7" t="b">
        <f t="array" ref="T52">SUMPRODUCT(($I$3:$I$5=B52)*($K$3:$K$5=D52)*($J$3:$J$5&gt;=C52))&gt;0</f>
        <v>0</v>
      </c>
    </row>
    <row r="53" ht="14.00" customHeight="true">
      <c r="A53" s="5">
        <v>41644</v>
      </c>
      <c r="B53" t="s" s="6">
        <v>9</v>
      </c>
      <c r="C53" s="6">
        <v>17</v>
      </c>
      <c r="D53" s="6">
        <v>885</v>
      </c>
      <c r="E53" s="6">
        <v>85</v>
      </c>
      <c r="F53" s="6">
        <v>0</v>
      </c>
      <c r="T53" cm="1" s="7" t="b">
        <f t="array" ref="T53">SUMPRODUCT(($I$3:$I$5=B53)*($K$3:$K$5=D53)*($J$3:$J$5&gt;=C53))&gt;0</f>
        <v>1</v>
      </c>
    </row>
    <row r="54" ht="14.00" customHeight="true">
      <c r="A54" s="5">
        <v>41644</v>
      </c>
      <c r="B54" t="s" s="6">
        <v>9</v>
      </c>
      <c r="C54" s="6">
        <v>17</v>
      </c>
      <c r="D54" s="6">
        <v>880</v>
      </c>
      <c r="E54" s="6">
        <v>99</v>
      </c>
      <c r="F54" s="6">
        <v>50</v>
      </c>
      <c r="T54" cm="1" s="7" t="b">
        <f t="array" ref="T54">SUMPRODUCT(($I$3:$I$5=B54)*($K$3:$K$5=D54)*($J$3:$J$5&gt;=C54))&gt;0</f>
        <v>0</v>
      </c>
    </row>
    <row r="55" ht="14.00" customHeight="true">
      <c r="A55" s="5">
        <v>41644</v>
      </c>
      <c r="B55" t="s" s="6">
        <v>10</v>
      </c>
      <c r="C55" s="6">
        <v>47</v>
      </c>
      <c r="D55" s="6">
        <v>895</v>
      </c>
      <c r="E55" s="6">
        <v>77</v>
      </c>
      <c r="F55" s="6">
        <v>-100</v>
      </c>
      <c r="T55" cm="1" s="7" t="b">
        <f t="array" ref="T55">SUMPRODUCT(($I$3:$I$5=B55)*($K$3:$K$5=D55)*($J$3:$J$5&gt;=C55))&gt;0</f>
        <v>0</v>
      </c>
    </row>
    <row r="56" ht="14.00" customHeight="true">
      <c r="A56" s="5">
        <v>41644</v>
      </c>
      <c r="B56" t="s" s="6">
        <v>10</v>
      </c>
      <c r="C56" s="6">
        <v>47</v>
      </c>
      <c r="D56" s="6">
        <v>890</v>
      </c>
      <c r="E56" s="6">
        <v>55</v>
      </c>
      <c r="F56" s="6">
        <v>-50</v>
      </c>
      <c r="T56" cm="1" s="7" t="b">
        <f t="array" ref="T56">SUMPRODUCT(($I$3:$I$5=B56)*($K$3:$K$5=D56)*($J$3:$J$5&gt;=C56))&gt;0</f>
        <v>0</v>
      </c>
    </row>
    <row r="57" ht="14.00" customHeight="true">
      <c r="A57" s="5">
        <v>41644</v>
      </c>
      <c r="B57" t="s" s="6">
        <v>10</v>
      </c>
      <c r="C57" s="6">
        <v>47</v>
      </c>
      <c r="D57" s="6">
        <v>885</v>
      </c>
      <c r="E57" s="6">
        <v>89</v>
      </c>
      <c r="F57" s="6">
        <v>0</v>
      </c>
      <c r="T57" cm="1" s="7" t="b">
        <f t="array" ref="T57">SUMPRODUCT(($I$3:$I$5=B57)*($K$3:$K$5=D57)*($J$3:$J$5&gt;=C57))&gt;0</f>
        <v>1</v>
      </c>
    </row>
    <row r="58" ht="14.00" customHeight="true">
      <c r="A58" s="5">
        <v>41644</v>
      </c>
      <c r="B58" t="s" s="6">
        <v>10</v>
      </c>
      <c r="C58" s="6">
        <v>47</v>
      </c>
      <c r="D58" s="6">
        <v>880</v>
      </c>
      <c r="E58" s="6">
        <v>79</v>
      </c>
      <c r="F58" s="6">
        <v>50</v>
      </c>
      <c r="T58" cm="1" s="7" t="b">
        <f t="array" ref="T58">SUMPRODUCT(($I$3:$I$5=B58)*($K$3:$K$5=D58)*($J$3:$J$5&gt;=C58))&gt;0</f>
        <v>0</v>
      </c>
    </row>
    <row r="59" ht="14.00" customHeight="true">
      <c r="A59" s="5">
        <v>41644</v>
      </c>
      <c r="B59" t="s" s="6">
        <v>11</v>
      </c>
      <c r="C59" s="6">
        <v>77</v>
      </c>
      <c r="D59" s="6">
        <v>895</v>
      </c>
      <c r="E59" s="6">
        <v>61</v>
      </c>
      <c r="F59" s="6">
        <v>-100</v>
      </c>
      <c r="T59" cm="1" s="7" t="b">
        <f t="array" ref="T59">SUMPRODUCT(($I$3:$I$5=B59)*($K$3:$K$5=D59)*($J$3:$J$5&gt;=C59))&gt;0</f>
        <v>0</v>
      </c>
    </row>
    <row r="60" ht="14.00" customHeight="true">
      <c r="A60" s="5">
        <v>41644</v>
      </c>
      <c r="B60" t="s" s="6">
        <v>11</v>
      </c>
      <c r="C60" s="6">
        <v>77</v>
      </c>
      <c r="D60" s="6">
        <v>890</v>
      </c>
      <c r="E60" s="6">
        <v>60</v>
      </c>
      <c r="F60" s="6">
        <v>-50</v>
      </c>
      <c r="T60" cm="1" s="7" t="b">
        <f t="array" ref="T60">SUMPRODUCT(($I$3:$I$5=B60)*($K$3:$K$5=D60)*($J$3:$J$5&gt;=C60))&gt;0</f>
        <v>0</v>
      </c>
    </row>
    <row r="61" ht="14.00" customHeight="true">
      <c r="A61" s="5">
        <v>41644</v>
      </c>
      <c r="B61" t="s" s="6">
        <v>11</v>
      </c>
      <c r="C61" s="6">
        <v>77</v>
      </c>
      <c r="D61" s="6">
        <v>885</v>
      </c>
      <c r="E61" s="6">
        <v>77</v>
      </c>
      <c r="F61" s="6">
        <v>0</v>
      </c>
      <c r="T61" cm="1" s="7" t="b">
        <f t="array" ref="T61">SUMPRODUCT(($I$3:$I$5=B61)*($K$3:$K$5=D61)*($J$3:$J$5&gt;=C61))&gt;0</f>
        <v>1</v>
      </c>
    </row>
    <row r="62" ht="14.00" customHeight="true">
      <c r="A62" s="5">
        <v>41644</v>
      </c>
      <c r="B62" t="s" s="6">
        <v>11</v>
      </c>
      <c r="C62" s="6">
        <v>77</v>
      </c>
      <c r="D62" s="6">
        <v>880</v>
      </c>
      <c r="E62" s="6">
        <v>58</v>
      </c>
      <c r="F62" s="6">
        <v>50</v>
      </c>
      <c r="T62" cm="1" s="7" t="b">
        <f t="array" ref="T62">SUMPRODUCT(($I$3:$I$5=B62)*($K$3:$K$5=D62)*($J$3:$J$5&gt;=C62))&gt;0</f>
        <v>0</v>
      </c>
    </row>
    <row r="63" ht="14.00" customHeight="true">
      <c r="A63" s="5">
        <v>41645</v>
      </c>
      <c r="B63" t="s" s="6">
        <v>9</v>
      </c>
      <c r="C63" s="6">
        <v>16</v>
      </c>
      <c r="D63" s="6">
        <v>895</v>
      </c>
      <c r="E63" s="6">
        <v>57</v>
      </c>
      <c r="F63" s="6">
        <v>-100</v>
      </c>
      <c r="T63" cm="1" s="7" t="b">
        <f t="array" ref="T63">SUMPRODUCT(($I$3:$I$5=B63)*($K$3:$K$5=D63)*($J$3:$J$5&gt;=C63))&gt;0</f>
        <v>0</v>
      </c>
    </row>
    <row r="64" ht="14.00" customHeight="true">
      <c r="A64" s="5">
        <v>41645</v>
      </c>
      <c r="B64" t="s" s="6">
        <v>9</v>
      </c>
      <c r="C64" s="6">
        <v>16</v>
      </c>
      <c r="D64" s="6">
        <v>890</v>
      </c>
      <c r="E64" s="6">
        <v>59</v>
      </c>
      <c r="F64" s="6">
        <v>-50</v>
      </c>
      <c r="T64" cm="1" s="7" t="b">
        <f t="array" ref="T64">SUMPRODUCT(($I$3:$I$5=B64)*($K$3:$K$5=D64)*($J$3:$J$5&gt;=C64))&gt;0</f>
        <v>0</v>
      </c>
    </row>
    <row r="65" ht="14.00" customHeight="true">
      <c r="A65" s="5">
        <v>41645</v>
      </c>
      <c r="B65" t="s" s="6">
        <v>9</v>
      </c>
      <c r="C65" s="6">
        <v>16</v>
      </c>
      <c r="D65" s="6">
        <v>885</v>
      </c>
      <c r="E65" s="6">
        <v>85</v>
      </c>
      <c r="F65" s="6">
        <v>0</v>
      </c>
      <c r="T65" cm="1" s="7" t="b">
        <f t="array" ref="T65">SUMPRODUCT(($I$3:$I$5=B65)*($K$3:$K$5=D65)*($J$3:$J$5&gt;=C65))&gt;0</f>
        <v>1</v>
      </c>
    </row>
    <row r="66" ht="14.00" customHeight="true">
      <c r="A66" s="5">
        <v>41645</v>
      </c>
      <c r="B66" t="s" s="6">
        <v>9</v>
      </c>
      <c r="C66" s="6">
        <v>16</v>
      </c>
      <c r="D66" s="6">
        <v>880</v>
      </c>
      <c r="E66" s="6">
        <v>99</v>
      </c>
      <c r="F66" s="6">
        <v>50</v>
      </c>
      <c r="T66" cm="1" s="7" t="b">
        <f t="array" ref="T66">SUMPRODUCT(($I$3:$I$5=B66)*($K$3:$K$5=D66)*($J$3:$J$5&gt;=C66))&gt;0</f>
        <v>0</v>
      </c>
    </row>
    <row r="67" ht="14.00" customHeight="true">
      <c r="A67" s="5">
        <v>41645</v>
      </c>
      <c r="B67" t="s" s="6">
        <v>10</v>
      </c>
      <c r="C67" s="6">
        <v>46</v>
      </c>
      <c r="D67" s="6">
        <v>895</v>
      </c>
      <c r="E67" s="6">
        <v>77</v>
      </c>
      <c r="F67" s="6">
        <v>-100</v>
      </c>
      <c r="T67" cm="1" s="7" t="b">
        <f t="array" ref="T67">SUMPRODUCT(($I$3:$I$5=B67)*($K$3:$K$5=D67)*($J$3:$J$5&gt;=C67))&gt;0</f>
        <v>0</v>
      </c>
    </row>
    <row r="68" ht="14.00" customHeight="true">
      <c r="A68" s="5">
        <v>41645</v>
      </c>
      <c r="B68" t="s" s="6">
        <v>10</v>
      </c>
      <c r="C68" s="6">
        <v>46</v>
      </c>
      <c r="D68" s="6">
        <v>890</v>
      </c>
      <c r="E68" s="6">
        <v>55</v>
      </c>
      <c r="F68" s="6">
        <v>-50</v>
      </c>
      <c r="T68" cm="1" s="7" t="b">
        <f t="array" ref="T68">SUMPRODUCT(($I$3:$I$5=B68)*($K$3:$K$5=D68)*($J$3:$J$5&gt;=C68))&gt;0</f>
        <v>0</v>
      </c>
    </row>
    <row r="69" ht="14.00" customHeight="true">
      <c r="A69" s="5">
        <v>41645</v>
      </c>
      <c r="B69" t="s" s="6">
        <v>10</v>
      </c>
      <c r="C69" s="6">
        <v>46</v>
      </c>
      <c r="D69" s="6">
        <v>885</v>
      </c>
      <c r="E69" s="6">
        <v>89</v>
      </c>
      <c r="F69" s="6">
        <v>0</v>
      </c>
      <c r="T69" cm="1" s="7" t="b">
        <f t="array" ref="T69">SUMPRODUCT(($I$3:$I$5=B69)*($K$3:$K$5=D69)*($J$3:$J$5&gt;=C69))&gt;0</f>
        <v>1</v>
      </c>
    </row>
    <row r="70" ht="14.00" customHeight="true">
      <c r="A70" s="5">
        <v>41645</v>
      </c>
      <c r="B70" t="s" s="6">
        <v>10</v>
      </c>
      <c r="C70" s="6">
        <v>46</v>
      </c>
      <c r="D70" s="6">
        <v>880</v>
      </c>
      <c r="E70" s="6">
        <v>79</v>
      </c>
      <c r="F70" s="6">
        <v>50</v>
      </c>
      <c r="T70" cm="1" s="7" t="b">
        <f t="array" ref="T70">SUMPRODUCT(($I$3:$I$5=B70)*($K$3:$K$5=D70)*($J$3:$J$5&gt;=C70))&gt;0</f>
        <v>0</v>
      </c>
    </row>
    <row r="71" ht="14.00" customHeight="true">
      <c r="A71" s="5">
        <v>41645</v>
      </c>
      <c r="B71" t="s" s="6">
        <v>11</v>
      </c>
      <c r="C71" s="6">
        <v>76</v>
      </c>
      <c r="D71" s="6">
        <v>895</v>
      </c>
      <c r="E71" s="6">
        <v>61</v>
      </c>
      <c r="F71" s="6">
        <v>-100</v>
      </c>
      <c r="T71" cm="1" s="7" t="b">
        <f t="array" ref="T71">SUMPRODUCT(($I$3:$I$5=B71)*($K$3:$K$5=D71)*($J$3:$J$5&gt;=C71))&gt;0</f>
        <v>0</v>
      </c>
    </row>
    <row r="72" ht="14.00" customHeight="true">
      <c r="A72" s="5">
        <v>41645</v>
      </c>
      <c r="B72" t="s" s="6">
        <v>11</v>
      </c>
      <c r="C72" s="6">
        <v>76</v>
      </c>
      <c r="D72" s="6">
        <v>890</v>
      </c>
      <c r="E72" s="6">
        <v>60</v>
      </c>
      <c r="F72" s="6">
        <v>-50</v>
      </c>
      <c r="T72" cm="1" s="7" t="b">
        <f t="array" ref="T72">SUMPRODUCT(($I$3:$I$5=B72)*($K$3:$K$5=D72)*($J$3:$J$5&gt;=C72))&gt;0</f>
        <v>0</v>
      </c>
    </row>
    <row r="73" ht="14.00" customHeight="true">
      <c r="A73" s="5">
        <v>41645</v>
      </c>
      <c r="B73" t="s" s="6">
        <v>11</v>
      </c>
      <c r="C73" s="6">
        <v>76</v>
      </c>
      <c r="D73" s="6">
        <v>885</v>
      </c>
      <c r="E73" s="6">
        <v>77</v>
      </c>
      <c r="F73" s="6">
        <v>0</v>
      </c>
      <c r="T73" cm="1" s="7" t="b">
        <f t="array" ref="T73">SUMPRODUCT(($I$3:$I$5=B73)*($K$3:$K$5=D73)*($J$3:$J$5&gt;=C73))&gt;0</f>
        <v>1</v>
      </c>
    </row>
    <row r="74" ht="14.00" customHeight="true">
      <c r="A74" s="5">
        <v>41645</v>
      </c>
      <c r="B74" t="s" s="6">
        <v>11</v>
      </c>
      <c r="C74" s="6">
        <v>76</v>
      </c>
      <c r="D74" s="6">
        <v>880</v>
      </c>
      <c r="E74" s="6">
        <v>58</v>
      </c>
      <c r="F74" s="6">
        <v>50</v>
      </c>
      <c r="T74" cm="1" s="7" t="b">
        <f t="array" ref="T74">SUMPRODUCT(($I$3:$I$5=B74)*($K$3:$K$5=D74)*($J$3:$J$5&gt;=C74))&gt;0</f>
        <v>0</v>
      </c>
    </row>
    <row r="75" ht="14.00" customHeight="true">
      <c r="A75" s="5">
        <v>41646</v>
      </c>
      <c r="B75" t="s" s="6">
        <v>9</v>
      </c>
      <c r="C75" s="6">
        <v>15</v>
      </c>
      <c r="D75" s="6">
        <v>895</v>
      </c>
      <c r="E75" s="6">
        <v>57</v>
      </c>
      <c r="F75" s="6">
        <v>-100</v>
      </c>
      <c r="T75" cm="1" s="7" t="b">
        <f t="array" ref="T75">SUMPRODUCT(($I$3:$I$5=B75)*($K$3:$K$5=D75)*($J$3:$J$5&gt;=C75))&gt;0</f>
        <v>0</v>
      </c>
    </row>
    <row r="76" ht="14.00" customHeight="true">
      <c r="A76" s="5">
        <v>41646</v>
      </c>
      <c r="B76" t="s" s="6">
        <v>9</v>
      </c>
      <c r="C76" s="6">
        <v>15</v>
      </c>
      <c r="D76" s="6">
        <v>890</v>
      </c>
      <c r="E76" s="6">
        <v>59</v>
      </c>
      <c r="F76" s="6">
        <v>-50</v>
      </c>
      <c r="T76" cm="1" s="7" t="b">
        <f t="array" ref="T76">SUMPRODUCT(($I$3:$I$5=B76)*($K$3:$K$5=D76)*($J$3:$J$5&gt;=C76))&gt;0</f>
        <v>0</v>
      </c>
    </row>
    <row r="77" ht="14.00" customHeight="true">
      <c r="A77" s="5">
        <v>41646</v>
      </c>
      <c r="B77" t="s" s="6">
        <v>9</v>
      </c>
      <c r="C77" s="6">
        <v>15</v>
      </c>
      <c r="D77" s="6">
        <v>885</v>
      </c>
      <c r="E77" s="6">
        <v>85</v>
      </c>
      <c r="F77" s="6">
        <v>0</v>
      </c>
      <c r="T77" cm="1" s="7" t="b">
        <f t="array" ref="T77">SUMPRODUCT(($I$3:$I$5=B77)*($K$3:$K$5=D77)*($J$3:$J$5&gt;=C77))&gt;0</f>
        <v>1</v>
      </c>
    </row>
    <row r="78" ht="14.00" customHeight="true">
      <c r="A78" s="5">
        <v>41646</v>
      </c>
      <c r="B78" t="s" s="6">
        <v>9</v>
      </c>
      <c r="C78" s="6">
        <v>15</v>
      </c>
      <c r="D78" s="6">
        <v>880</v>
      </c>
      <c r="E78" s="6">
        <v>99</v>
      </c>
      <c r="F78" s="6">
        <v>50</v>
      </c>
      <c r="T78" cm="1" s="7" t="b">
        <f t="array" ref="T78">SUMPRODUCT(($I$3:$I$5=B78)*($K$3:$K$5=D78)*($J$3:$J$5&gt;=C78))&gt;0</f>
        <v>0</v>
      </c>
    </row>
    <row r="79" ht="14.00" customHeight="true">
      <c r="A79" s="5">
        <v>41646</v>
      </c>
      <c r="B79" t="s" s="6">
        <v>10</v>
      </c>
      <c r="C79" s="6">
        <v>45</v>
      </c>
      <c r="D79" s="6">
        <v>895</v>
      </c>
      <c r="E79" s="6">
        <v>77</v>
      </c>
      <c r="F79" s="6">
        <v>-100</v>
      </c>
      <c r="T79" cm="1" s="7" t="b">
        <f t="array" ref="T79">SUMPRODUCT(($I$3:$I$5=B79)*($K$3:$K$5=D79)*($J$3:$J$5&gt;=C79))&gt;0</f>
        <v>0</v>
      </c>
    </row>
    <row r="80" ht="14.00" customHeight="true">
      <c r="A80" s="5">
        <v>41646</v>
      </c>
      <c r="B80" t="s" s="6">
        <v>10</v>
      </c>
      <c r="C80" s="6">
        <v>45</v>
      </c>
      <c r="D80" s="6">
        <v>890</v>
      </c>
      <c r="E80" s="6">
        <v>55</v>
      </c>
      <c r="F80" s="6">
        <v>-50</v>
      </c>
      <c r="T80" cm="1" s="7" t="b">
        <f t="array" ref="T80">SUMPRODUCT(($I$3:$I$5=B80)*($K$3:$K$5=D80)*($J$3:$J$5&gt;=C80))&gt;0</f>
        <v>0</v>
      </c>
    </row>
    <row r="81" ht="14.00" customHeight="true">
      <c r="A81" s="5">
        <v>41646</v>
      </c>
      <c r="B81" t="s" s="6">
        <v>10</v>
      </c>
      <c r="C81" s="6">
        <v>45</v>
      </c>
      <c r="D81" s="6">
        <v>885</v>
      </c>
      <c r="E81" s="6">
        <v>89</v>
      </c>
      <c r="F81" s="6">
        <v>0</v>
      </c>
      <c r="T81" cm="1" s="7" t="b">
        <f t="array" ref="T81">SUMPRODUCT(($I$3:$I$5=B81)*($K$3:$K$5=D81)*($J$3:$J$5&gt;=C81))&gt;0</f>
        <v>1</v>
      </c>
    </row>
    <row r="82" ht="14.00" customHeight="true">
      <c r="A82" s="5">
        <v>41646</v>
      </c>
      <c r="B82" t="s" s="6">
        <v>10</v>
      </c>
      <c r="C82" s="6">
        <v>45</v>
      </c>
      <c r="D82" s="6">
        <v>880</v>
      </c>
      <c r="E82" s="6">
        <v>79</v>
      </c>
      <c r="F82" s="6">
        <v>50</v>
      </c>
      <c r="T82" cm="1" s="7" t="b">
        <f t="array" ref="T82">SUMPRODUCT(($I$3:$I$5=B82)*($K$3:$K$5=D82)*($J$3:$J$5&gt;=C82))&gt;0</f>
        <v>0</v>
      </c>
    </row>
    <row r="83" ht="14.00" customHeight="true">
      <c r="A83" s="5">
        <v>41646</v>
      </c>
      <c r="B83" t="s" s="6">
        <v>11</v>
      </c>
      <c r="C83" s="6">
        <v>75</v>
      </c>
      <c r="D83" s="6">
        <v>895</v>
      </c>
      <c r="E83" s="6">
        <v>61</v>
      </c>
      <c r="F83" s="6">
        <v>-100</v>
      </c>
      <c r="T83" cm="1" s="7" t="b">
        <f t="array" ref="T83">SUMPRODUCT(($I$3:$I$5=B83)*($K$3:$K$5=D83)*($J$3:$J$5&gt;=C83))&gt;0</f>
        <v>0</v>
      </c>
    </row>
    <row r="84" ht="14.00" customHeight="true">
      <c r="A84" s="5">
        <v>41646</v>
      </c>
      <c r="B84" t="s" s="6">
        <v>11</v>
      </c>
      <c r="C84" s="6">
        <v>75</v>
      </c>
      <c r="D84" s="6">
        <v>890</v>
      </c>
      <c r="E84" s="6">
        <v>60</v>
      </c>
      <c r="F84" s="6">
        <v>-50</v>
      </c>
      <c r="T84" cm="1" s="7" t="b">
        <f t="array" ref="T84">SUMPRODUCT(($I$3:$I$5=B84)*($K$3:$K$5=D84)*($J$3:$J$5&gt;=C84))&gt;0</f>
        <v>0</v>
      </c>
    </row>
    <row r="85" ht="14.00" customHeight="true">
      <c r="A85" s="5">
        <v>41646</v>
      </c>
      <c r="B85" t="s" s="6">
        <v>11</v>
      </c>
      <c r="C85" s="6">
        <v>75</v>
      </c>
      <c r="D85" s="6">
        <v>885</v>
      </c>
      <c r="E85" s="6">
        <v>77</v>
      </c>
      <c r="F85" s="6">
        <v>0</v>
      </c>
      <c r="T85" cm="1" s="7" t="b">
        <f t="array" ref="T85">SUMPRODUCT(($I$3:$I$5=B85)*($K$3:$K$5=D85)*($J$3:$J$5&gt;=C85))&gt;0</f>
        <v>1</v>
      </c>
    </row>
    <row r="86" ht="14.00" customHeight="true">
      <c r="A86" s="5">
        <v>41646</v>
      </c>
      <c r="B86" t="s" s="6">
        <v>11</v>
      </c>
      <c r="C86" s="6">
        <v>75</v>
      </c>
      <c r="D86" s="6">
        <v>880</v>
      </c>
      <c r="E86" s="6">
        <v>58</v>
      </c>
      <c r="F86" s="6">
        <v>50</v>
      </c>
      <c r="T86" cm="1" s="7" t="b">
        <f t="array" ref="T86">SUMPRODUCT(($I$3:$I$5=B86)*($K$3:$K$5=D86)*($J$3:$J$5&gt;=C86))&gt;0</f>
        <v>0</v>
      </c>
    </row>
    <row r="87" ht="14.00" customHeight="true">
      <c r="A87" s="5">
        <v>41647</v>
      </c>
      <c r="B87" t="s" s="6">
        <v>9</v>
      </c>
      <c r="C87" s="6">
        <v>14</v>
      </c>
      <c r="D87" s="6">
        <v>895</v>
      </c>
      <c r="E87" s="6">
        <v>57</v>
      </c>
      <c r="F87" s="6">
        <v>-100</v>
      </c>
      <c r="T87" cm="1" s="7" t="b">
        <f t="array" ref="T87">SUMPRODUCT(($I$3:$I$5=B87)*($K$3:$K$5=D87)*($J$3:$J$5&gt;=C87))&gt;0</f>
        <v>0</v>
      </c>
    </row>
    <row r="88" ht="14.00" customHeight="true">
      <c r="A88" s="5">
        <v>41647</v>
      </c>
      <c r="B88" t="s" s="6">
        <v>9</v>
      </c>
      <c r="C88" s="6">
        <v>14</v>
      </c>
      <c r="D88" s="6">
        <v>890</v>
      </c>
      <c r="E88" s="6">
        <v>59</v>
      </c>
      <c r="F88" s="6">
        <v>-50</v>
      </c>
      <c r="T88" cm="1" s="7" t="b">
        <f t="array" ref="T88">SUMPRODUCT(($I$3:$I$5=B88)*($K$3:$K$5=D88)*($J$3:$J$5&gt;=C88))&gt;0</f>
        <v>0</v>
      </c>
    </row>
    <row r="89" ht="14.00" customHeight="true">
      <c r="A89" s="5">
        <v>41647</v>
      </c>
      <c r="B89" t="s" s="6">
        <v>9</v>
      </c>
      <c r="C89" s="6">
        <v>14</v>
      </c>
      <c r="D89" s="6">
        <v>885</v>
      </c>
      <c r="E89" s="6">
        <v>85</v>
      </c>
      <c r="F89" s="6">
        <v>0</v>
      </c>
      <c r="T89" cm="1" s="7" t="b">
        <f t="array" ref="T89">SUMPRODUCT(($I$3:$I$5=B89)*($K$3:$K$5=D89)*($J$3:$J$5&gt;=C89))&gt;0</f>
        <v>1</v>
      </c>
    </row>
    <row r="90" ht="14.00" customHeight="true">
      <c r="A90" s="5">
        <v>41647</v>
      </c>
      <c r="B90" t="s" s="6">
        <v>9</v>
      </c>
      <c r="C90" s="6">
        <v>14</v>
      </c>
      <c r="D90" s="6">
        <v>880</v>
      </c>
      <c r="E90" s="6">
        <v>99</v>
      </c>
      <c r="F90" s="6">
        <v>50</v>
      </c>
      <c r="T90" cm="1" s="7" t="b">
        <f t="array" ref="T90">SUMPRODUCT(($I$3:$I$5=B90)*($K$3:$K$5=D90)*($J$3:$J$5&gt;=C90))&gt;0</f>
        <v>0</v>
      </c>
    </row>
    <row r="91" ht="14.00" customHeight="true">
      <c r="A91" s="5">
        <v>41647</v>
      </c>
      <c r="B91" t="s" s="6">
        <v>10</v>
      </c>
      <c r="C91" s="6">
        <v>44</v>
      </c>
      <c r="D91" s="6">
        <v>895</v>
      </c>
      <c r="E91" s="6">
        <v>77</v>
      </c>
      <c r="F91" s="6">
        <v>-100</v>
      </c>
      <c r="T91" cm="1" s="7" t="b">
        <f t="array" ref="T91">SUMPRODUCT(($I$3:$I$5=B91)*($K$3:$K$5=D91)*($J$3:$J$5&gt;=C91))&gt;0</f>
        <v>0</v>
      </c>
    </row>
    <row r="92" ht="14.00" customHeight="true">
      <c r="A92" s="5">
        <v>41647</v>
      </c>
      <c r="B92" t="s" s="6">
        <v>10</v>
      </c>
      <c r="C92" s="6">
        <v>44</v>
      </c>
      <c r="D92" s="6">
        <v>890</v>
      </c>
      <c r="E92" s="6">
        <v>55</v>
      </c>
      <c r="F92" s="6">
        <v>-50</v>
      </c>
      <c r="T92" cm="1" s="7" t="b">
        <f t="array" ref="T92">SUMPRODUCT(($I$3:$I$5=B92)*($K$3:$K$5=D92)*($J$3:$J$5&gt;=C92))&gt;0</f>
        <v>0</v>
      </c>
    </row>
    <row r="93" ht="14.00" customHeight="true">
      <c r="A93" s="5">
        <v>41647</v>
      </c>
      <c r="B93" t="s" s="6">
        <v>10</v>
      </c>
      <c r="C93" s="6">
        <v>44</v>
      </c>
      <c r="D93" s="6">
        <v>885</v>
      </c>
      <c r="E93" s="6">
        <v>89</v>
      </c>
      <c r="F93" s="6">
        <v>0</v>
      </c>
      <c r="T93" cm="1" s="7" t="b">
        <f t="array" ref="T93">SUMPRODUCT(($I$3:$I$5=B93)*($K$3:$K$5=D93)*($J$3:$J$5&gt;=C93))&gt;0</f>
        <v>1</v>
      </c>
    </row>
    <row r="94" ht="14.00" customHeight="true">
      <c r="A94" s="5">
        <v>41647</v>
      </c>
      <c r="B94" t="s" s="6">
        <v>10</v>
      </c>
      <c r="C94" s="6">
        <v>44</v>
      </c>
      <c r="D94" s="6">
        <v>880</v>
      </c>
      <c r="E94" s="6">
        <v>79</v>
      </c>
      <c r="F94" s="6">
        <v>50</v>
      </c>
      <c r="T94" cm="1" s="7" t="b">
        <f t="array" ref="T94">SUMPRODUCT(($I$3:$I$5=B94)*($K$3:$K$5=D94)*($J$3:$J$5&gt;=C94))&gt;0</f>
        <v>0</v>
      </c>
    </row>
    <row r="95" ht="14.00" customHeight="true">
      <c r="A95" s="5">
        <v>41647</v>
      </c>
      <c r="B95" t="s" s="6">
        <v>11</v>
      </c>
      <c r="C95" s="6">
        <v>74</v>
      </c>
      <c r="D95" s="6">
        <v>895</v>
      </c>
      <c r="E95" s="6">
        <v>61</v>
      </c>
      <c r="F95" s="6">
        <v>-100</v>
      </c>
      <c r="T95" cm="1" s="7" t="b">
        <f t="array" ref="T95">SUMPRODUCT(($I$3:$I$5=B95)*($K$3:$K$5=D95)*($J$3:$J$5&gt;=C95))&gt;0</f>
        <v>0</v>
      </c>
    </row>
    <row r="96" ht="14.00" customHeight="true">
      <c r="A96" s="5">
        <v>41647</v>
      </c>
      <c r="B96" t="s" s="6">
        <v>11</v>
      </c>
      <c r="C96" s="6">
        <v>74</v>
      </c>
      <c r="D96" s="6">
        <v>890</v>
      </c>
      <c r="E96" s="6">
        <v>60</v>
      </c>
      <c r="F96" s="6">
        <v>-50</v>
      </c>
      <c r="T96" cm="1" s="7" t="b">
        <f t="array" ref="T96">SUMPRODUCT(($I$3:$I$5=B96)*($K$3:$K$5=D96)*($J$3:$J$5&gt;=C96))&gt;0</f>
        <v>0</v>
      </c>
    </row>
    <row r="97" ht="14.00" customHeight="true">
      <c r="A97" s="5">
        <v>41647</v>
      </c>
      <c r="B97" t="s" s="6">
        <v>11</v>
      </c>
      <c r="C97" s="6">
        <v>74</v>
      </c>
      <c r="D97" s="6">
        <v>885</v>
      </c>
      <c r="E97" s="6">
        <v>77</v>
      </c>
      <c r="F97" s="6">
        <v>0</v>
      </c>
      <c r="T97" cm="1" s="7" t="b">
        <f t="array" ref="T97">SUMPRODUCT(($I$3:$I$5=B97)*($K$3:$K$5=D97)*($J$3:$J$5&gt;=C97))&gt;0</f>
        <v>1</v>
      </c>
    </row>
    <row r="98" ht="14.00" customHeight="true">
      <c r="A98" s="5">
        <v>41647</v>
      </c>
      <c r="B98" t="s" s="6">
        <v>11</v>
      </c>
      <c r="C98" s="6">
        <v>74</v>
      </c>
      <c r="D98" s="6">
        <v>880</v>
      </c>
      <c r="E98" s="6">
        <v>58</v>
      </c>
      <c r="F98" s="6">
        <v>50</v>
      </c>
      <c r="T98" cm="1" s="7" t="b">
        <f t="array" ref="T98">SUMPRODUCT(($I$3:$I$5=B98)*($K$3:$K$5=D98)*($J$3:$J$5&gt;=C98))&gt;0</f>
        <v>0</v>
      </c>
    </row>
    <row r="99" ht="14.00" customHeight="true">
      <c r="A99" s="5">
        <v>41648</v>
      </c>
      <c r="B99" t="s" s="6">
        <v>9</v>
      </c>
      <c r="C99" s="6">
        <v>13</v>
      </c>
      <c r="D99" s="6">
        <v>895</v>
      </c>
      <c r="E99" s="6">
        <v>57</v>
      </c>
      <c r="F99" s="6">
        <v>-100</v>
      </c>
      <c r="T99" cm="1" s="7" t="b">
        <f t="array" ref="T99">SUMPRODUCT(($I$3:$I$5=B99)*($K$3:$K$5=D99)*($J$3:$J$5&gt;=C99))&gt;0</f>
        <v>0</v>
      </c>
    </row>
    <row r="100" ht="14.00" customHeight="true">
      <c r="A100" s="5">
        <v>41648</v>
      </c>
      <c r="B100" t="s" s="6">
        <v>9</v>
      </c>
      <c r="C100" s="6">
        <v>13</v>
      </c>
      <c r="D100" s="6">
        <v>890</v>
      </c>
      <c r="E100" s="6">
        <v>59</v>
      </c>
      <c r="F100" s="6">
        <v>-50</v>
      </c>
      <c r="T100" cm="1" s="7" t="b">
        <f t="array" ref="T100">SUMPRODUCT(($I$3:$I$5=B100)*($K$3:$K$5=D100)*($J$3:$J$5&gt;=C100))&gt;0</f>
        <v>0</v>
      </c>
    </row>
    <row r="101" ht="14.00" customHeight="true">
      <c r="A101" s="5">
        <v>41648</v>
      </c>
      <c r="B101" t="s" s="6">
        <v>9</v>
      </c>
      <c r="C101" s="6">
        <v>13</v>
      </c>
      <c r="D101" s="6">
        <v>885</v>
      </c>
      <c r="E101" s="6">
        <v>85</v>
      </c>
      <c r="F101" s="6">
        <v>0</v>
      </c>
      <c r="T101" cm="1" s="7" t="b">
        <f t="array" ref="T101">SUMPRODUCT(($I$3:$I$5=B101)*($K$3:$K$5=D101)*($J$3:$J$5&gt;=C101))&gt;0</f>
        <v>1</v>
      </c>
    </row>
    <row r="102" ht="14.00" customHeight="true">
      <c r="A102" s="5">
        <v>41648</v>
      </c>
      <c r="B102" t="s" s="6">
        <v>9</v>
      </c>
      <c r="C102" s="6">
        <v>13</v>
      </c>
      <c r="D102" s="6">
        <v>880</v>
      </c>
      <c r="E102" s="6">
        <v>99</v>
      </c>
      <c r="F102" s="6">
        <v>50</v>
      </c>
      <c r="T102" cm="1" s="7" t="b">
        <f t="array" ref="T102">SUMPRODUCT(($I$3:$I$5=B102)*($K$3:$K$5=D102)*($J$3:$J$5&gt;=C102))&gt;0</f>
        <v>0</v>
      </c>
    </row>
    <row r="103" ht="14.00" customHeight="true">
      <c r="A103" s="5">
        <v>41648</v>
      </c>
      <c r="B103" t="s" s="6">
        <v>10</v>
      </c>
      <c r="C103" s="6">
        <v>43</v>
      </c>
      <c r="D103" s="6">
        <v>895</v>
      </c>
      <c r="E103" s="6">
        <v>77</v>
      </c>
      <c r="F103" s="6">
        <v>-100</v>
      </c>
      <c r="T103" cm="1" s="7" t="b">
        <f t="array" ref="T103">SUMPRODUCT(($I$3:$I$5=B103)*($K$3:$K$5=D103)*($J$3:$J$5&gt;=C103))&gt;0</f>
        <v>0</v>
      </c>
    </row>
    <row r="104" ht="14.00" customHeight="true">
      <c r="A104" s="5">
        <v>41648</v>
      </c>
      <c r="B104" t="s" s="6">
        <v>10</v>
      </c>
      <c r="C104" s="6">
        <v>43</v>
      </c>
      <c r="D104" s="6">
        <v>890</v>
      </c>
      <c r="E104" s="6">
        <v>55</v>
      </c>
      <c r="F104" s="6">
        <v>-50</v>
      </c>
      <c r="T104" cm="1" s="7" t="b">
        <f t="array" ref="T104">SUMPRODUCT(($I$3:$I$5=B104)*($K$3:$K$5=D104)*($J$3:$J$5&gt;=C104))&gt;0</f>
        <v>0</v>
      </c>
    </row>
    <row r="105" ht="14.00" customHeight="true">
      <c r="A105" s="5">
        <v>41648</v>
      </c>
      <c r="B105" t="s" s="6">
        <v>10</v>
      </c>
      <c r="C105" s="6">
        <v>43</v>
      </c>
      <c r="D105" s="6">
        <v>885</v>
      </c>
      <c r="E105" s="6">
        <v>89</v>
      </c>
      <c r="F105" s="6">
        <v>0</v>
      </c>
      <c r="T105" cm="1" s="7" t="b">
        <f t="array" ref="T105">SUMPRODUCT(($I$3:$I$5=B105)*($K$3:$K$5=D105)*($J$3:$J$5&gt;=C105))&gt;0</f>
        <v>1</v>
      </c>
    </row>
    <row r="106" ht="14.00" customHeight="true">
      <c r="A106" s="5">
        <v>41648</v>
      </c>
      <c r="B106" t="s" s="6">
        <v>10</v>
      </c>
      <c r="C106" s="6">
        <v>43</v>
      </c>
      <c r="D106" s="6">
        <v>880</v>
      </c>
      <c r="E106" s="6">
        <v>79</v>
      </c>
      <c r="F106" s="6">
        <v>50</v>
      </c>
      <c r="T106" cm="1" s="7" t="b">
        <f t="array" ref="T106">SUMPRODUCT(($I$3:$I$5=B106)*($K$3:$K$5=D106)*($J$3:$J$5&gt;=C106))&gt;0</f>
        <v>0</v>
      </c>
    </row>
    <row r="107" ht="14.00" customHeight="true">
      <c r="A107" s="5">
        <v>41648</v>
      </c>
      <c r="B107" t="s" s="6">
        <v>11</v>
      </c>
      <c r="C107" s="6">
        <v>73</v>
      </c>
      <c r="D107" s="6">
        <v>895</v>
      </c>
      <c r="E107" s="6">
        <v>61</v>
      </c>
      <c r="F107" s="6">
        <v>-100</v>
      </c>
      <c r="T107" cm="1" s="7" t="b">
        <f t="array" ref="T107">SUMPRODUCT(($I$3:$I$5=B107)*($K$3:$K$5=D107)*($J$3:$J$5&gt;=C107))&gt;0</f>
        <v>0</v>
      </c>
    </row>
    <row r="108" ht="14.00" customHeight="true">
      <c r="A108" s="5">
        <v>41648</v>
      </c>
      <c r="B108" t="s" s="6">
        <v>11</v>
      </c>
      <c r="C108" s="6">
        <v>73</v>
      </c>
      <c r="D108" s="6">
        <v>890</v>
      </c>
      <c r="E108" s="6">
        <v>60</v>
      </c>
      <c r="F108" s="6">
        <v>-50</v>
      </c>
      <c r="T108" cm="1" s="7" t="b">
        <f t="array" ref="T108">SUMPRODUCT(($I$3:$I$5=B108)*($K$3:$K$5=D108)*($J$3:$J$5&gt;=C108))&gt;0</f>
        <v>0</v>
      </c>
    </row>
    <row r="109" ht="14.00" customHeight="true">
      <c r="A109" s="5">
        <v>41648</v>
      </c>
      <c r="B109" t="s" s="6">
        <v>11</v>
      </c>
      <c r="C109" s="6">
        <v>73</v>
      </c>
      <c r="D109" s="6">
        <v>885</v>
      </c>
      <c r="E109" s="6">
        <v>77</v>
      </c>
      <c r="F109" s="6">
        <v>0</v>
      </c>
      <c r="T109" cm="1" s="7" t="b">
        <f t="array" ref="T109">SUMPRODUCT(($I$3:$I$5=B109)*($K$3:$K$5=D109)*($J$3:$J$5&gt;=C109))&gt;0</f>
        <v>1</v>
      </c>
    </row>
    <row r="110" ht="14.00" customHeight="true">
      <c r="A110" s="5">
        <v>41648</v>
      </c>
      <c r="B110" t="s" s="6">
        <v>11</v>
      </c>
      <c r="C110" s="6">
        <v>73</v>
      </c>
      <c r="D110" s="6">
        <v>880</v>
      </c>
      <c r="E110" s="6">
        <v>58</v>
      </c>
      <c r="F110" s="6">
        <v>50</v>
      </c>
      <c r="T110" cm="1" s="7" t="b">
        <f t="array" ref="T110">SUMPRODUCT(($I$3:$I$5=B110)*($K$3:$K$5=D110)*($J$3:$J$5&gt;=C110))&gt;0</f>
        <v>0</v>
      </c>
    </row>
    <row r="111" ht="14.00" customHeight="true">
      <c r="A111" s="5">
        <v>41649</v>
      </c>
      <c r="B111" t="s" s="6">
        <v>9</v>
      </c>
      <c r="C111" s="6">
        <v>12</v>
      </c>
      <c r="D111" s="6">
        <v>895</v>
      </c>
      <c r="E111" s="6">
        <v>57</v>
      </c>
      <c r="F111" s="6">
        <v>-100</v>
      </c>
      <c r="T111" cm="1" s="7" t="b">
        <f t="array" ref="T111">SUMPRODUCT(($I$3:$I$5=B111)*($K$3:$K$5=D111)*($J$3:$J$5&gt;=C111))&gt;0</f>
        <v>0</v>
      </c>
    </row>
    <row r="112" ht="14.00" customHeight="true">
      <c r="A112" s="5">
        <v>41649</v>
      </c>
      <c r="B112" t="s" s="6">
        <v>9</v>
      </c>
      <c r="C112" s="6">
        <v>12</v>
      </c>
      <c r="D112" s="6">
        <v>890</v>
      </c>
      <c r="E112" s="6">
        <v>59</v>
      </c>
      <c r="F112" s="6">
        <v>-50</v>
      </c>
      <c r="T112" cm="1" s="7" t="b">
        <f t="array" ref="T112">SUMPRODUCT(($I$3:$I$5=B112)*($K$3:$K$5=D112)*($J$3:$J$5&gt;=C112))&gt;0</f>
        <v>0</v>
      </c>
    </row>
    <row r="113" ht="14.00" customHeight="true">
      <c r="A113" s="5">
        <v>41649</v>
      </c>
      <c r="B113" t="s" s="6">
        <v>9</v>
      </c>
      <c r="C113" s="6">
        <v>12</v>
      </c>
      <c r="D113" s="6">
        <v>885</v>
      </c>
      <c r="E113" s="6">
        <v>85</v>
      </c>
      <c r="F113" s="6">
        <v>0</v>
      </c>
      <c r="T113" cm="1" s="7" t="b">
        <f t="array" ref="T113">SUMPRODUCT(($I$3:$I$5=B113)*($K$3:$K$5=D113)*($J$3:$J$5&gt;=C113))&gt;0</f>
        <v>1</v>
      </c>
    </row>
    <row r="114" ht="14.00" customHeight="true">
      <c r="A114" s="5">
        <v>41649</v>
      </c>
      <c r="B114" t="s" s="6">
        <v>9</v>
      </c>
      <c r="C114" s="6">
        <v>12</v>
      </c>
      <c r="D114" s="6">
        <v>880</v>
      </c>
      <c r="E114" s="6">
        <v>99</v>
      </c>
      <c r="F114" s="6">
        <v>50</v>
      </c>
      <c r="T114" cm="1" s="7" t="b">
        <f t="array" ref="T114">SUMPRODUCT(($I$3:$I$5=B114)*($K$3:$K$5=D114)*($J$3:$J$5&gt;=C114))&gt;0</f>
        <v>0</v>
      </c>
    </row>
    <row r="115" ht="14.00" customHeight="true">
      <c r="A115" s="5">
        <v>41649</v>
      </c>
      <c r="B115" t="s" s="6">
        <v>10</v>
      </c>
      <c r="C115" s="6">
        <v>42</v>
      </c>
      <c r="D115" s="6">
        <v>895</v>
      </c>
      <c r="E115" s="6">
        <v>77</v>
      </c>
      <c r="F115" s="6">
        <v>-100</v>
      </c>
      <c r="T115" cm="1" s="7" t="b">
        <f t="array" ref="T115">SUMPRODUCT(($I$3:$I$5=B115)*($K$3:$K$5=D115)*($J$3:$J$5&gt;=C115))&gt;0</f>
        <v>0</v>
      </c>
    </row>
    <row r="116" ht="14.00" customHeight="true">
      <c r="A116" s="5">
        <v>41649</v>
      </c>
      <c r="B116" t="s" s="6">
        <v>10</v>
      </c>
      <c r="C116" s="6">
        <v>42</v>
      </c>
      <c r="D116" s="6">
        <v>890</v>
      </c>
      <c r="E116" s="6">
        <v>55</v>
      </c>
      <c r="F116" s="6">
        <v>-50</v>
      </c>
      <c r="T116" cm="1" s="7" t="b">
        <f t="array" ref="T116">SUMPRODUCT(($I$3:$I$5=B116)*($K$3:$K$5=D116)*($J$3:$J$5&gt;=C116))&gt;0</f>
        <v>0</v>
      </c>
    </row>
    <row r="117" ht="14.00" customHeight="true">
      <c r="A117" s="5">
        <v>41649</v>
      </c>
      <c r="B117" t="s" s="6">
        <v>10</v>
      </c>
      <c r="C117" s="6">
        <v>42</v>
      </c>
      <c r="D117" s="6">
        <v>885</v>
      </c>
      <c r="E117" s="6">
        <v>89</v>
      </c>
      <c r="F117" s="6">
        <v>0</v>
      </c>
      <c r="T117" cm="1" s="7" t="b">
        <f t="array" ref="T117">SUMPRODUCT(($I$3:$I$5=B117)*($K$3:$K$5=D117)*($J$3:$J$5&gt;=C117))&gt;0</f>
        <v>1</v>
      </c>
    </row>
    <row r="118" ht="14.00" customHeight="true">
      <c r="A118" s="5">
        <v>41649</v>
      </c>
      <c r="B118" t="s" s="6">
        <v>10</v>
      </c>
      <c r="C118" s="6">
        <v>42</v>
      </c>
      <c r="D118" s="6">
        <v>880</v>
      </c>
      <c r="E118" s="6">
        <v>79</v>
      </c>
      <c r="F118" s="6">
        <v>50</v>
      </c>
      <c r="T118" cm="1" s="7" t="b">
        <f t="array" ref="T118">SUMPRODUCT(($I$3:$I$5=B118)*($K$3:$K$5=D118)*($J$3:$J$5&gt;=C118))&gt;0</f>
        <v>0</v>
      </c>
    </row>
    <row r="119" ht="14.00" customHeight="true">
      <c r="A119" s="5">
        <v>41649</v>
      </c>
      <c r="B119" t="s" s="6">
        <v>11</v>
      </c>
      <c r="C119" s="6">
        <v>72</v>
      </c>
      <c r="D119" s="6">
        <v>895</v>
      </c>
      <c r="E119" s="6">
        <v>61</v>
      </c>
      <c r="F119" s="6">
        <v>-100</v>
      </c>
      <c r="T119" cm="1" s="7" t="b">
        <f t="array" ref="T119">SUMPRODUCT(($I$3:$I$5=B119)*($K$3:$K$5=D119)*($J$3:$J$5&gt;=C119))&gt;0</f>
        <v>0</v>
      </c>
    </row>
    <row r="120" ht="14.00" customHeight="true">
      <c r="A120" s="5">
        <v>41649</v>
      </c>
      <c r="B120" t="s" s="6">
        <v>11</v>
      </c>
      <c r="C120" s="6">
        <v>72</v>
      </c>
      <c r="D120" s="6">
        <v>890</v>
      </c>
      <c r="E120" s="6">
        <v>60</v>
      </c>
      <c r="F120" s="6">
        <v>-50</v>
      </c>
      <c r="T120" cm="1" s="7" t="b">
        <f t="array" ref="T120">SUMPRODUCT(($I$3:$I$5=B120)*($K$3:$K$5=D120)*($J$3:$J$5&gt;=C120))&gt;0</f>
        <v>0</v>
      </c>
    </row>
    <row r="121" ht="14.00" customHeight="true">
      <c r="A121" s="5">
        <v>41649</v>
      </c>
      <c r="B121" t="s" s="6">
        <v>11</v>
      </c>
      <c r="C121" s="6">
        <v>72</v>
      </c>
      <c r="D121" s="6">
        <v>885</v>
      </c>
      <c r="E121" s="6">
        <v>77</v>
      </c>
      <c r="F121" s="6">
        <v>0</v>
      </c>
      <c r="T121" cm="1" s="7" t="b">
        <f t="array" ref="T121">SUMPRODUCT(($I$3:$I$5=B121)*($K$3:$K$5=D121)*($J$3:$J$5&gt;=C121))&gt;0</f>
        <v>1</v>
      </c>
    </row>
    <row r="122" ht="14.00" customHeight="true">
      <c r="A122" s="5">
        <v>41649</v>
      </c>
      <c r="B122" t="s" s="6">
        <v>11</v>
      </c>
      <c r="C122" s="6">
        <v>72</v>
      </c>
      <c r="D122" s="6">
        <v>880</v>
      </c>
      <c r="E122" s="6">
        <v>58</v>
      </c>
      <c r="F122" s="6">
        <v>50</v>
      </c>
      <c r="T122" cm="1" s="7" t="b">
        <f t="array" ref="T122">SUMPRODUCT(($I$3:$I$5=B122)*($K$3:$K$5=D122)*($J$3:$J$5&gt;=C122))&gt;0</f>
        <v>0</v>
      </c>
    </row>
    <row r="123" ht="14.00" customHeight="true">
      <c r="A123" s="5">
        <v>41650</v>
      </c>
      <c r="B123" t="s" s="6">
        <v>9</v>
      </c>
      <c r="C123" s="6">
        <v>11</v>
      </c>
      <c r="D123" s="6">
        <v>895</v>
      </c>
      <c r="E123" s="6">
        <v>57</v>
      </c>
      <c r="F123" s="6">
        <v>-100</v>
      </c>
      <c r="T123" cm="1" s="7" t="b">
        <f t="array" ref="T123">SUMPRODUCT(($I$3:$I$5=B123)*($K$3:$K$5=D123)*($J$3:$J$5&gt;=C123))&gt;0</f>
        <v>0</v>
      </c>
    </row>
    <row r="124" ht="14.00" customHeight="true">
      <c r="A124" s="5">
        <v>41650</v>
      </c>
      <c r="B124" t="s" s="6">
        <v>9</v>
      </c>
      <c r="C124" s="6">
        <v>11</v>
      </c>
      <c r="D124" s="6">
        <v>890</v>
      </c>
      <c r="E124" s="6">
        <v>59</v>
      </c>
      <c r="F124" s="6">
        <v>-50</v>
      </c>
      <c r="T124" cm="1" s="7" t="b">
        <f t="array" ref="T124">SUMPRODUCT(($I$3:$I$5=B124)*($K$3:$K$5=D124)*($J$3:$J$5&gt;=C124))&gt;0</f>
        <v>0</v>
      </c>
    </row>
    <row r="125" ht="14.00" customHeight="true">
      <c r="A125" s="5">
        <v>41650</v>
      </c>
      <c r="B125" t="s" s="6">
        <v>9</v>
      </c>
      <c r="C125" s="6">
        <v>11</v>
      </c>
      <c r="D125" s="6">
        <v>885</v>
      </c>
      <c r="E125" s="6">
        <v>85</v>
      </c>
      <c r="F125" s="6">
        <v>0</v>
      </c>
      <c r="T125" cm="1" s="7" t="b">
        <f t="array" ref="T125">SUMPRODUCT(($I$3:$I$5=B125)*($K$3:$K$5=D125)*($J$3:$J$5&gt;=C125))&gt;0</f>
        <v>1</v>
      </c>
    </row>
    <row r="126" ht="14.00" customHeight="true">
      <c r="A126" s="5">
        <v>41650</v>
      </c>
      <c r="B126" t="s" s="6">
        <v>9</v>
      </c>
      <c r="C126" s="6">
        <v>11</v>
      </c>
      <c r="D126" s="6">
        <v>880</v>
      </c>
      <c r="E126" s="6">
        <v>99</v>
      </c>
      <c r="F126" s="6">
        <v>50</v>
      </c>
      <c r="T126" cm="1" s="7" t="b">
        <f t="array" ref="T126">SUMPRODUCT(($I$3:$I$5=B126)*($K$3:$K$5=D126)*($J$3:$J$5&gt;=C126))&gt;0</f>
        <v>0</v>
      </c>
    </row>
    <row r="127" ht="14.00" customHeight="true">
      <c r="A127" s="5">
        <v>41650</v>
      </c>
      <c r="B127" t="s" s="6">
        <v>10</v>
      </c>
      <c r="C127" s="6">
        <v>41</v>
      </c>
      <c r="D127" s="6">
        <v>895</v>
      </c>
      <c r="E127" s="6">
        <v>77</v>
      </c>
      <c r="F127" s="6">
        <v>-100</v>
      </c>
      <c r="T127" cm="1" s="7" t="b">
        <f t="array" ref="T127">SUMPRODUCT(($I$3:$I$5=B127)*($K$3:$K$5=D127)*($J$3:$J$5&gt;=C127))&gt;0</f>
        <v>0</v>
      </c>
    </row>
    <row r="128" ht="14.00" customHeight="true">
      <c r="A128" s="5">
        <v>41650</v>
      </c>
      <c r="B128" t="s" s="6">
        <v>10</v>
      </c>
      <c r="C128" s="6">
        <v>41</v>
      </c>
      <c r="D128" s="6">
        <v>890</v>
      </c>
      <c r="E128" s="6">
        <v>55</v>
      </c>
      <c r="F128" s="6">
        <v>-50</v>
      </c>
      <c r="T128" cm="1" s="7" t="b">
        <f t="array" ref="T128">SUMPRODUCT(($I$3:$I$5=B128)*($K$3:$K$5=D128)*($J$3:$J$5&gt;=C128))&gt;0</f>
        <v>0</v>
      </c>
    </row>
    <row r="129" ht="14.00" customHeight="true">
      <c r="A129" s="5">
        <v>41650</v>
      </c>
      <c r="B129" t="s" s="6">
        <v>10</v>
      </c>
      <c r="C129" s="6">
        <v>41</v>
      </c>
      <c r="D129" s="6">
        <v>885</v>
      </c>
      <c r="E129" s="6">
        <v>89</v>
      </c>
      <c r="F129" s="6">
        <v>0</v>
      </c>
      <c r="T129" cm="1" s="7" t="b">
        <f t="array" ref="T129">SUMPRODUCT(($I$3:$I$5=B129)*($K$3:$K$5=D129)*($J$3:$J$5&gt;=C129))&gt;0</f>
        <v>1</v>
      </c>
    </row>
    <row r="130" ht="14.00" customHeight="true">
      <c r="A130" s="5">
        <v>41650</v>
      </c>
      <c r="B130" t="s" s="6">
        <v>10</v>
      </c>
      <c r="C130" s="6">
        <v>41</v>
      </c>
      <c r="D130" s="6">
        <v>880</v>
      </c>
      <c r="E130" s="6">
        <v>79</v>
      </c>
      <c r="F130" s="6">
        <v>50</v>
      </c>
      <c r="T130" cm="1" s="7" t="b">
        <f t="array" ref="T130">SUMPRODUCT(($I$3:$I$5=B130)*($K$3:$K$5=D130)*($J$3:$J$5&gt;=C130))&gt;0</f>
        <v>0</v>
      </c>
    </row>
    <row r="131" ht="14.00" customHeight="true">
      <c r="A131" s="5">
        <v>41650</v>
      </c>
      <c r="B131" t="s" s="6">
        <v>11</v>
      </c>
      <c r="C131" s="6">
        <v>71</v>
      </c>
      <c r="D131" s="6">
        <v>895</v>
      </c>
      <c r="E131" s="6">
        <v>61</v>
      </c>
      <c r="F131" s="6">
        <v>-100</v>
      </c>
      <c r="T131" cm="1" s="7" t="b">
        <f t="array" ref="T131">SUMPRODUCT(($I$3:$I$5=B131)*($K$3:$K$5=D131)*($J$3:$J$5&gt;=C131))&gt;0</f>
        <v>0</v>
      </c>
    </row>
    <row r="132" ht="14.00" customHeight="true">
      <c r="A132" s="5">
        <v>41650</v>
      </c>
      <c r="B132" t="s" s="6">
        <v>11</v>
      </c>
      <c r="C132" s="6">
        <v>71</v>
      </c>
      <c r="D132" s="6">
        <v>890</v>
      </c>
      <c r="E132" s="6">
        <v>60</v>
      </c>
      <c r="F132" s="6">
        <v>-50</v>
      </c>
      <c r="T132" cm="1" s="7" t="b">
        <f t="array" ref="T132">SUMPRODUCT(($I$3:$I$5=B132)*($K$3:$K$5=D132)*($J$3:$J$5&gt;=C132))&gt;0</f>
        <v>0</v>
      </c>
    </row>
    <row r="133" ht="14.00" customHeight="true">
      <c r="A133" s="5">
        <v>41650</v>
      </c>
      <c r="B133" t="s" s="6">
        <v>11</v>
      </c>
      <c r="C133" s="6">
        <v>71</v>
      </c>
      <c r="D133" s="6">
        <v>885</v>
      </c>
      <c r="E133" s="6">
        <v>77</v>
      </c>
      <c r="F133" s="6">
        <v>0</v>
      </c>
      <c r="T133" cm="1" s="7" t="b">
        <f t="array" ref="T133">SUMPRODUCT(($I$3:$I$5=B133)*($K$3:$K$5=D133)*($J$3:$J$5&gt;=C133))&gt;0</f>
        <v>1</v>
      </c>
    </row>
    <row r="134" ht="14.00" customHeight="true">
      <c r="A134" s="5">
        <v>41650</v>
      </c>
      <c r="B134" t="s" s="6">
        <v>11</v>
      </c>
      <c r="C134" s="6">
        <v>71</v>
      </c>
      <c r="D134" s="6">
        <v>880</v>
      </c>
      <c r="E134" s="6">
        <v>58</v>
      </c>
      <c r="F134" s="6">
        <v>50</v>
      </c>
      <c r="T134" cm="1" s="7" t="b">
        <f t="array" ref="T134">SUMPRODUCT(($I$3:$I$5=B134)*($K$3:$K$5=D134)*($J$3:$J$5&gt;=C134))&gt;0</f>
        <v>0</v>
      </c>
    </row>
    <row r="135" ht="14.00" customHeight="true">
      <c r="A135" s="5">
        <v>41651</v>
      </c>
      <c r="B135" t="s" s="6">
        <v>9</v>
      </c>
      <c r="C135" s="6">
        <v>10</v>
      </c>
      <c r="D135" s="6">
        <v>895</v>
      </c>
      <c r="E135" s="6">
        <v>57</v>
      </c>
      <c r="F135" s="6">
        <v>-100</v>
      </c>
      <c r="T135" cm="1" s="7" t="b">
        <f t="array" ref="T135">SUMPRODUCT(($I$3:$I$5=B135)*($K$3:$K$5=D135)*($J$3:$J$5&gt;=C135))&gt;0</f>
        <v>0</v>
      </c>
    </row>
    <row r="136" ht="14.00" customHeight="true">
      <c r="A136" s="5">
        <v>41651</v>
      </c>
      <c r="B136" t="s" s="6">
        <v>9</v>
      </c>
      <c r="C136" s="6">
        <v>10</v>
      </c>
      <c r="D136" s="6">
        <v>890</v>
      </c>
      <c r="E136" s="6">
        <v>59</v>
      </c>
      <c r="F136" s="6">
        <v>-50</v>
      </c>
      <c r="T136" cm="1" s="7" t="b">
        <f t="array" ref="T136">SUMPRODUCT(($I$3:$I$5=B136)*($K$3:$K$5=D136)*($J$3:$J$5&gt;=C136))&gt;0</f>
        <v>0</v>
      </c>
    </row>
    <row r="137" ht="14.00" customHeight="true">
      <c r="A137" s="5">
        <v>41651</v>
      </c>
      <c r="B137" t="s" s="6">
        <v>9</v>
      </c>
      <c r="C137" s="6">
        <v>10</v>
      </c>
      <c r="D137" s="6">
        <v>885</v>
      </c>
      <c r="E137" s="6">
        <v>85</v>
      </c>
      <c r="F137" s="6">
        <v>0</v>
      </c>
      <c r="T137" cm="1" s="7" t="b">
        <f t="array" ref="T137">SUMPRODUCT(($I$3:$I$5=B137)*($K$3:$K$5=D137)*($J$3:$J$5&gt;=C137))&gt;0</f>
        <v>1</v>
      </c>
    </row>
    <row r="138" ht="14.00" customHeight="true">
      <c r="A138" s="5">
        <v>41651</v>
      </c>
      <c r="B138" t="s" s="6">
        <v>9</v>
      </c>
      <c r="C138" s="6">
        <v>10</v>
      </c>
      <c r="D138" s="6">
        <v>880</v>
      </c>
      <c r="E138" s="6">
        <v>99</v>
      </c>
      <c r="F138" s="6">
        <v>50</v>
      </c>
      <c r="T138" cm="1" s="7" t="b">
        <f t="array" ref="T138">SUMPRODUCT(($I$3:$I$5=B138)*($K$3:$K$5=D138)*($J$3:$J$5&gt;=C138))&gt;0</f>
        <v>0</v>
      </c>
    </row>
    <row r="139" ht="14.00" customHeight="true">
      <c r="A139" s="5">
        <v>41651</v>
      </c>
      <c r="B139" t="s" s="6">
        <v>10</v>
      </c>
      <c r="C139" s="6">
        <v>40</v>
      </c>
      <c r="D139" s="6">
        <v>895</v>
      </c>
      <c r="E139" s="6">
        <v>77</v>
      </c>
      <c r="F139" s="6">
        <v>-100</v>
      </c>
      <c r="T139" cm="1" s="7" t="b">
        <f t="array" ref="T139">SUMPRODUCT(($I$3:$I$5=B139)*($K$3:$K$5=D139)*($J$3:$J$5&gt;=C139))&gt;0</f>
        <v>0</v>
      </c>
    </row>
    <row r="140" ht="14.00" customHeight="true">
      <c r="A140" s="5">
        <v>41651</v>
      </c>
      <c r="B140" t="s" s="6">
        <v>10</v>
      </c>
      <c r="C140" s="6">
        <v>40</v>
      </c>
      <c r="D140" s="6">
        <v>890</v>
      </c>
      <c r="E140" s="6">
        <v>55</v>
      </c>
      <c r="F140" s="6">
        <v>-50</v>
      </c>
      <c r="T140" cm="1" s="7" t="b">
        <f t="array" ref="T140">SUMPRODUCT(($I$3:$I$5=B140)*($K$3:$K$5=D140)*($J$3:$J$5&gt;=C140))&gt;0</f>
        <v>0</v>
      </c>
    </row>
    <row r="141" ht="14.00" customHeight="true">
      <c r="A141" s="5">
        <v>41651</v>
      </c>
      <c r="B141" t="s" s="6">
        <v>10</v>
      </c>
      <c r="C141" s="6">
        <v>40</v>
      </c>
      <c r="D141" s="6">
        <v>885</v>
      </c>
      <c r="E141" s="6">
        <v>89</v>
      </c>
      <c r="F141" s="6">
        <v>0</v>
      </c>
      <c r="T141" cm="1" s="7" t="b">
        <f t="array" ref="T141">SUMPRODUCT(($I$3:$I$5=B141)*($K$3:$K$5=D141)*($J$3:$J$5&gt;=C141))&gt;0</f>
        <v>1</v>
      </c>
    </row>
    <row r="142" ht="14.00" customHeight="true">
      <c r="A142" s="5">
        <v>41651</v>
      </c>
      <c r="B142" t="s" s="6">
        <v>10</v>
      </c>
      <c r="C142" s="6">
        <v>40</v>
      </c>
      <c r="D142" s="6">
        <v>880</v>
      </c>
      <c r="E142" s="6">
        <v>79</v>
      </c>
      <c r="F142" s="6">
        <v>50</v>
      </c>
      <c r="T142" cm="1" s="7" t="b">
        <f t="array" ref="T142">SUMPRODUCT(($I$3:$I$5=B142)*($K$3:$K$5=D142)*($J$3:$J$5&gt;=C142))&gt;0</f>
        <v>0</v>
      </c>
    </row>
    <row r="143" ht="14.00" customHeight="true">
      <c r="A143" s="5">
        <v>41651</v>
      </c>
      <c r="B143" t="s" s="6">
        <v>11</v>
      </c>
      <c r="C143" s="6">
        <v>70</v>
      </c>
      <c r="D143" s="6">
        <v>895</v>
      </c>
      <c r="E143" s="6">
        <v>61</v>
      </c>
      <c r="F143" s="6">
        <v>-100</v>
      </c>
      <c r="T143" cm="1" s="7" t="b">
        <f t="array" ref="T143">SUMPRODUCT(($I$3:$I$5=B143)*($K$3:$K$5=D143)*($J$3:$J$5&gt;=C143))&gt;0</f>
        <v>0</v>
      </c>
    </row>
    <row r="144" ht="14.00" customHeight="true">
      <c r="A144" s="5">
        <v>41651</v>
      </c>
      <c r="B144" t="s" s="6">
        <v>11</v>
      </c>
      <c r="C144" s="6">
        <v>70</v>
      </c>
      <c r="D144" s="6">
        <v>890</v>
      </c>
      <c r="E144" s="6">
        <v>60</v>
      </c>
      <c r="F144" s="6">
        <v>-50</v>
      </c>
      <c r="T144" cm="1" s="7" t="b">
        <f t="array" ref="T144">SUMPRODUCT(($I$3:$I$5=B144)*($K$3:$K$5=D144)*($J$3:$J$5&gt;=C144))&gt;0</f>
        <v>0</v>
      </c>
    </row>
    <row r="145" ht="14.00" customHeight="true">
      <c r="A145" s="5">
        <v>41651</v>
      </c>
      <c r="B145" t="s" s="6">
        <v>11</v>
      </c>
      <c r="C145" s="6">
        <v>70</v>
      </c>
      <c r="D145" s="6">
        <v>885</v>
      </c>
      <c r="E145" s="6">
        <v>77</v>
      </c>
      <c r="F145" s="6">
        <v>0</v>
      </c>
      <c r="T145" cm="1" s="7" t="b">
        <f t="array" ref="T145">SUMPRODUCT(($I$3:$I$5=B145)*($K$3:$K$5=D145)*($J$3:$J$5&gt;=C145))&gt;0</f>
        <v>1</v>
      </c>
    </row>
    <row r="146" ht="14.00" customHeight="true">
      <c r="A146" s="5">
        <v>41651</v>
      </c>
      <c r="B146" t="s" s="6">
        <v>11</v>
      </c>
      <c r="C146" s="6">
        <v>70</v>
      </c>
      <c r="D146" s="6">
        <v>880</v>
      </c>
      <c r="E146" s="6">
        <v>58</v>
      </c>
      <c r="F146" s="6">
        <v>50</v>
      </c>
      <c r="T146" cm="1" s="7" t="b">
        <f t="array" ref="T146">SUMPRODUCT(($I$3:$I$5=B146)*($K$3:$K$5=D146)*($J$3:$J$5&gt;=C146))&gt;0</f>
        <v>0</v>
      </c>
    </row>
    <row r="147" ht="14.00" customHeight="true">
      <c r="A147" s="5">
        <v>41652</v>
      </c>
      <c r="B147" t="s" s="6">
        <v>9</v>
      </c>
      <c r="C147" s="6">
        <v>9</v>
      </c>
      <c r="D147" s="6">
        <v>895</v>
      </c>
      <c r="E147" s="6">
        <v>57</v>
      </c>
      <c r="F147" s="6">
        <v>-100</v>
      </c>
      <c r="T147" cm="1" s="7" t="b">
        <f t="array" ref="T147">SUMPRODUCT(($I$3:$I$5=B147)*($K$3:$K$5=D147)*($J$3:$J$5&gt;=C147))&gt;0</f>
        <v>0</v>
      </c>
    </row>
    <row r="148" ht="14.00" customHeight="true">
      <c r="A148" s="5">
        <v>41652</v>
      </c>
      <c r="B148" t="s" s="6">
        <v>9</v>
      </c>
      <c r="C148" s="6">
        <v>9</v>
      </c>
      <c r="D148" s="6">
        <v>890</v>
      </c>
      <c r="E148" s="6">
        <v>59</v>
      </c>
      <c r="F148" s="6">
        <v>-50</v>
      </c>
      <c r="T148" cm="1" s="7" t="b">
        <f t="array" ref="T148">SUMPRODUCT(($I$3:$I$5=B148)*($K$3:$K$5=D148)*($J$3:$J$5&gt;=C148))&gt;0</f>
        <v>0</v>
      </c>
    </row>
    <row r="149" ht="14.00" customHeight="true">
      <c r="A149" s="5">
        <v>41652</v>
      </c>
      <c r="B149" t="s" s="6">
        <v>9</v>
      </c>
      <c r="C149" s="6">
        <v>9</v>
      </c>
      <c r="D149" s="6">
        <v>885</v>
      </c>
      <c r="E149" s="6">
        <v>85</v>
      </c>
      <c r="F149" s="6">
        <v>0</v>
      </c>
      <c r="T149" cm="1" s="7" t="b">
        <f t="array" ref="T149">SUMPRODUCT(($I$3:$I$5=B149)*($K$3:$K$5=D149)*($J$3:$J$5&gt;=C149))&gt;0</f>
        <v>1</v>
      </c>
    </row>
    <row r="150" ht="14.00" customHeight="true">
      <c r="A150" s="5">
        <v>41652</v>
      </c>
      <c r="B150" t="s" s="6">
        <v>9</v>
      </c>
      <c r="C150" s="6">
        <v>9</v>
      </c>
      <c r="D150" s="6">
        <v>880</v>
      </c>
      <c r="E150" s="6">
        <v>99</v>
      </c>
      <c r="F150" s="6">
        <v>50</v>
      </c>
      <c r="T150" cm="1" s="7" t="b">
        <f t="array" ref="T150">SUMPRODUCT(($I$3:$I$5=B150)*($K$3:$K$5=D150)*($J$3:$J$5&gt;=C150))&gt;0</f>
        <v>0</v>
      </c>
    </row>
    <row r="151" ht="14.00" customHeight="true">
      <c r="A151" s="5">
        <v>41652</v>
      </c>
      <c r="B151" t="s" s="6">
        <v>10</v>
      </c>
      <c r="C151" s="6">
        <v>39</v>
      </c>
      <c r="D151" s="6">
        <v>895</v>
      </c>
      <c r="E151" s="6">
        <v>77</v>
      </c>
      <c r="F151" s="6">
        <v>-100</v>
      </c>
      <c r="T151" cm="1" s="7" t="b">
        <f t="array" ref="T151">SUMPRODUCT(($I$3:$I$5=B151)*($K$3:$K$5=D151)*($J$3:$J$5&gt;=C151))&gt;0</f>
        <v>0</v>
      </c>
    </row>
    <row r="152" ht="14.00" customHeight="true">
      <c r="A152" s="5">
        <v>41652</v>
      </c>
      <c r="B152" t="s" s="6">
        <v>10</v>
      </c>
      <c r="C152" s="6">
        <v>39</v>
      </c>
      <c r="D152" s="6">
        <v>890</v>
      </c>
      <c r="E152" s="6">
        <v>55</v>
      </c>
      <c r="F152" s="6">
        <v>-50</v>
      </c>
      <c r="T152" cm="1" s="7" t="b">
        <f t="array" ref="T152">SUMPRODUCT(($I$3:$I$5=B152)*($K$3:$K$5=D152)*($J$3:$J$5&gt;=C152))&gt;0</f>
        <v>0</v>
      </c>
    </row>
    <row r="153" ht="14.00" customHeight="true">
      <c r="A153" s="5">
        <v>41652</v>
      </c>
      <c r="B153" t="s" s="6">
        <v>10</v>
      </c>
      <c r="C153" s="6">
        <v>39</v>
      </c>
      <c r="D153" s="6">
        <v>885</v>
      </c>
      <c r="E153" s="6">
        <v>89</v>
      </c>
      <c r="F153" s="6">
        <v>0</v>
      </c>
      <c r="T153" cm="1" s="7" t="b">
        <f t="array" ref="T153">SUMPRODUCT(($I$3:$I$5=B153)*($K$3:$K$5=D153)*($J$3:$J$5&gt;=C153))&gt;0</f>
        <v>1</v>
      </c>
    </row>
    <row r="154" ht="14.00" customHeight="true">
      <c r="A154" s="5">
        <v>41652</v>
      </c>
      <c r="B154" t="s" s="6">
        <v>10</v>
      </c>
      <c r="C154" s="6">
        <v>39</v>
      </c>
      <c r="D154" s="6">
        <v>880</v>
      </c>
      <c r="E154" s="6">
        <v>79</v>
      </c>
      <c r="F154" s="6">
        <v>50</v>
      </c>
      <c r="T154" cm="1" s="7" t="b">
        <f t="array" ref="T154">SUMPRODUCT(($I$3:$I$5=B154)*($K$3:$K$5=D154)*($J$3:$J$5&gt;=C154))&gt;0</f>
        <v>0</v>
      </c>
    </row>
    <row r="155" ht="14.00" customHeight="true">
      <c r="A155" s="5">
        <v>41652</v>
      </c>
      <c r="B155" t="s" s="6">
        <v>11</v>
      </c>
      <c r="C155" s="6">
        <v>69</v>
      </c>
      <c r="D155" s="6">
        <v>895</v>
      </c>
      <c r="E155" s="6">
        <v>61</v>
      </c>
      <c r="F155" s="6">
        <v>-100</v>
      </c>
      <c r="T155" cm="1" s="7" t="b">
        <f t="array" ref="T155">SUMPRODUCT(($I$3:$I$5=B155)*($K$3:$K$5=D155)*($J$3:$J$5&gt;=C155))&gt;0</f>
        <v>0</v>
      </c>
    </row>
    <row r="156" ht="14.00" customHeight="true">
      <c r="A156" s="5">
        <v>41652</v>
      </c>
      <c r="B156" t="s" s="6">
        <v>11</v>
      </c>
      <c r="C156" s="6">
        <v>69</v>
      </c>
      <c r="D156" s="6">
        <v>890</v>
      </c>
      <c r="E156" s="6">
        <v>60</v>
      </c>
      <c r="F156" s="6">
        <v>-50</v>
      </c>
      <c r="T156" cm="1" s="7" t="b">
        <f t="array" ref="T156">SUMPRODUCT(($I$3:$I$5=B156)*($K$3:$K$5=D156)*($J$3:$J$5&gt;=C156))&gt;0</f>
        <v>0</v>
      </c>
    </row>
    <row r="157" ht="14.00" customHeight="true">
      <c r="A157" s="5">
        <v>41652</v>
      </c>
      <c r="B157" t="s" s="6">
        <v>11</v>
      </c>
      <c r="C157" s="6">
        <v>69</v>
      </c>
      <c r="D157" s="6">
        <v>885</v>
      </c>
      <c r="E157" s="6">
        <v>77</v>
      </c>
      <c r="F157" s="6">
        <v>0</v>
      </c>
      <c r="T157" cm="1" s="7" t="b">
        <f t="array" ref="T157">SUMPRODUCT(($I$3:$I$5=B157)*($K$3:$K$5=D157)*($J$3:$J$5&gt;=C157))&gt;0</f>
        <v>1</v>
      </c>
    </row>
    <row r="158" ht="14.00" customHeight="true">
      <c r="A158" s="5">
        <v>41652</v>
      </c>
      <c r="B158" t="s" s="6">
        <v>11</v>
      </c>
      <c r="C158" s="6">
        <v>69</v>
      </c>
      <c r="D158" s="6">
        <v>880</v>
      </c>
      <c r="E158" s="6">
        <v>58</v>
      </c>
      <c r="F158" s="6">
        <v>50</v>
      </c>
      <c r="T158" cm="1" s="7" t="b">
        <f t="array" ref="T158">SUMPRODUCT(($I$3:$I$5=B158)*($K$3:$K$5=D158)*($J$3:$J$5&gt;=C158))&gt;0</f>
        <v>0</v>
      </c>
    </row>
    <row r="159" ht="14.00" customHeight="true">
      <c r="A159" s="5">
        <v>41653</v>
      </c>
      <c r="B159" t="s" s="6">
        <v>9</v>
      </c>
      <c r="C159" s="6">
        <v>8</v>
      </c>
      <c r="D159" s="6">
        <v>895</v>
      </c>
      <c r="E159" s="6">
        <v>57</v>
      </c>
      <c r="F159" s="6">
        <v>-100</v>
      </c>
      <c r="T159" cm="1" s="7" t="b">
        <f t="array" ref="T159">SUMPRODUCT(($I$3:$I$5=B159)*($K$3:$K$5=D159)*($J$3:$J$5&gt;=C159))&gt;0</f>
        <v>0</v>
      </c>
    </row>
    <row r="160" ht="14.00" customHeight="true">
      <c r="A160" s="5">
        <v>41653</v>
      </c>
      <c r="B160" t="s" s="6">
        <v>9</v>
      </c>
      <c r="C160" s="6">
        <v>8</v>
      </c>
      <c r="D160" s="6">
        <v>890</v>
      </c>
      <c r="E160" s="6">
        <v>59</v>
      </c>
      <c r="F160" s="6">
        <v>-50</v>
      </c>
      <c r="T160" cm="1" s="7" t="b">
        <f t="array" ref="T160">SUMPRODUCT(($I$3:$I$5=B160)*($K$3:$K$5=D160)*($J$3:$J$5&gt;=C160))&gt;0</f>
        <v>0</v>
      </c>
    </row>
    <row r="161" ht="14.00" customHeight="true">
      <c r="A161" s="5">
        <v>41653</v>
      </c>
      <c r="B161" t="s" s="6">
        <v>9</v>
      </c>
      <c r="C161" s="6">
        <v>8</v>
      </c>
      <c r="D161" s="6">
        <v>885</v>
      </c>
      <c r="E161" s="6">
        <v>85</v>
      </c>
      <c r="F161" s="6">
        <v>0</v>
      </c>
      <c r="T161" cm="1" s="7" t="b">
        <f t="array" ref="T161">SUMPRODUCT(($I$3:$I$5=B161)*($K$3:$K$5=D161)*($J$3:$J$5&gt;=C161))&gt;0</f>
        <v>1</v>
      </c>
    </row>
    <row r="162" ht="14.00" customHeight="true">
      <c r="A162" s="5">
        <v>41653</v>
      </c>
      <c r="B162" t="s" s="6">
        <v>9</v>
      </c>
      <c r="C162" s="6">
        <v>8</v>
      </c>
      <c r="D162" s="6">
        <v>880</v>
      </c>
      <c r="E162" s="6">
        <v>99</v>
      </c>
      <c r="F162" s="6">
        <v>50</v>
      </c>
      <c r="T162" cm="1" s="7" t="b">
        <f t="array" ref="T162">SUMPRODUCT(($I$3:$I$5=B162)*($K$3:$K$5=D162)*($J$3:$J$5&gt;=C162))&gt;0</f>
        <v>0</v>
      </c>
    </row>
    <row r="163" ht="14.00" customHeight="true">
      <c r="A163" s="5">
        <v>41653</v>
      </c>
      <c r="B163" t="s" s="6">
        <v>10</v>
      </c>
      <c r="C163" s="6">
        <v>38</v>
      </c>
      <c r="D163" s="6">
        <v>895</v>
      </c>
      <c r="E163" s="6">
        <v>77</v>
      </c>
      <c r="F163" s="6">
        <v>-100</v>
      </c>
      <c r="T163" cm="1" s="7" t="b">
        <f t="array" ref="T163">SUMPRODUCT(($I$3:$I$5=B163)*($K$3:$K$5=D163)*($J$3:$J$5&gt;=C163))&gt;0</f>
        <v>0</v>
      </c>
    </row>
    <row r="164" ht="14.00" customHeight="true">
      <c r="A164" s="5">
        <v>41653</v>
      </c>
      <c r="B164" t="s" s="6">
        <v>10</v>
      </c>
      <c r="C164" s="6">
        <v>38</v>
      </c>
      <c r="D164" s="6">
        <v>890</v>
      </c>
      <c r="E164" s="6">
        <v>55</v>
      </c>
      <c r="F164" s="6">
        <v>-50</v>
      </c>
      <c r="T164" cm="1" s="7" t="b">
        <f t="array" ref="T164">SUMPRODUCT(($I$3:$I$5=B164)*($K$3:$K$5=D164)*($J$3:$J$5&gt;=C164))&gt;0</f>
        <v>0</v>
      </c>
    </row>
    <row r="165" ht="14.00" customHeight="true">
      <c r="A165" s="5">
        <v>41653</v>
      </c>
      <c r="B165" t="s" s="6">
        <v>10</v>
      </c>
      <c r="C165" s="6">
        <v>38</v>
      </c>
      <c r="D165" s="6">
        <v>885</v>
      </c>
      <c r="E165" s="6">
        <v>89</v>
      </c>
      <c r="F165" s="6">
        <v>0</v>
      </c>
      <c r="T165" cm="1" s="7" t="b">
        <f t="array" ref="T165">SUMPRODUCT(($I$3:$I$5=B165)*($K$3:$K$5=D165)*($J$3:$J$5&gt;=C165))&gt;0</f>
        <v>1</v>
      </c>
    </row>
    <row r="166" ht="14.00" customHeight="true">
      <c r="A166" s="5">
        <v>41653</v>
      </c>
      <c r="B166" t="s" s="6">
        <v>10</v>
      </c>
      <c r="C166" s="6">
        <v>38</v>
      </c>
      <c r="D166" s="6">
        <v>880</v>
      </c>
      <c r="E166" s="6">
        <v>79</v>
      </c>
      <c r="F166" s="6">
        <v>50</v>
      </c>
      <c r="T166" cm="1" s="7" t="b">
        <f t="array" ref="T166">SUMPRODUCT(($I$3:$I$5=B166)*($K$3:$K$5=D166)*($J$3:$J$5&gt;=C166))&gt;0</f>
        <v>0</v>
      </c>
    </row>
    <row r="167" ht="14.00" customHeight="true">
      <c r="A167" s="5">
        <v>41653</v>
      </c>
      <c r="B167" t="s" s="6">
        <v>11</v>
      </c>
      <c r="C167" s="6">
        <v>68</v>
      </c>
      <c r="D167" s="6">
        <v>895</v>
      </c>
      <c r="E167" s="6">
        <v>61</v>
      </c>
      <c r="F167" s="6">
        <v>-100</v>
      </c>
      <c r="T167" cm="1" s="7" t="b">
        <f t="array" ref="T167">SUMPRODUCT(($I$3:$I$5=B167)*($K$3:$K$5=D167)*($J$3:$J$5&gt;=C167))&gt;0</f>
        <v>0</v>
      </c>
    </row>
    <row r="168" ht="14.00" customHeight="true">
      <c r="A168" s="5">
        <v>41653</v>
      </c>
      <c r="B168" t="s" s="6">
        <v>11</v>
      </c>
      <c r="C168" s="6">
        <v>68</v>
      </c>
      <c r="D168" s="6">
        <v>890</v>
      </c>
      <c r="E168" s="6">
        <v>60</v>
      </c>
      <c r="F168" s="6">
        <v>-50</v>
      </c>
      <c r="T168" cm="1" s="7" t="b">
        <f t="array" ref="T168">SUMPRODUCT(($I$3:$I$5=B168)*($K$3:$K$5=D168)*($J$3:$J$5&gt;=C168))&gt;0</f>
        <v>0</v>
      </c>
    </row>
    <row r="169" ht="14.00" customHeight="true">
      <c r="A169" s="5">
        <v>41653</v>
      </c>
      <c r="B169" t="s" s="6">
        <v>11</v>
      </c>
      <c r="C169" s="6">
        <v>68</v>
      </c>
      <c r="D169" s="6">
        <v>885</v>
      </c>
      <c r="E169" s="6">
        <v>77</v>
      </c>
      <c r="F169" s="6">
        <v>0</v>
      </c>
      <c r="T169" cm="1" s="7" t="b">
        <f t="array" ref="T169">SUMPRODUCT(($I$3:$I$5=B169)*($K$3:$K$5=D169)*($J$3:$J$5&gt;=C169))&gt;0</f>
        <v>1</v>
      </c>
    </row>
    <row r="170" ht="14.00" customHeight="true">
      <c r="A170" s="5">
        <v>41653</v>
      </c>
      <c r="B170" t="s" s="6">
        <v>11</v>
      </c>
      <c r="C170" s="6">
        <v>68</v>
      </c>
      <c r="D170" s="6">
        <v>880</v>
      </c>
      <c r="E170" s="6">
        <v>58</v>
      </c>
      <c r="F170" s="6">
        <v>50</v>
      </c>
      <c r="T170" cm="1" s="7" t="b">
        <f t="array" ref="T170">SUMPRODUCT(($I$3:$I$5=B170)*($K$3:$K$5=D170)*($J$3:$J$5&gt;=C170))&gt;0</f>
        <v>0</v>
      </c>
    </row>
    <row r="171" ht="14.00" customHeight="true">
      <c r="A171" s="5">
        <v>41654</v>
      </c>
      <c r="B171" t="s" s="6">
        <v>9</v>
      </c>
      <c r="C171" s="6">
        <v>7</v>
      </c>
      <c r="D171" s="6">
        <v>895</v>
      </c>
      <c r="E171" s="6">
        <v>57</v>
      </c>
      <c r="F171" s="6">
        <v>-100</v>
      </c>
      <c r="T171" cm="1" s="7" t="b">
        <f t="array" ref="T171">SUMPRODUCT(($I$3:$I$5=B171)*($K$3:$K$5=D171)*($J$3:$J$5&gt;=C171))&gt;0</f>
        <v>0</v>
      </c>
    </row>
    <row r="172" ht="14.00" customHeight="true">
      <c r="A172" s="5">
        <v>41654</v>
      </c>
      <c r="B172" t="s" s="6">
        <v>9</v>
      </c>
      <c r="C172" s="6">
        <v>7</v>
      </c>
      <c r="D172" s="6">
        <v>890</v>
      </c>
      <c r="E172" s="6">
        <v>59</v>
      </c>
      <c r="F172" s="6">
        <v>-50</v>
      </c>
      <c r="T172" cm="1" s="7" t="b">
        <f t="array" ref="T172">SUMPRODUCT(($I$3:$I$5=B172)*($K$3:$K$5=D172)*($J$3:$J$5&gt;=C172))&gt;0</f>
        <v>0</v>
      </c>
    </row>
    <row r="173" ht="14.00" customHeight="true">
      <c r="A173" s="5">
        <v>41654</v>
      </c>
      <c r="B173" t="s" s="6">
        <v>9</v>
      </c>
      <c r="C173" s="6">
        <v>7</v>
      </c>
      <c r="D173" s="6">
        <v>885</v>
      </c>
      <c r="E173" s="6">
        <v>85</v>
      </c>
      <c r="F173" s="6">
        <v>0</v>
      </c>
      <c r="T173" cm="1" s="7" t="b">
        <f t="array" ref="T173">SUMPRODUCT(($I$3:$I$5=B173)*($K$3:$K$5=D173)*($J$3:$J$5&gt;=C173))&gt;0</f>
        <v>1</v>
      </c>
    </row>
    <row r="174" ht="14.00" customHeight="true">
      <c r="A174" s="5">
        <v>41654</v>
      </c>
      <c r="B174" t="s" s="6">
        <v>9</v>
      </c>
      <c r="C174" s="6">
        <v>7</v>
      </c>
      <c r="D174" s="6">
        <v>880</v>
      </c>
      <c r="E174" s="6">
        <v>99</v>
      </c>
      <c r="F174" s="6">
        <v>50</v>
      </c>
      <c r="T174" cm="1" s="7" t="b">
        <f t="array" ref="T174">SUMPRODUCT(($I$3:$I$5=B174)*($K$3:$K$5=D174)*($J$3:$J$5&gt;=C174))&gt;0</f>
        <v>0</v>
      </c>
    </row>
    <row r="175" ht="14.00" customHeight="true">
      <c r="A175" s="5">
        <v>41654</v>
      </c>
      <c r="B175" t="s" s="6">
        <v>10</v>
      </c>
      <c r="C175" s="6">
        <v>37</v>
      </c>
      <c r="D175" s="6">
        <v>895</v>
      </c>
      <c r="E175" s="6">
        <v>77</v>
      </c>
      <c r="F175" s="6">
        <v>-100</v>
      </c>
      <c r="T175" cm="1" s="7" t="b">
        <f t="array" ref="T175">SUMPRODUCT(($I$3:$I$5=B175)*($K$3:$K$5=D175)*($J$3:$J$5&gt;=C175))&gt;0</f>
        <v>0</v>
      </c>
    </row>
    <row r="176" ht="14.00" customHeight="true">
      <c r="A176" s="5">
        <v>41654</v>
      </c>
      <c r="B176" t="s" s="6">
        <v>10</v>
      </c>
      <c r="C176" s="6">
        <v>37</v>
      </c>
      <c r="D176" s="6">
        <v>890</v>
      </c>
      <c r="E176" s="6">
        <v>55</v>
      </c>
      <c r="F176" s="6">
        <v>-50</v>
      </c>
      <c r="T176" cm="1" s="7" t="b">
        <f t="array" ref="T176">SUMPRODUCT(($I$3:$I$5=B176)*($K$3:$K$5=D176)*($J$3:$J$5&gt;=C176))&gt;0</f>
        <v>0</v>
      </c>
    </row>
    <row r="177" ht="14.00" customHeight="true">
      <c r="A177" s="5">
        <v>41654</v>
      </c>
      <c r="B177" t="s" s="6">
        <v>10</v>
      </c>
      <c r="C177" s="6">
        <v>37</v>
      </c>
      <c r="D177" s="6">
        <v>885</v>
      </c>
      <c r="E177" s="6">
        <v>89</v>
      </c>
      <c r="F177" s="6">
        <v>0</v>
      </c>
      <c r="T177" cm="1" s="7" t="b">
        <f t="array" ref="T177">SUMPRODUCT(($I$3:$I$5=B177)*($K$3:$K$5=D177)*($J$3:$J$5&gt;=C177))&gt;0</f>
        <v>1</v>
      </c>
    </row>
    <row r="178" ht="14.00" customHeight="true">
      <c r="A178" s="5">
        <v>41654</v>
      </c>
      <c r="B178" t="s" s="6">
        <v>10</v>
      </c>
      <c r="C178" s="6">
        <v>37</v>
      </c>
      <c r="D178" s="6">
        <v>880</v>
      </c>
      <c r="E178" s="6">
        <v>79</v>
      </c>
      <c r="F178" s="6">
        <v>50</v>
      </c>
      <c r="T178" cm="1" s="7" t="b">
        <f t="array" ref="T178">SUMPRODUCT(($I$3:$I$5=B178)*($K$3:$K$5=D178)*($J$3:$J$5&gt;=C178))&gt;0</f>
        <v>0</v>
      </c>
    </row>
    <row r="179" ht="14.00" customHeight="true">
      <c r="A179" s="5">
        <v>41654</v>
      </c>
      <c r="B179" t="s" s="6">
        <v>11</v>
      </c>
      <c r="C179" s="6">
        <v>67</v>
      </c>
      <c r="D179" s="6">
        <v>895</v>
      </c>
      <c r="E179" s="6">
        <v>61</v>
      </c>
      <c r="F179" s="6">
        <v>-100</v>
      </c>
      <c r="T179" cm="1" s="7" t="b">
        <f t="array" ref="T179">SUMPRODUCT(($I$3:$I$5=B179)*($K$3:$K$5=D179)*($J$3:$J$5&gt;=C179))&gt;0</f>
        <v>0</v>
      </c>
    </row>
    <row r="180" ht="14.00" customHeight="true">
      <c r="A180" s="5">
        <v>41654</v>
      </c>
      <c r="B180" t="s" s="6">
        <v>11</v>
      </c>
      <c r="C180" s="6">
        <v>67</v>
      </c>
      <c r="D180" s="6">
        <v>890</v>
      </c>
      <c r="E180" s="6">
        <v>60</v>
      </c>
      <c r="F180" s="6">
        <v>-50</v>
      </c>
      <c r="T180" cm="1" s="7" t="b">
        <f t="array" ref="T180">SUMPRODUCT(($I$3:$I$5=B180)*($K$3:$K$5=D180)*($J$3:$J$5&gt;=C180))&gt;0</f>
        <v>0</v>
      </c>
    </row>
    <row r="181" ht="14.00" customHeight="true">
      <c r="A181" s="5">
        <v>41654</v>
      </c>
      <c r="B181" t="s" s="6">
        <v>11</v>
      </c>
      <c r="C181" s="6">
        <v>67</v>
      </c>
      <c r="D181" s="6">
        <v>885</v>
      </c>
      <c r="E181" s="6">
        <v>77</v>
      </c>
      <c r="F181" s="6">
        <v>0</v>
      </c>
      <c r="T181" cm="1" s="7" t="b">
        <f t="array" ref="T181">SUMPRODUCT(($I$3:$I$5=B181)*($K$3:$K$5=D181)*($J$3:$J$5&gt;=C181))&gt;0</f>
        <v>1</v>
      </c>
    </row>
    <row r="182" ht="14.00" customHeight="true">
      <c r="A182" s="5">
        <v>41654</v>
      </c>
      <c r="B182" t="s" s="6">
        <v>11</v>
      </c>
      <c r="C182" s="6">
        <v>67</v>
      </c>
      <c r="D182" s="6">
        <v>880</v>
      </c>
      <c r="E182" s="6">
        <v>58</v>
      </c>
      <c r="F182" s="6">
        <v>50</v>
      </c>
      <c r="T182" cm="1" s="7" t="b">
        <f t="array" ref="T182">SUMPRODUCT(($I$3:$I$5=B182)*($K$3:$K$5=D182)*($J$3:$J$5&gt;=C182))&gt;0</f>
        <v>0</v>
      </c>
    </row>
    <row r="183" ht="14.00" customHeight="true">
      <c r="A183" s="5">
        <v>41655</v>
      </c>
      <c r="B183" t="s" s="6">
        <v>9</v>
      </c>
      <c r="C183" s="6">
        <v>6</v>
      </c>
      <c r="D183" s="6">
        <v>895</v>
      </c>
      <c r="E183" s="6">
        <v>57</v>
      </c>
      <c r="F183" s="6">
        <v>-100</v>
      </c>
      <c r="T183" cm="1" s="7" t="b">
        <f t="array" ref="T183">SUMPRODUCT(($I$3:$I$5=B183)*($K$3:$K$5=D183)*($J$3:$J$5&gt;=C183))&gt;0</f>
        <v>0</v>
      </c>
    </row>
    <row r="184" ht="14.00" customHeight="true">
      <c r="A184" s="5">
        <v>41655</v>
      </c>
      <c r="B184" t="s" s="6">
        <v>9</v>
      </c>
      <c r="C184" s="6">
        <v>6</v>
      </c>
      <c r="D184" s="6">
        <v>890</v>
      </c>
      <c r="E184" s="6">
        <v>59</v>
      </c>
      <c r="F184" s="6">
        <v>-50</v>
      </c>
      <c r="T184" cm="1" s="7" t="b">
        <f t="array" ref="T184">SUMPRODUCT(($I$3:$I$5=B184)*($K$3:$K$5=D184)*($J$3:$J$5&gt;=C184))&gt;0</f>
        <v>0</v>
      </c>
    </row>
    <row r="185" ht="14.00" customHeight="true">
      <c r="A185" s="5">
        <v>41655</v>
      </c>
      <c r="B185" t="s" s="6">
        <v>9</v>
      </c>
      <c r="C185" s="6">
        <v>6</v>
      </c>
      <c r="D185" s="6">
        <v>885</v>
      </c>
      <c r="E185" s="6">
        <v>85</v>
      </c>
      <c r="F185" s="6">
        <v>0</v>
      </c>
      <c r="T185" cm="1" s="7" t="b">
        <f t="array" ref="T185">SUMPRODUCT(($I$3:$I$5=B185)*($K$3:$K$5=D185)*($J$3:$J$5&gt;=C185))&gt;0</f>
        <v>1</v>
      </c>
    </row>
    <row r="186" ht="14.00" customHeight="true">
      <c r="A186" s="5">
        <v>41655</v>
      </c>
      <c r="B186" t="s" s="6">
        <v>9</v>
      </c>
      <c r="C186" s="6">
        <v>6</v>
      </c>
      <c r="D186" s="6">
        <v>880</v>
      </c>
      <c r="E186" s="6">
        <v>99</v>
      </c>
      <c r="F186" s="6">
        <v>50</v>
      </c>
      <c r="T186" cm="1" s="7" t="b">
        <f t="array" ref="T186">SUMPRODUCT(($I$3:$I$5=B186)*($K$3:$K$5=D186)*($J$3:$J$5&gt;=C186))&gt;0</f>
        <v>0</v>
      </c>
    </row>
    <row r="187" ht="14.00" customHeight="true">
      <c r="A187" s="5">
        <v>41655</v>
      </c>
      <c r="B187" t="s" s="6">
        <v>10</v>
      </c>
      <c r="C187" s="6">
        <v>36</v>
      </c>
      <c r="D187" s="6">
        <v>895</v>
      </c>
      <c r="E187" s="6">
        <v>77</v>
      </c>
      <c r="F187" s="6">
        <v>-100</v>
      </c>
      <c r="T187" cm="1" s="7" t="b">
        <f t="array" ref="T187">SUMPRODUCT(($I$3:$I$5=B187)*($K$3:$K$5=D187)*($J$3:$J$5&gt;=C187))&gt;0</f>
        <v>0</v>
      </c>
    </row>
    <row r="188" ht="14.00" customHeight="true">
      <c r="A188" s="5">
        <v>41655</v>
      </c>
      <c r="B188" t="s" s="6">
        <v>10</v>
      </c>
      <c r="C188" s="6">
        <v>36</v>
      </c>
      <c r="D188" s="6">
        <v>890</v>
      </c>
      <c r="E188" s="6">
        <v>55</v>
      </c>
      <c r="F188" s="6">
        <v>-50</v>
      </c>
      <c r="T188" cm="1" s="7" t="b">
        <f t="array" ref="T188">SUMPRODUCT(($I$3:$I$5=B188)*($K$3:$K$5=D188)*($J$3:$J$5&gt;=C188))&gt;0</f>
        <v>0</v>
      </c>
    </row>
    <row r="189" ht="14.00" customHeight="true">
      <c r="A189" s="5">
        <v>41655</v>
      </c>
      <c r="B189" t="s" s="6">
        <v>10</v>
      </c>
      <c r="C189" s="6">
        <v>36</v>
      </c>
      <c r="D189" s="6">
        <v>885</v>
      </c>
      <c r="E189" s="6">
        <v>89</v>
      </c>
      <c r="F189" s="6">
        <v>0</v>
      </c>
      <c r="T189" cm="1" s="7" t="b">
        <f t="array" ref="T189">SUMPRODUCT(($I$3:$I$5=B189)*($K$3:$K$5=D189)*($J$3:$J$5&gt;=C189))&gt;0</f>
        <v>1</v>
      </c>
    </row>
    <row r="190" ht="14.00" customHeight="true">
      <c r="A190" s="5">
        <v>41655</v>
      </c>
      <c r="B190" t="s" s="6">
        <v>10</v>
      </c>
      <c r="C190" s="6">
        <v>36</v>
      </c>
      <c r="D190" s="6">
        <v>880</v>
      </c>
      <c r="E190" s="6">
        <v>79</v>
      </c>
      <c r="F190" s="6">
        <v>50</v>
      </c>
      <c r="T190" cm="1" s="7" t="b">
        <f t="array" ref="T190">SUMPRODUCT(($I$3:$I$5=B190)*($K$3:$K$5=D190)*($J$3:$J$5&gt;=C190))&gt;0</f>
        <v>0</v>
      </c>
    </row>
    <row r="191" ht="14.00" customHeight="true">
      <c r="A191" s="5">
        <v>41655</v>
      </c>
      <c r="B191" t="s" s="6">
        <v>11</v>
      </c>
      <c r="C191" s="6">
        <v>66</v>
      </c>
      <c r="D191" s="6">
        <v>895</v>
      </c>
      <c r="E191" s="6">
        <v>61</v>
      </c>
      <c r="F191" s="6">
        <v>-100</v>
      </c>
      <c r="T191" cm="1" s="7" t="b">
        <f t="array" ref="T191">SUMPRODUCT(($I$3:$I$5=B191)*($K$3:$K$5=D191)*($J$3:$J$5&gt;=C191))&gt;0</f>
        <v>0</v>
      </c>
    </row>
    <row r="192" ht="14.00" customHeight="true">
      <c r="A192" s="5">
        <v>41655</v>
      </c>
      <c r="B192" t="s" s="6">
        <v>11</v>
      </c>
      <c r="C192" s="6">
        <v>66</v>
      </c>
      <c r="D192" s="6">
        <v>890</v>
      </c>
      <c r="E192" s="6">
        <v>60</v>
      </c>
      <c r="F192" s="6">
        <v>-50</v>
      </c>
      <c r="T192" cm="1" s="7" t="b">
        <f t="array" ref="T192">SUMPRODUCT(($I$3:$I$5=B192)*($K$3:$K$5=D192)*($J$3:$J$5&gt;=C192))&gt;0</f>
        <v>0</v>
      </c>
    </row>
    <row r="193" ht="14.00" customHeight="true">
      <c r="A193" s="5">
        <v>41655</v>
      </c>
      <c r="B193" t="s" s="6">
        <v>11</v>
      </c>
      <c r="C193" s="6">
        <v>66</v>
      </c>
      <c r="D193" s="6">
        <v>885</v>
      </c>
      <c r="E193" s="6">
        <v>77</v>
      </c>
      <c r="F193" s="6">
        <v>0</v>
      </c>
      <c r="T193" cm="1" s="7" t="b">
        <f t="array" ref="T193">SUMPRODUCT(($I$3:$I$5=B193)*($K$3:$K$5=D193)*($J$3:$J$5&gt;=C193))&gt;0</f>
        <v>1</v>
      </c>
    </row>
    <row r="194" ht="14.00" customHeight="true">
      <c r="A194" s="5">
        <v>41655</v>
      </c>
      <c r="B194" t="s" s="6">
        <v>11</v>
      </c>
      <c r="C194" s="6">
        <v>66</v>
      </c>
      <c r="D194" s="6">
        <v>880</v>
      </c>
      <c r="E194" s="6">
        <v>58</v>
      </c>
      <c r="F194" s="6">
        <v>50</v>
      </c>
      <c r="T194" cm="1" s="7" t="b">
        <f t="array" ref="T194">SUMPRODUCT(($I$3:$I$5=B194)*($K$3:$K$5=D194)*($J$3:$J$5&gt;=C194))&gt;0</f>
        <v>0</v>
      </c>
    </row>
    <row r="195" ht="14.00" customHeight="true">
      <c r="A195" s="5">
        <v>41656</v>
      </c>
      <c r="B195" t="s" s="6">
        <v>9</v>
      </c>
      <c r="C195" s="6">
        <v>5</v>
      </c>
      <c r="D195" s="6">
        <v>895</v>
      </c>
      <c r="E195" s="6">
        <v>57</v>
      </c>
      <c r="F195" s="6">
        <v>-100</v>
      </c>
      <c r="T195" cm="1" s="7" t="b">
        <f t="array" ref="T195">SUMPRODUCT(($I$3:$I$5=B195)*($K$3:$K$5=D195)*($J$3:$J$5&gt;=C195))&gt;0</f>
        <v>0</v>
      </c>
    </row>
    <row r="196" ht="14.00" customHeight="true">
      <c r="A196" s="5">
        <v>41656</v>
      </c>
      <c r="B196" t="s" s="6">
        <v>9</v>
      </c>
      <c r="C196" s="6">
        <v>5</v>
      </c>
      <c r="D196" s="6">
        <v>890</v>
      </c>
      <c r="E196" s="6">
        <v>59</v>
      </c>
      <c r="F196" s="6">
        <v>-50</v>
      </c>
      <c r="T196" cm="1" s="7" t="b">
        <f t="array" ref="T196">SUMPRODUCT(($I$3:$I$5=B196)*($K$3:$K$5=D196)*($J$3:$J$5&gt;=C196))&gt;0</f>
        <v>0</v>
      </c>
    </row>
    <row r="197" ht="14.00" customHeight="true">
      <c r="A197" s="5">
        <v>41656</v>
      </c>
      <c r="B197" t="s" s="6">
        <v>9</v>
      </c>
      <c r="C197" s="6">
        <v>5</v>
      </c>
      <c r="D197" s="6">
        <v>885</v>
      </c>
      <c r="E197" s="6">
        <v>85</v>
      </c>
      <c r="F197" s="6">
        <v>0</v>
      </c>
      <c r="T197" cm="1" s="7" t="b">
        <f t="array" ref="T197">SUMPRODUCT(($I$3:$I$5=B197)*($K$3:$K$5=D197)*($J$3:$J$5&gt;=C197))&gt;0</f>
        <v>1</v>
      </c>
    </row>
    <row r="198" ht="14.00" customHeight="true">
      <c r="A198" s="5">
        <v>41656</v>
      </c>
      <c r="B198" t="s" s="6">
        <v>9</v>
      </c>
      <c r="C198" s="6">
        <v>5</v>
      </c>
      <c r="D198" s="6">
        <v>880</v>
      </c>
      <c r="E198" s="6">
        <v>99</v>
      </c>
      <c r="F198" s="6">
        <v>50</v>
      </c>
      <c r="T198" cm="1" s="7" t="b">
        <f t="array" ref="T198">SUMPRODUCT(($I$3:$I$5=B198)*($K$3:$K$5=D198)*($J$3:$J$5&gt;=C198))&gt;0</f>
        <v>0</v>
      </c>
    </row>
    <row r="199" ht="14.00" customHeight="true">
      <c r="A199" s="5">
        <v>41656</v>
      </c>
      <c r="B199" t="s" s="6">
        <v>10</v>
      </c>
      <c r="C199" s="6">
        <v>35</v>
      </c>
      <c r="D199" s="6">
        <v>895</v>
      </c>
      <c r="E199" s="6">
        <v>77</v>
      </c>
      <c r="F199" s="6">
        <v>-100</v>
      </c>
      <c r="T199" cm="1" s="7" t="b">
        <f t="array" ref="T199">SUMPRODUCT(($I$3:$I$5=B199)*($K$3:$K$5=D199)*($J$3:$J$5&gt;=C199))&gt;0</f>
        <v>0</v>
      </c>
    </row>
    <row r="200" ht="14.00" customHeight="true">
      <c r="A200" s="5">
        <v>41656</v>
      </c>
      <c r="B200" t="s" s="6">
        <v>10</v>
      </c>
      <c r="C200" s="6">
        <v>35</v>
      </c>
      <c r="D200" s="6">
        <v>890</v>
      </c>
      <c r="E200" s="6">
        <v>55</v>
      </c>
      <c r="F200" s="6">
        <v>-50</v>
      </c>
      <c r="T200" cm="1" s="7" t="b">
        <f t="array" ref="T200">SUMPRODUCT(($I$3:$I$5=B200)*($K$3:$K$5=D200)*($J$3:$J$5&gt;=C200))&gt;0</f>
        <v>0</v>
      </c>
    </row>
    <row r="201" ht="14.00" customHeight="true">
      <c r="A201" s="5">
        <v>41656</v>
      </c>
      <c r="B201" t="s" s="6">
        <v>10</v>
      </c>
      <c r="C201" s="6">
        <v>35</v>
      </c>
      <c r="D201" s="6">
        <v>885</v>
      </c>
      <c r="E201" s="6">
        <v>89</v>
      </c>
      <c r="F201" s="6">
        <v>0</v>
      </c>
      <c r="T201" cm="1" s="7" t="b">
        <f t="array" ref="T201">SUMPRODUCT(($I$3:$I$5=B201)*($K$3:$K$5=D201)*($J$3:$J$5&gt;=C201))&gt;0</f>
        <v>1</v>
      </c>
    </row>
    <row r="202" ht="14.00" customHeight="true">
      <c r="A202" s="5">
        <v>41656</v>
      </c>
      <c r="B202" t="s" s="6">
        <v>10</v>
      </c>
      <c r="C202" s="6">
        <v>35</v>
      </c>
      <c r="D202" s="6">
        <v>880</v>
      </c>
      <c r="E202" s="6">
        <v>79</v>
      </c>
      <c r="F202" s="6">
        <v>50</v>
      </c>
      <c r="T202" cm="1" s="7" t="b">
        <f t="array" ref="T202">SUMPRODUCT(($I$3:$I$5=B202)*($K$3:$K$5=D202)*($J$3:$J$5&gt;=C202))&gt;0</f>
        <v>0</v>
      </c>
    </row>
    <row r="203" ht="14.00" customHeight="true">
      <c r="A203" s="5">
        <v>41656</v>
      </c>
      <c r="B203" t="s" s="6">
        <v>11</v>
      </c>
      <c r="C203" s="6">
        <v>65</v>
      </c>
      <c r="D203" s="6">
        <v>895</v>
      </c>
      <c r="E203" s="6">
        <v>61</v>
      </c>
      <c r="F203" s="6">
        <v>-100</v>
      </c>
      <c r="T203" cm="1" s="7" t="b">
        <f t="array" ref="T203">SUMPRODUCT(($I$3:$I$5=B203)*($K$3:$K$5=D203)*($J$3:$J$5&gt;=C203))&gt;0</f>
        <v>0</v>
      </c>
    </row>
    <row r="204" ht="14.00" customHeight="true">
      <c r="A204" s="5">
        <v>41656</v>
      </c>
      <c r="B204" t="s" s="6">
        <v>11</v>
      </c>
      <c r="C204" s="6">
        <v>65</v>
      </c>
      <c r="D204" s="6">
        <v>890</v>
      </c>
      <c r="E204" s="6">
        <v>60</v>
      </c>
      <c r="F204" s="6">
        <v>-50</v>
      </c>
      <c r="T204" cm="1" s="7" t="b">
        <f t="array" ref="T204">SUMPRODUCT(($I$3:$I$5=B204)*($K$3:$K$5=D204)*($J$3:$J$5&gt;=C204))&gt;0</f>
        <v>0</v>
      </c>
    </row>
    <row r="205" ht="14.00" customHeight="true">
      <c r="A205" s="5">
        <v>41656</v>
      </c>
      <c r="B205" t="s" s="6">
        <v>11</v>
      </c>
      <c r="C205" s="6">
        <v>65</v>
      </c>
      <c r="D205" s="6">
        <v>885</v>
      </c>
      <c r="E205" s="6">
        <v>77</v>
      </c>
      <c r="F205" s="6">
        <v>0</v>
      </c>
      <c r="T205" cm="1" s="7" t="b">
        <f t="array" ref="T205">SUMPRODUCT(($I$3:$I$5=B205)*($K$3:$K$5=D205)*($J$3:$J$5&gt;=C205))&gt;0</f>
        <v>1</v>
      </c>
    </row>
    <row r="206" ht="14.00" customHeight="true">
      <c r="A206" s="5">
        <v>41656</v>
      </c>
      <c r="B206" t="s" s="6">
        <v>11</v>
      </c>
      <c r="C206" s="6">
        <v>65</v>
      </c>
      <c r="D206" s="6">
        <v>880</v>
      </c>
      <c r="E206" s="6">
        <v>58</v>
      </c>
      <c r="F206" s="6">
        <v>50</v>
      </c>
      <c r="T206" cm="1" s="7" t="b">
        <f t="array" ref="T206">SUMPRODUCT(($I$3:$I$5=B206)*($K$3:$K$5=D206)*($J$3:$J$5&gt;=C206))&gt;0</f>
        <v>0</v>
      </c>
    </row>
    <row r="207" ht="14.00" customHeight="true">
      <c r="A207" s="5">
        <v>41657</v>
      </c>
      <c r="B207" t="s" s="6">
        <v>9</v>
      </c>
      <c r="C207" s="6">
        <v>4</v>
      </c>
      <c r="D207" s="6">
        <v>895</v>
      </c>
      <c r="E207" s="6">
        <v>57</v>
      </c>
      <c r="F207" s="6">
        <v>-100</v>
      </c>
      <c r="T207" cm="1" s="7" t="b">
        <f t="array" ref="T207">SUMPRODUCT(($I$3:$I$5=B207)*($K$3:$K$5=D207)*($J$3:$J$5&gt;=C207))&gt;0</f>
        <v>0</v>
      </c>
    </row>
    <row r="208" ht="14.00" customHeight="true">
      <c r="A208" s="5">
        <v>41657</v>
      </c>
      <c r="B208" t="s" s="6">
        <v>9</v>
      </c>
      <c r="C208" s="6">
        <v>4</v>
      </c>
      <c r="D208" s="6">
        <v>890</v>
      </c>
      <c r="E208" s="6">
        <v>59</v>
      </c>
      <c r="F208" s="6">
        <v>-50</v>
      </c>
      <c r="T208" cm="1" s="7" t="b">
        <f t="array" ref="T208">SUMPRODUCT(($I$3:$I$5=B208)*($K$3:$K$5=D208)*($J$3:$J$5&gt;=C208))&gt;0</f>
        <v>0</v>
      </c>
    </row>
    <row r="209" ht="14.00" customHeight="true">
      <c r="A209" s="5">
        <v>41657</v>
      </c>
      <c r="B209" t="s" s="6">
        <v>9</v>
      </c>
      <c r="C209" s="6">
        <v>4</v>
      </c>
      <c r="D209" s="6">
        <v>885</v>
      </c>
      <c r="E209" s="6">
        <v>85</v>
      </c>
      <c r="F209" s="6">
        <v>0</v>
      </c>
      <c r="T209" cm="1" s="7" t="b">
        <f t="array" ref="T209">SUMPRODUCT(($I$3:$I$5=B209)*($K$3:$K$5=D209)*($J$3:$J$5&gt;=C209))&gt;0</f>
        <v>1</v>
      </c>
    </row>
    <row r="210" ht="14.00" customHeight="true">
      <c r="A210" s="5">
        <v>41657</v>
      </c>
      <c r="B210" t="s" s="6">
        <v>9</v>
      </c>
      <c r="C210" s="6">
        <v>4</v>
      </c>
      <c r="D210" s="6">
        <v>880</v>
      </c>
      <c r="E210" s="6">
        <v>99</v>
      </c>
      <c r="F210" s="6">
        <v>50</v>
      </c>
      <c r="T210" cm="1" s="7" t="b">
        <f t="array" ref="T210">SUMPRODUCT(($I$3:$I$5=B210)*($K$3:$K$5=D210)*($J$3:$J$5&gt;=C210))&gt;0</f>
        <v>0</v>
      </c>
    </row>
    <row r="211" ht="14.00" customHeight="true">
      <c r="A211" s="5">
        <v>41657</v>
      </c>
      <c r="B211" t="s" s="6">
        <v>10</v>
      </c>
      <c r="C211" s="6">
        <v>34</v>
      </c>
      <c r="D211" s="6">
        <v>895</v>
      </c>
      <c r="E211" s="6">
        <v>77</v>
      </c>
      <c r="F211" s="6">
        <v>-100</v>
      </c>
      <c r="T211" cm="1" s="7" t="b">
        <f t="array" ref="T211">SUMPRODUCT(($I$3:$I$5=B211)*($K$3:$K$5=D211)*($J$3:$J$5&gt;=C211))&gt;0</f>
        <v>0</v>
      </c>
    </row>
    <row r="212" ht="14.00" customHeight="true">
      <c r="A212" s="5">
        <v>41657</v>
      </c>
      <c r="B212" t="s" s="6">
        <v>10</v>
      </c>
      <c r="C212" s="6">
        <v>34</v>
      </c>
      <c r="D212" s="6">
        <v>890</v>
      </c>
      <c r="E212" s="6">
        <v>55</v>
      </c>
      <c r="F212" s="6">
        <v>-50</v>
      </c>
      <c r="T212" cm="1" s="7" t="b">
        <f t="array" ref="T212">SUMPRODUCT(($I$3:$I$5=B212)*($K$3:$K$5=D212)*($J$3:$J$5&gt;=C212))&gt;0</f>
        <v>0</v>
      </c>
    </row>
    <row r="213" ht="14.00" customHeight="true">
      <c r="A213" s="5">
        <v>41657</v>
      </c>
      <c r="B213" t="s" s="6">
        <v>10</v>
      </c>
      <c r="C213" s="6">
        <v>34</v>
      </c>
      <c r="D213" s="6">
        <v>885</v>
      </c>
      <c r="E213" s="6">
        <v>89</v>
      </c>
      <c r="F213" s="6">
        <v>0</v>
      </c>
      <c r="T213" cm="1" s="7" t="b">
        <f t="array" ref="T213">SUMPRODUCT(($I$3:$I$5=B213)*($K$3:$K$5=D213)*($J$3:$J$5&gt;=C213))&gt;0</f>
        <v>1</v>
      </c>
    </row>
    <row r="214" ht="14.00" customHeight="true">
      <c r="A214" s="5">
        <v>41657</v>
      </c>
      <c r="B214" t="s" s="6">
        <v>10</v>
      </c>
      <c r="C214" s="6">
        <v>34</v>
      </c>
      <c r="D214" s="6">
        <v>880</v>
      </c>
      <c r="E214" s="6">
        <v>79</v>
      </c>
      <c r="F214" s="6">
        <v>50</v>
      </c>
      <c r="T214" cm="1" s="7" t="b">
        <f t="array" ref="T214">SUMPRODUCT(($I$3:$I$5=B214)*($K$3:$K$5=D214)*($J$3:$J$5&gt;=C214))&gt;0</f>
        <v>0</v>
      </c>
    </row>
    <row r="215" ht="14.00" customHeight="true">
      <c r="A215" s="5">
        <v>41657</v>
      </c>
      <c r="B215" t="s" s="6">
        <v>11</v>
      </c>
      <c r="C215" s="6">
        <v>64</v>
      </c>
      <c r="D215" s="6">
        <v>895</v>
      </c>
      <c r="E215" s="6">
        <v>61</v>
      </c>
      <c r="F215" s="6">
        <v>-100</v>
      </c>
      <c r="T215" cm="1" s="7" t="b">
        <f t="array" ref="T215">SUMPRODUCT(($I$3:$I$5=B215)*($K$3:$K$5=D215)*($J$3:$J$5&gt;=C215))&gt;0</f>
        <v>0</v>
      </c>
    </row>
    <row r="216" ht="14.00" customHeight="true">
      <c r="A216" s="5">
        <v>41657</v>
      </c>
      <c r="B216" t="s" s="6">
        <v>11</v>
      </c>
      <c r="C216" s="6">
        <v>64</v>
      </c>
      <c r="D216" s="6">
        <v>890</v>
      </c>
      <c r="E216" s="6">
        <v>60</v>
      </c>
      <c r="F216" s="6">
        <v>-50</v>
      </c>
      <c r="T216" cm="1" s="7" t="b">
        <f t="array" ref="T216">SUMPRODUCT(($I$3:$I$5=B216)*($K$3:$K$5=D216)*($J$3:$J$5&gt;=C216))&gt;0</f>
        <v>0</v>
      </c>
    </row>
    <row r="217" ht="14.00" customHeight="true">
      <c r="A217" s="5">
        <v>41657</v>
      </c>
      <c r="B217" t="s" s="6">
        <v>11</v>
      </c>
      <c r="C217" s="6">
        <v>64</v>
      </c>
      <c r="D217" s="6">
        <v>885</v>
      </c>
      <c r="E217" s="6">
        <v>77</v>
      </c>
      <c r="F217" s="6">
        <v>0</v>
      </c>
      <c r="T217" cm="1" s="7" t="b">
        <f t="array" ref="T217">SUMPRODUCT(($I$3:$I$5=B217)*($K$3:$K$5=D217)*($J$3:$J$5&gt;=C217))&gt;0</f>
        <v>1</v>
      </c>
    </row>
    <row r="218" ht="14.00" customHeight="true">
      <c r="A218" s="5">
        <v>41657</v>
      </c>
      <c r="B218" t="s" s="6">
        <v>11</v>
      </c>
      <c r="C218" s="6">
        <v>64</v>
      </c>
      <c r="D218" s="6">
        <v>880</v>
      </c>
      <c r="E218" s="6">
        <v>58</v>
      </c>
      <c r="F218" s="6">
        <v>50</v>
      </c>
      <c r="T218" cm="1" s="7" t="b">
        <f t="array" ref="T218">SUMPRODUCT(($I$3:$I$5=B218)*($K$3:$K$5=D218)*($J$3:$J$5&gt;=C218))&gt;0</f>
        <v>0</v>
      </c>
    </row>
    <row r="219" ht="14.00" customHeight="true">
      <c r="A219" s="5">
        <v>41658</v>
      </c>
      <c r="B219" t="s" s="6">
        <v>9</v>
      </c>
      <c r="C219" s="6">
        <v>3</v>
      </c>
      <c r="D219" s="6">
        <v>895</v>
      </c>
      <c r="E219" s="6">
        <v>57</v>
      </c>
      <c r="F219" s="6">
        <v>-100</v>
      </c>
      <c r="T219" cm="1" s="7" t="b">
        <f t="array" ref="T219">SUMPRODUCT(($I$3:$I$5=B219)*($K$3:$K$5=D219)*($J$3:$J$5&gt;=C219))&gt;0</f>
        <v>0</v>
      </c>
    </row>
    <row r="220" ht="14.00" customHeight="true">
      <c r="A220" s="5">
        <v>41658</v>
      </c>
      <c r="B220" t="s" s="6">
        <v>9</v>
      </c>
      <c r="C220" s="6">
        <v>3</v>
      </c>
      <c r="D220" s="6">
        <v>890</v>
      </c>
      <c r="E220" s="6">
        <v>59</v>
      </c>
      <c r="F220" s="6">
        <v>-50</v>
      </c>
      <c r="T220" cm="1" s="7" t="b">
        <f t="array" ref="T220">SUMPRODUCT(($I$3:$I$5=B220)*($K$3:$K$5=D220)*($J$3:$J$5&gt;=C220))&gt;0</f>
        <v>0</v>
      </c>
    </row>
    <row r="221" ht="14.00" customHeight="true">
      <c r="A221" s="5">
        <v>41658</v>
      </c>
      <c r="B221" t="s" s="6">
        <v>9</v>
      </c>
      <c r="C221" s="6">
        <v>3</v>
      </c>
      <c r="D221" s="6">
        <v>885</v>
      </c>
      <c r="E221" s="6">
        <v>85</v>
      </c>
      <c r="F221" s="6">
        <v>0</v>
      </c>
      <c r="T221" cm="1" s="7" t="b">
        <f t="array" ref="T221">SUMPRODUCT(($I$3:$I$5=B221)*($K$3:$K$5=D221)*($J$3:$J$5&gt;=C221))&gt;0</f>
        <v>1</v>
      </c>
    </row>
    <row r="222" ht="14.00" customHeight="true">
      <c r="A222" s="5">
        <v>41658</v>
      </c>
      <c r="B222" t="s" s="6">
        <v>9</v>
      </c>
      <c r="C222" s="6">
        <v>3</v>
      </c>
      <c r="D222" s="6">
        <v>880</v>
      </c>
      <c r="E222" s="6">
        <v>99</v>
      </c>
      <c r="F222" s="6">
        <v>50</v>
      </c>
      <c r="T222" cm="1" s="7" t="b">
        <f t="array" ref="T222">SUMPRODUCT(($I$3:$I$5=B222)*($K$3:$K$5=D222)*($J$3:$J$5&gt;=C222))&gt;0</f>
        <v>0</v>
      </c>
    </row>
    <row r="223" ht="14.00" customHeight="true">
      <c r="A223" s="5">
        <v>41658</v>
      </c>
      <c r="B223" t="s" s="6">
        <v>10</v>
      </c>
      <c r="C223" s="6">
        <v>33</v>
      </c>
      <c r="D223" s="6">
        <v>895</v>
      </c>
      <c r="E223" s="6">
        <v>77</v>
      </c>
      <c r="F223" s="6">
        <v>-100</v>
      </c>
      <c r="T223" cm="1" s="7" t="b">
        <f t="array" ref="T223">SUMPRODUCT(($I$3:$I$5=B223)*($K$3:$K$5=D223)*($J$3:$J$5&gt;=C223))&gt;0</f>
        <v>0</v>
      </c>
    </row>
    <row r="224" ht="14.00" customHeight="true">
      <c r="A224" s="5">
        <v>41658</v>
      </c>
      <c r="B224" t="s" s="6">
        <v>10</v>
      </c>
      <c r="C224" s="6">
        <v>33</v>
      </c>
      <c r="D224" s="6">
        <v>890</v>
      </c>
      <c r="E224" s="6">
        <v>55</v>
      </c>
      <c r="F224" s="6">
        <v>-50</v>
      </c>
      <c r="T224" cm="1" s="7" t="b">
        <f t="array" ref="T224">SUMPRODUCT(($I$3:$I$5=B224)*($K$3:$K$5=D224)*($J$3:$J$5&gt;=C224))&gt;0</f>
        <v>0</v>
      </c>
    </row>
    <row r="225" ht="14.00" customHeight="true">
      <c r="A225" s="5">
        <v>41658</v>
      </c>
      <c r="B225" t="s" s="6">
        <v>10</v>
      </c>
      <c r="C225" s="6">
        <v>33</v>
      </c>
      <c r="D225" s="6">
        <v>885</v>
      </c>
      <c r="E225" s="6">
        <v>89</v>
      </c>
      <c r="F225" s="6">
        <v>0</v>
      </c>
      <c r="T225" cm="1" s="7" t="b">
        <f t="array" ref="T225">SUMPRODUCT(($I$3:$I$5=B225)*($K$3:$K$5=D225)*($J$3:$J$5&gt;=C225))&gt;0</f>
        <v>1</v>
      </c>
    </row>
    <row r="226" ht="14.00" customHeight="true">
      <c r="A226" s="5">
        <v>41658</v>
      </c>
      <c r="B226" t="s" s="6">
        <v>10</v>
      </c>
      <c r="C226" s="6">
        <v>33</v>
      </c>
      <c r="D226" s="6">
        <v>880</v>
      </c>
      <c r="E226" s="6">
        <v>79</v>
      </c>
      <c r="F226" s="6">
        <v>50</v>
      </c>
      <c r="T226" cm="1" s="7" t="b">
        <f t="array" ref="T226">SUMPRODUCT(($I$3:$I$5=B226)*($K$3:$K$5=D226)*($J$3:$J$5&gt;=C226))&gt;0</f>
        <v>0</v>
      </c>
    </row>
    <row r="227" ht="14.00" customHeight="true">
      <c r="A227" s="5">
        <v>41658</v>
      </c>
      <c r="B227" t="s" s="6">
        <v>11</v>
      </c>
      <c r="C227" s="6">
        <v>63</v>
      </c>
      <c r="D227" s="6">
        <v>895</v>
      </c>
      <c r="E227" s="6">
        <v>61</v>
      </c>
      <c r="F227" s="6">
        <v>-100</v>
      </c>
      <c r="T227" cm="1" s="7" t="b">
        <f t="array" ref="T227">SUMPRODUCT(($I$3:$I$5=B227)*($K$3:$K$5=D227)*($J$3:$J$5&gt;=C227))&gt;0</f>
        <v>0</v>
      </c>
    </row>
    <row r="228" ht="14.00" customHeight="true">
      <c r="A228" s="5">
        <v>41658</v>
      </c>
      <c r="B228" t="s" s="6">
        <v>11</v>
      </c>
      <c r="C228" s="6">
        <v>63</v>
      </c>
      <c r="D228" s="6">
        <v>890</v>
      </c>
      <c r="E228" s="6">
        <v>60</v>
      </c>
      <c r="F228" s="6">
        <v>-50</v>
      </c>
      <c r="T228" cm="1" s="7" t="b">
        <f t="array" ref="T228">SUMPRODUCT(($I$3:$I$5=B228)*($K$3:$K$5=D228)*($J$3:$J$5&gt;=C228))&gt;0</f>
        <v>0</v>
      </c>
    </row>
    <row r="229" ht="14.00" customHeight="true">
      <c r="A229" s="5">
        <v>41658</v>
      </c>
      <c r="B229" t="s" s="6">
        <v>11</v>
      </c>
      <c r="C229" s="6">
        <v>63</v>
      </c>
      <c r="D229" s="6">
        <v>885</v>
      </c>
      <c r="E229" s="6">
        <v>77</v>
      </c>
      <c r="F229" s="6">
        <v>0</v>
      </c>
      <c r="T229" cm="1" s="7" t="b">
        <f t="array" ref="T229">SUMPRODUCT(($I$3:$I$5=B229)*($K$3:$K$5=D229)*($J$3:$J$5&gt;=C229))&gt;0</f>
        <v>1</v>
      </c>
    </row>
    <row r="230" ht="14.00" customHeight="true">
      <c r="A230" s="5">
        <v>41658</v>
      </c>
      <c r="B230" t="s" s="6">
        <v>11</v>
      </c>
      <c r="C230" s="6">
        <v>63</v>
      </c>
      <c r="D230" s="6">
        <v>880</v>
      </c>
      <c r="E230" s="6">
        <v>58</v>
      </c>
      <c r="F230" s="6">
        <v>50</v>
      </c>
      <c r="T230" cm="1" s="7" t="b">
        <f t="array" ref="T230">SUMPRODUCT(($I$3:$I$5=B230)*($K$3:$K$5=D230)*($J$3:$J$5&gt;=C230))&gt;0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Find and Filter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2026-05-31T21:53:16Z</dcterms:created>
  <dcterms:modified xsi:type="dcterms:W3CDTF">2026-05-31T21:53:16Z</dcterms:modified>
</cp:coreProperties>
</file>