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0AA08F4-2BDD-4F68-845F-0D1CF60B9883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1" i="1"/>
  <c r="B28" i="1"/>
  <c r="B101" i="1"/>
  <c r="B56" i="1"/>
  <c r="B49" i="1"/>
  <c r="B43" i="1"/>
  <c r="B38" i="1"/>
  <c r="B35" i="1"/>
  <c r="B106" i="1"/>
  <c r="B78" i="1"/>
  <c r="B1" i="1"/>
  <c r="B36" i="1"/>
  <c r="F10" i="1"/>
  <c r="G10" i="1"/>
  <c r="C10" i="1"/>
  <c r="B10" i="1"/>
  <c r="H10" i="1"/>
  <c r="D10" i="1"/>
  <c r="E10" i="1"/>
  <c r="B47" i="1"/>
  <c r="B80" i="1"/>
  <c r="B97" i="1"/>
  <c r="B89" i="1"/>
  <c r="B83" i="1"/>
  <c r="B61" i="1"/>
  <c r="B54" i="1"/>
  <c r="B48" i="1"/>
  <c r="Q7" i="1"/>
  <c r="B46" i="1"/>
  <c r="B62" i="1"/>
  <c r="D3" i="1"/>
  <c r="F3" i="1"/>
  <c r="E3" i="1"/>
  <c r="C3" i="1"/>
  <c r="H3" i="1"/>
  <c r="B3" i="1"/>
  <c r="G3" i="1"/>
  <c r="B33" i="1"/>
  <c r="B67" i="1"/>
  <c r="B79" i="1"/>
  <c r="B93" i="1"/>
  <c r="B105" i="1"/>
  <c r="Q8" i="1"/>
  <c r="B8" i="1"/>
  <c r="D8" i="1"/>
  <c r="E8" i="1"/>
  <c r="C8" i="1"/>
  <c r="H8" i="1"/>
  <c r="F8" i="1"/>
  <c r="G8" i="1"/>
  <c r="B60" i="1"/>
  <c r="B73" i="1"/>
  <c r="B108" i="1"/>
  <c r="B91" i="1"/>
  <c r="B59" i="1"/>
  <c r="B88" i="1"/>
  <c r="B77" i="1"/>
  <c r="B40" i="1"/>
  <c r="B81" i="1"/>
  <c r="B39" i="1"/>
  <c r="B25" i="1"/>
  <c r="B30" i="1"/>
  <c r="B87" i="1"/>
  <c r="K12" i="1"/>
  <c r="I12" i="1"/>
  <c r="J12" i="1"/>
  <c r="L12" i="1"/>
  <c r="B12" i="1"/>
  <c r="M12" i="1"/>
  <c r="N12" i="1"/>
  <c r="B37" i="1"/>
  <c r="B103" i="1"/>
  <c r="M18" i="1"/>
  <c r="N18" i="1"/>
  <c r="K18" i="1"/>
  <c r="J18" i="1"/>
  <c r="L18" i="1"/>
  <c r="B18" i="1"/>
  <c r="I18" i="1"/>
  <c r="B68" i="1"/>
  <c r="B85" i="1"/>
  <c r="B31" i="1"/>
  <c r="B100" i="1"/>
  <c r="B41" i="1"/>
  <c r="B76" i="1"/>
  <c r="B98" i="1"/>
  <c r="B15" i="1"/>
  <c r="I15" i="1"/>
  <c r="M15" i="1"/>
  <c r="N15" i="1"/>
  <c r="K15" i="1"/>
  <c r="J15" i="1"/>
  <c r="L15" i="1"/>
  <c r="B22" i="1"/>
  <c r="B69" i="1"/>
  <c r="B21" i="1"/>
  <c r="B23" i="1"/>
  <c r="B50" i="1"/>
  <c r="B58" i="1"/>
  <c r="B107" i="1"/>
  <c r="B65" i="1"/>
  <c r="B57" i="1"/>
  <c r="D9" i="1"/>
  <c r="E9" i="1"/>
  <c r="F9" i="1"/>
  <c r="H9" i="1"/>
  <c r="G9" i="1"/>
  <c r="C9" i="1"/>
  <c r="B9" i="1"/>
  <c r="B42" i="1"/>
  <c r="B110" i="1"/>
  <c r="B70" i="1"/>
  <c r="B26" i="1"/>
  <c r="B45" i="1"/>
  <c r="B104" i="1"/>
  <c r="B96" i="1"/>
  <c r="G4" i="1"/>
  <c r="D4" i="1"/>
  <c r="B4" i="1"/>
  <c r="C4" i="1"/>
  <c r="H4" i="1"/>
  <c r="E4" i="1"/>
  <c r="F4" i="1"/>
  <c r="C5" i="1"/>
  <c r="H5" i="1"/>
  <c r="D5" i="1"/>
  <c r="G5" i="1"/>
  <c r="E5" i="1"/>
  <c r="F5" i="1"/>
  <c r="B5" i="1"/>
  <c r="B19" i="1"/>
  <c r="B32" i="1"/>
  <c r="B99" i="1"/>
  <c r="B24" i="1"/>
  <c r="B66" i="1"/>
  <c r="B6" i="1"/>
  <c r="C6" i="1"/>
  <c r="Q6" i="1"/>
  <c r="G6" i="1"/>
  <c r="E6" i="1"/>
  <c r="D6" i="1"/>
  <c r="F6" i="1"/>
  <c r="H6" i="1"/>
  <c r="B84" i="1"/>
  <c r="B95" i="1"/>
  <c r="B64" i="1"/>
  <c r="B82" i="1"/>
  <c r="B34" i="1"/>
  <c r="B29" i="1"/>
  <c r="B94" i="1"/>
  <c r="B20" i="1"/>
  <c r="B86" i="1"/>
  <c r="K13" i="1"/>
  <c r="J13" i="1"/>
  <c r="L13" i="1"/>
  <c r="M13" i="1"/>
  <c r="N13" i="1"/>
  <c r="B13" i="1"/>
  <c r="I13" i="1"/>
  <c r="B90" i="1"/>
  <c r="K16" i="1"/>
  <c r="J16" i="1"/>
  <c r="L16" i="1"/>
  <c r="B16" i="1"/>
  <c r="I16" i="1"/>
  <c r="M16" i="1"/>
  <c r="N16" i="1"/>
  <c r="I17" i="1"/>
  <c r="M17" i="1"/>
  <c r="N17" i="1"/>
  <c r="K17" i="1"/>
  <c r="J17" i="1"/>
  <c r="L17" i="1"/>
  <c r="B17" i="1"/>
  <c r="B74" i="1"/>
  <c r="B72" i="1"/>
  <c r="B63" i="1"/>
  <c r="B27" i="1"/>
  <c r="B55" i="1"/>
  <c r="B102" i="1"/>
  <c r="B75" i="1"/>
  <c r="B52" i="1"/>
  <c r="B109" i="1"/>
  <c r="B14" i="1"/>
  <c r="I14" i="1"/>
  <c r="M14" i="1"/>
  <c r="N14" i="1"/>
  <c r="K14" i="1"/>
  <c r="J14" i="1"/>
  <c r="L14" i="1"/>
  <c r="B44" i="1"/>
  <c r="B71" i="1"/>
  <c r="B92" i="1"/>
  <c r="B53" i="1"/>
</calcChain>
</file>

<file path=xl/sharedStrings.xml><?xml version="1.0" encoding="utf-8"?>
<sst xmlns="http://schemas.openxmlformats.org/spreadsheetml/2006/main" count="287" uniqueCount="137">
  <si>
    <t>Period/Week</t>
  </si>
  <si>
    <t>#N/A</t>
  </si>
  <si>
    <t>Week</t>
  </si>
  <si>
    <t>DOW</t>
  </si>
  <si>
    <t>Mon</t>
  </si>
  <si>
    <t>Tue</t>
  </si>
  <si>
    <t>Wed</t>
  </si>
  <si>
    <t>Thu</t>
  </si>
  <si>
    <t>Fri</t>
  </si>
  <si>
    <t>Sat</t>
  </si>
  <si>
    <t>Sun</t>
  </si>
  <si>
    <t>DPR</t>
  </si>
  <si>
    <t>1st Shift</t>
  </si>
  <si>
    <t>Orders</t>
  </si>
  <si>
    <t>2nd Shift</t>
  </si>
  <si>
    <t>Rtes/Drivers</t>
  </si>
  <si>
    <t>Driver Call-out</t>
  </si>
  <si>
    <t>Drivers/Shift</t>
  </si>
  <si>
    <t>Vehicles</t>
  </si>
  <si>
    <t>Full Time</t>
  </si>
  <si>
    <t>Part Time</t>
  </si>
  <si>
    <t>1st Shift Scheduled</t>
  </si>
  <si>
    <t>Ttl Associates</t>
  </si>
  <si>
    <t>2nd Shift Scheduled</t>
  </si>
  <si>
    <t>Day Variance</t>
  </si>
  <si>
    <t>Driver</t>
  </si>
  <si>
    <t>Mon Shift</t>
  </si>
  <si>
    <t>Tue Shift</t>
  </si>
  <si>
    <t>Wed Shift</t>
  </si>
  <si>
    <t>Thu Shift</t>
  </si>
  <si>
    <t>Fri Shift</t>
  </si>
  <si>
    <t>Sat Shift</t>
  </si>
  <si>
    <t>Sun Shift</t>
  </si>
  <si>
    <t>1st Shift (Hrs)</t>
  </si>
  <si>
    <t>2nd Shift (Hrs)</t>
  </si>
  <si>
    <t>Ttl Hrs</t>
  </si>
  <si>
    <t>Ttl Sch Shifts</t>
  </si>
  <si>
    <t>Driver1</t>
  </si>
  <si>
    <t>1st shift</t>
  </si>
  <si>
    <t>Driver2</t>
  </si>
  <si>
    <t>Driver3</t>
  </si>
  <si>
    <t>Driver4</t>
  </si>
  <si>
    <t>Driver5</t>
  </si>
  <si>
    <t>Driver6</t>
  </si>
  <si>
    <t>Driver7</t>
  </si>
  <si>
    <t>Driver8</t>
  </si>
  <si>
    <t>Driver9</t>
  </si>
  <si>
    <t>Driver10</t>
  </si>
  <si>
    <t>Driver11</t>
  </si>
  <si>
    <t>Driver12</t>
  </si>
  <si>
    <t>Driver13</t>
  </si>
  <si>
    <t>Driver14</t>
  </si>
  <si>
    <t>Driver15</t>
  </si>
  <si>
    <t>Driver16</t>
  </si>
  <si>
    <t>Driver17</t>
  </si>
  <si>
    <t>Driver18</t>
  </si>
  <si>
    <t>Driver19</t>
  </si>
  <si>
    <t>Driver20</t>
  </si>
  <si>
    <t>Driver21</t>
  </si>
  <si>
    <t>Driver22</t>
  </si>
  <si>
    <t>Driver23</t>
  </si>
  <si>
    <t>Driver24</t>
  </si>
  <si>
    <t>Driver25</t>
  </si>
  <si>
    <t>Driver26</t>
  </si>
  <si>
    <t>Driver27</t>
  </si>
  <si>
    <t>Driver28</t>
  </si>
  <si>
    <t>Driver29</t>
  </si>
  <si>
    <t>Driver30</t>
  </si>
  <si>
    <t>Driver31</t>
  </si>
  <si>
    <t>Driver32</t>
  </si>
  <si>
    <t>Driver33</t>
  </si>
  <si>
    <t>Driver34</t>
  </si>
  <si>
    <t>Driver35</t>
  </si>
  <si>
    <t>Driver36</t>
  </si>
  <si>
    <t>Driver37</t>
  </si>
  <si>
    <t>Driver38</t>
  </si>
  <si>
    <t>Driver39</t>
  </si>
  <si>
    <t>Driver40</t>
  </si>
  <si>
    <t>Driver41</t>
  </si>
  <si>
    <t>Driver42</t>
  </si>
  <si>
    <t>Driver43</t>
  </si>
  <si>
    <t>Driver44</t>
  </si>
  <si>
    <t>Driver45</t>
  </si>
  <si>
    <t>Driver46</t>
  </si>
  <si>
    <t>Driver47</t>
  </si>
  <si>
    <t>Driver48</t>
  </si>
  <si>
    <t>Driver49</t>
  </si>
  <si>
    <t>Driver50</t>
  </si>
  <si>
    <t>Driver51</t>
  </si>
  <si>
    <t>Driver52</t>
  </si>
  <si>
    <t>Driver53</t>
  </si>
  <si>
    <t>Driver54</t>
  </si>
  <si>
    <t>Driver55</t>
  </si>
  <si>
    <t>Driver56</t>
  </si>
  <si>
    <t>Driver57</t>
  </si>
  <si>
    <t>Driver58</t>
  </si>
  <si>
    <t>Driver59</t>
  </si>
  <si>
    <t>Driver60</t>
  </si>
  <si>
    <t>Driver61</t>
  </si>
  <si>
    <t>Driver62</t>
  </si>
  <si>
    <t>Driver63</t>
  </si>
  <si>
    <t>Driver64</t>
  </si>
  <si>
    <t>Driver65</t>
  </si>
  <si>
    <t>Driver66</t>
  </si>
  <si>
    <t>Driver67</t>
  </si>
  <si>
    <t>Driver68</t>
  </si>
  <si>
    <t>Driver69</t>
  </si>
  <si>
    <t>Driver70</t>
  </si>
  <si>
    <t>Driver71</t>
  </si>
  <si>
    <t>Driver72</t>
  </si>
  <si>
    <t>Driver73</t>
  </si>
  <si>
    <t>Driver74</t>
  </si>
  <si>
    <t>Driver75</t>
  </si>
  <si>
    <t>Driver76</t>
  </si>
  <si>
    <t>Driver77</t>
  </si>
  <si>
    <t>Driver78</t>
  </si>
  <si>
    <t>Driver79</t>
  </si>
  <si>
    <t>Driver80</t>
  </si>
  <si>
    <t>Driver81</t>
  </si>
  <si>
    <t>Driver82</t>
  </si>
  <si>
    <t>Driver83</t>
  </si>
  <si>
    <t>Driver84</t>
  </si>
  <si>
    <t>Driver85</t>
  </si>
  <si>
    <t>Driver86</t>
  </si>
  <si>
    <t>Driver87</t>
  </si>
  <si>
    <t>Driver88</t>
  </si>
  <si>
    <t>Driver89</t>
  </si>
  <si>
    <t>Driver90</t>
  </si>
  <si>
    <t>Driver91</t>
  </si>
  <si>
    <t>Driver92</t>
  </si>
  <si>
    <t>Driver93</t>
  </si>
  <si>
    <t>Driver94</t>
  </si>
  <si>
    <t>Driver95</t>
  </si>
  <si>
    <t>Driver96</t>
  </si>
  <si>
    <t>Driver97</t>
  </si>
  <si>
    <t>Driver98</t>
  </si>
  <si>
    <t>Driver99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</si>
</sst>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4">
    <numFmt numFmtId="1" formatCode="General"/>
    <numFmt numFmtId="2" formatCode="YYYY-M-D"/>
    <numFmt numFmtId="3" formatCode="_(* #,##0_);_(* \(#,##0\);_(* &quot;-&quot;??_);_(@_)"/>
    <numFmt numFmtId="4" formatCode="0%"/>
  </numFmts>
  <fonts count="4">
    <font>
      <sz val="11"/>
      <color theme="1"/>
      <name val="Arial"/>
      <family val="2"/>
      <scheme val="minor"/>
    </font>
    <font>
      <name val="等线"/>
      <sz val="8.00"/>
      <b/>
      <color rgb="FF000000"/>
      <family val="2"/>
    </font>
    <font>
      <name val="等线"/>
      <sz val="8.00"/>
      <color rgb="FF000000"/>
      <family val="2"/>
    </font>
    <font>
      <name val="等线"/>
      <sz val="8.00"/>
      <color rgb="FFFFFFFF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</fills>
  <borders count="36">
    <border>
      <left/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63">
    <xf numFmtId="0" fontId="0" fillId="0" borderId="0"/>
    <xf numFmtId="1" applyNumberFormat="1" fontId="1" applyFont="1" fillId="2" applyFill="1" borderId="1" applyBorder="1" applyAlignment="1">
      <alignment/>
    </xf>
    <xf numFmtId="2" applyNumberFormat="1" fontId="1" applyFont="1" fillId="2" applyFill="1" borderId="2" applyBorder="1" applyAlignment="1">
      <alignment/>
    </xf>
    <xf numFmtId="1" applyNumberFormat="1" fontId="1" applyFont="1" borderId="3" applyBorder="1" applyAlignment="1">
      <alignment/>
    </xf>
    <xf numFmtId="1" applyNumberFormat="1" fontId="2" applyFont="1" borderId="4" applyBorder="1" applyAlignment="1">
      <alignment/>
    </xf>
    <xf numFmtId="1" applyNumberFormat="1" fontId="1" applyFont="1" applyAlignment="1">
      <alignment/>
    </xf>
    <xf numFmtId="1" applyNumberFormat="1" fontId="1" applyFont="1" borderId="5" applyBorder="1" applyAlignment="1">
      <alignment/>
    </xf>
    <xf numFmtId="3" applyNumberFormat="1" fontId="2" applyFont="1" borderId="6" applyBorder="1" applyAlignment="1">
      <alignment/>
    </xf>
    <xf numFmtId="3" applyNumberFormat="1" fontId="2" applyFont="1" borderId="7" applyBorder="1" applyAlignment="1">
      <alignment/>
    </xf>
    <xf numFmtId="1" applyNumberFormat="1" fontId="1" applyFont="1" borderId="4" applyBorder="1" applyAlignment="1">
      <alignment/>
    </xf>
    <xf numFmtId="1" applyNumberFormat="1" fontId="2" applyFont="1" borderId="8" applyBorder="1" applyAlignment="1">
      <alignment/>
    </xf>
    <xf numFmtId="1" applyNumberFormat="1" fontId="3" applyFont="1" applyAlignment="1">
      <alignment/>
    </xf>
    <xf numFmtId="1" applyNumberFormat="1" fontId="1" applyFont="1" borderId="9" applyBorder="1" applyAlignment="1">
      <alignment/>
    </xf>
    <xf numFmtId="3" applyNumberFormat="1" fontId="2" applyFont="1" borderId="10" applyBorder="1" applyAlignment="1">
      <alignment/>
    </xf>
    <xf numFmtId="1" applyNumberFormat="1" fontId="2" applyFont="1" fillId="3" applyFill="1" borderId="11" applyBorder="1" applyAlignment="1">
      <alignment/>
    </xf>
    <xf numFmtId="1" applyNumberFormat="1" fontId="1" applyFont="1" borderId="12" applyBorder="1" applyAlignment="1">
      <alignment/>
    </xf>
    <xf numFmtId="3" applyNumberFormat="1" fontId="2" applyFont="1" applyAlignment="1">
      <alignment/>
    </xf>
    <xf numFmtId="1" applyNumberFormat="1" fontId="2" applyFont="1" applyAlignment="1">
      <alignment/>
    </xf>
    <xf numFmtId="1" applyNumberFormat="1" fontId="1" applyFont="1" borderId="1" applyBorder="1" applyAlignment="1">
      <alignment/>
    </xf>
    <xf numFmtId="1" applyNumberFormat="1" fontId="2" applyFont="1" borderId="5" applyBorder="1" applyAlignment="1">
      <alignment/>
    </xf>
    <xf numFmtId="1" applyNumberFormat="1" fontId="1" applyFont="1" borderId="13" applyBorder="1" applyAlignment="1">
      <alignment/>
    </xf>
    <xf numFmtId="1" applyNumberFormat="1" fontId="1" applyFont="1" borderId="14" applyBorder="1" applyAlignment="1">
      <alignment/>
    </xf>
    <xf numFmtId="3" applyNumberFormat="1" fontId="2" applyFont="1" borderId="15" applyBorder="1" applyAlignment="1">
      <alignment/>
    </xf>
    <xf numFmtId="1" applyNumberFormat="1" fontId="2" applyFont="1" borderId="16" applyBorder="1" applyAlignment="1">
      <alignment/>
    </xf>
    <xf numFmtId="1" applyNumberFormat="1" fontId="2" applyFont="1" borderId="17" applyBorder="1" applyAlignment="1">
      <alignment/>
    </xf>
    <xf numFmtId="1" applyNumberFormat="1" fontId="1" applyFont="1" borderId="18" applyBorder="1" applyAlignment="1">
      <alignment/>
    </xf>
    <xf numFmtId="1" applyNumberFormat="1" fontId="1" applyFont="1" fillId="3" applyFill="1" borderId="19" applyBorder="1" applyAlignment="1">
      <alignment/>
    </xf>
    <xf numFmtId="1" applyNumberFormat="1" fontId="2" applyFont="1" borderId="12" applyBorder="1" applyAlignment="1">
      <alignment/>
    </xf>
    <xf numFmtId="1" applyNumberFormat="1" fontId="2" applyFont="1" borderId="11" applyBorder="1" applyAlignment="1">
      <alignment/>
    </xf>
    <xf numFmtId="1" applyNumberFormat="1" fontId="1" applyFont="1" borderId="20" applyBorder="1" applyAlignment="1">
      <alignment/>
    </xf>
    <xf numFmtId="1" applyNumberFormat="1" fontId="2" applyFont="1" borderId="21" applyBorder="1" applyAlignment="1">
      <alignment/>
    </xf>
    <xf numFmtId="1" applyNumberFormat="1" fontId="2" applyFont="1" borderId="13" applyBorder="1" applyAlignment="1">
      <alignment/>
    </xf>
    <xf numFmtId="1" applyNumberFormat="1" fontId="1" applyFont="1" borderId="22" applyBorder="1" applyAlignment="1">
      <alignment/>
    </xf>
    <xf numFmtId="1" applyNumberFormat="1" fontId="2" applyFont="1" fillId="3" applyFill="1" borderId="17" applyBorder="1" applyAlignment="1">
      <alignment/>
    </xf>
    <xf numFmtId="3" applyNumberFormat="1" fontId="2" applyFont="1" borderId="23" applyBorder="1" applyAlignment="1">
      <alignment/>
    </xf>
    <xf numFmtId="1" applyNumberFormat="1" fontId="2" applyFont="1" fillId="3" applyFill="1" borderId="24" applyBorder="1" applyAlignment="1">
      <alignment/>
    </xf>
    <xf numFmtId="1" applyNumberFormat="1" fontId="1" applyFont="1" fillId="2" applyFill="1" borderId="8" applyBorder="1" applyAlignment="1">
      <alignment/>
    </xf>
    <xf numFmtId="1" applyNumberFormat="1" fontId="1" applyFont="1" borderId="2" applyBorder="1" applyAlignment="1">
      <alignment/>
    </xf>
    <xf numFmtId="1" applyNumberFormat="1" fontId="1" applyFont="1" borderId="25" applyBorder="1" applyAlignment="1">
      <alignment/>
    </xf>
    <xf numFmtId="3" applyNumberFormat="1" fontId="2" applyFont="1" borderId="5" applyBorder="1" applyAlignment="1">
      <alignment/>
    </xf>
    <xf numFmtId="3" applyNumberFormat="1" fontId="2" applyFont="1" borderId="26" applyBorder="1" applyAlignment="1">
      <alignment/>
    </xf>
    <xf numFmtId="1" applyNumberFormat="1" fontId="2" applyFont="1" borderId="1" applyBorder="1" applyAlignment="1">
      <alignment/>
    </xf>
    <xf numFmtId="3" applyNumberFormat="1" fontId="2" applyFont="1" borderId="13" applyBorder="1" applyAlignment="1">
      <alignment/>
    </xf>
    <xf numFmtId="1" applyNumberFormat="1" fontId="1" applyFont="1" borderId="11" applyBorder="1" applyAlignment="1">
      <alignment/>
    </xf>
    <xf numFmtId="1" applyNumberFormat="1" fontId="2" applyFont="1" borderId="27" applyBorder="1" applyAlignment="1">
      <alignment/>
    </xf>
    <xf numFmtId="1" applyNumberFormat="1" fontId="2" applyFont="1" borderId="26" applyBorder="1" applyAlignment="1">
      <alignment/>
    </xf>
    <xf numFmtId="1" applyNumberFormat="1" fontId="2" applyFont="1" fillId="2" applyFill="1" borderId="24" applyBorder="1" applyAlignment="1">
      <alignment/>
    </xf>
    <xf numFmtId="3" applyNumberFormat="1" fontId="2" applyFont="1" borderId="1" applyBorder="1" applyAlignment="1">
      <alignment/>
    </xf>
    <xf numFmtId="1" applyNumberFormat="1" fontId="1" applyFont="1" borderId="10" applyBorder="1" applyAlignment="1">
      <alignment/>
    </xf>
    <xf numFmtId="1" applyNumberFormat="1" fontId="1" applyFont="1" borderId="28" applyBorder="1" applyAlignment="1">
      <alignment/>
    </xf>
    <xf numFmtId="1" applyNumberFormat="1" fontId="1" applyFont="1" borderId="29" applyBorder="1" applyAlignment="1">
      <alignment/>
    </xf>
    <xf numFmtId="3" applyNumberFormat="1" fontId="2" applyFont="1" borderId="30" applyBorder="1" applyAlignment="1">
      <alignment/>
    </xf>
    <xf numFmtId="1" applyNumberFormat="1" fontId="1" applyFont="1" borderId="19" applyBorder="1" applyAlignment="1">
      <alignment/>
    </xf>
    <xf numFmtId="1" applyNumberFormat="1" fontId="1" applyFont="1" borderId="15" applyBorder="1" applyAlignment="1">
      <alignment/>
    </xf>
    <xf numFmtId="1" applyNumberFormat="1" fontId="1" applyFont="1" borderId="31" applyBorder="1" applyAlignment="1">
      <alignment/>
    </xf>
    <xf numFmtId="3" applyNumberFormat="1" fontId="2" applyFont="1" borderId="8" applyBorder="1" applyAlignment="1">
      <alignment/>
    </xf>
    <xf numFmtId="1" applyNumberFormat="1" fontId="1" applyFont="1" borderId="32" applyBorder="1" applyAlignment="1">
      <alignment/>
    </xf>
    <xf numFmtId="3" applyNumberFormat="1" fontId="1" applyFont="1" borderId="9" applyBorder="1" applyAlignment="1">
      <alignment/>
    </xf>
    <xf numFmtId="1" applyNumberFormat="1" fontId="2" applyFont="1" fillId="3" applyFill="1" borderId="33" applyBorder="1" applyAlignment="1">
      <alignment/>
    </xf>
    <xf numFmtId="4" applyNumberFormat="1" fontId="1" applyFont="1" fillId="2" applyFill="1" borderId="30" applyBorder="1" applyAlignment="1">
      <alignment/>
    </xf>
    <xf numFmtId="1" applyNumberFormat="1" fontId="2" applyFont="1" borderId="34" applyBorder="1" applyAlignment="1">
      <alignment/>
    </xf>
    <xf numFmtId="1" applyNumberFormat="1" fontId="1" applyFont="1" borderId="35" applyBorder="1" applyAlignment="1">
      <alignment/>
    </xf>
    <xf numFmtId="3" applyNumberFormat="1" fontId="2" applyFont="1" borderId="12" applyBorder="1" applyAlignment="1">
      <alignment/>
    </xf>
  </cellStyleXfs>
  <cellXfs count="63">
    <xf numFmtId="0" fontId="0" fillId="0" borderId="0" xfId="0"/>
    <xf xfId="61" quotePrefix="0" pivotButton="0" numFmtId="1" applyNumberFormat="1" fontId="1" applyFont="1" borderId="35" applyBorder="1" applyAlignment="1">
      <alignment/>
    </xf>
    <xf xfId="26" quotePrefix="0" pivotButton="0" numFmtId="1" applyNumberFormat="1" fontId="1" applyFont="1" fillId="3" applyFill="1" borderId="19" applyBorder="1" applyAlignment="1">
      <alignment/>
    </xf>
    <xf xfId="52" quotePrefix="0" pivotButton="0" numFmtId="1" applyNumberFormat="1" fontId="1" applyFont="1" borderId="19" applyBorder="1" applyAlignment="1">
      <alignment/>
    </xf>
    <xf xfId="2" quotePrefix="0" pivotButton="0" numFmtId="2" applyNumberFormat="1" fontId="1" applyFont="1" fillId="2" applyFill="1" borderId="2" applyBorder="1" applyAlignment="1">
      <alignment/>
    </xf>
    <xf xfId="17" quotePrefix="0" pivotButton="0" numFmtId="1" applyNumberFormat="1" fontId="2" applyFont="1" applyAlignment="1">
      <alignment/>
    </xf>
    <xf xfId="21" quotePrefix="0" pivotButton="0" numFmtId="1" applyNumberFormat="1" fontId="1" applyFont="1" borderId="14" applyBorder="1" applyAlignment="1">
      <alignment/>
    </xf>
    <xf xfId="38" quotePrefix="0" pivotButton="0" numFmtId="1" applyNumberFormat="1" fontId="1" applyFont="1" borderId="25" applyBorder="1" applyAlignment="1">
      <alignment/>
    </xf>
    <xf xfId="54" quotePrefix="0" pivotButton="0" numFmtId="1" applyNumberFormat="1" fontId="1" applyFont="1" borderId="31" applyBorder="1" applyAlignment="1">
      <alignment/>
    </xf>
    <xf xfId="15" quotePrefix="0" pivotButton="0" numFmtId="1" applyNumberFormat="1" fontId="1" applyFont="1" borderId="12" applyBorder="1" applyAlignment="1">
      <alignment/>
    </xf>
    <xf xfId="18" quotePrefix="0" pivotButton="0" numFmtId="1" applyNumberFormat="1" fontId="1" applyFont="1" borderId="1" applyBorder="1" applyAlignment="1">
      <alignment/>
    </xf>
    <xf xfId="3" quotePrefix="0" pivotButton="0" numFmtId="1" applyNumberFormat="1" fontId="1" applyFont="1" borderId="3" applyBorder="1" applyAlignment="1">
      <alignment/>
    </xf>
    <xf xfId="5" quotePrefix="0" pivotButton="0" numFmtId="1" applyNumberFormat="1" fontId="1" applyFont="1" applyAlignment="1">
      <alignment/>
    </xf>
    <xf xfId="20" quotePrefix="0" pivotButton="0" numFmtId="1" applyNumberFormat="1" fontId="1" applyFont="1" borderId="13" applyBorder="1" applyAlignment="1">
      <alignment/>
    </xf>
    <xf xfId="1" quotePrefix="0" pivotButton="0" numFmtId="1" applyNumberFormat="1" fontId="1" applyFont="1" fillId="2" applyFill="1" borderId="1" applyBorder="1" applyAlignment="1">
      <alignment/>
    </xf>
    <xf xfId="50" quotePrefix="0" pivotButton="0" numFmtId="1" applyNumberFormat="1" fontId="1" applyFont="1" borderId="29" applyBorder="1" applyAlignment="1">
      <alignment/>
    </xf>
    <xf xfId="39" quotePrefix="0" pivotButton="0" numFmtId="3" applyNumberFormat="1" fontId="2" applyFont="1" borderId="5" applyBorder="1" applyAlignment="1">
      <alignment/>
    </xf>
    <xf xfId="40" quotePrefix="0" pivotButton="0" numFmtId="3" applyNumberFormat="1" fontId="2" applyFont="1" borderId="26" applyBorder="1" applyAlignment="1">
      <alignment/>
    </xf>
    <xf xfId="55" quotePrefix="0" pivotButton="0" numFmtId="3" applyNumberFormat="1" fontId="2" applyFont="1" borderId="8" applyBorder="1" applyAlignment="1">
      <alignment/>
    </xf>
    <xf xfId="46" quotePrefix="0" pivotButton="0" numFmtId="1" applyNumberFormat="1" fontId="2" applyFont="1" fillId="2" applyFill="1" borderId="24" applyBorder="1" applyAlignment="1">
      <alignment/>
    </xf>
    <xf xfId="6" quotePrefix="0" pivotButton="0" numFmtId="1" applyNumberFormat="1" fontId="1" applyFont="1" borderId="5" applyBorder="1" applyAlignment="1">
      <alignment/>
    </xf>
    <xf xfId="36" quotePrefix="0" pivotButton="0" numFmtId="1" applyNumberFormat="1" fontId="1" applyFont="1" fillId="2" applyFill="1" borderId="8" applyBorder="1" applyAlignment="1">
      <alignment/>
    </xf>
    <xf xfId="35" quotePrefix="0" pivotButton="0" numFmtId="1" applyNumberFormat="1" fontId="2" applyFont="1" fillId="3" applyFill="1" borderId="24" applyBorder="1" applyAlignment="1">
      <alignment/>
    </xf>
    <xf xfId="48" quotePrefix="0" pivotButton="0" numFmtId="1" applyNumberFormat="1" fontId="1" applyFont="1" borderId="10" applyBorder="1" applyAlignment="1">
      <alignment/>
    </xf>
    <xf xfId="59" quotePrefix="0" pivotButton="0" numFmtId="4" applyNumberFormat="1" fontId="1" applyFont="1" fillId="2" applyFill="1" borderId="30" applyBorder="1" applyAlignment="1">
      <alignment/>
    </xf>
    <xf xfId="56" quotePrefix="0" pivotButton="0" numFmtId="1" applyNumberFormat="1" fontId="1" applyFont="1" borderId="32" applyBorder="1" applyAlignment="1">
      <alignment/>
    </xf>
    <xf xfId="13" quotePrefix="0" pivotButton="0" numFmtId="3" applyNumberFormat="1" fontId="2" applyFont="1" borderId="10" applyBorder="1" applyAlignment="1">
      <alignment/>
    </xf>
    <xf xfId="34" quotePrefix="0" pivotButton="0" numFmtId="3" applyNumberFormat="1" fontId="2" applyFont="1" borderId="23" applyBorder="1" applyAlignment="1">
      <alignment/>
    </xf>
    <xf xfId="51" quotePrefix="0" pivotButton="0" numFmtId="3" applyNumberFormat="1" fontId="2" applyFont="1" borderId="30" applyBorder="1" applyAlignment="1">
      <alignment/>
    </xf>
    <xf xfId="58" quotePrefix="0" pivotButton="0" numFmtId="1" applyNumberFormat="1" fontId="2" applyFont="1" fillId="3" applyFill="1" borderId="33" applyBorder="1" applyAlignment="1">
      <alignment/>
    </xf>
    <xf xfId="16" quotePrefix="0" pivotButton="0" numFmtId="3" applyNumberFormat="1" fontId="2" applyFont="1" applyAlignment="1">
      <alignment/>
    </xf>
    <xf xfId="53" quotePrefix="0" pivotButton="0" numFmtId="1" applyNumberFormat="1" fontId="1" applyFont="1" borderId="15" applyBorder="1" applyAlignment="1">
      <alignment/>
    </xf>
    <xf xfId="49" quotePrefix="0" pivotButton="0" numFmtId="1" applyNumberFormat="1" fontId="1" applyFont="1" borderId="28" applyBorder="1" applyAlignment="1">
      <alignment/>
    </xf>
    <xf xfId="9" quotePrefix="0" pivotButton="0" numFmtId="1" applyNumberFormat="1" fontId="1" applyFont="1" borderId="4" applyBorder="1" applyAlignment="1">
      <alignment/>
    </xf>
    <xf xfId="42" quotePrefix="0" pivotButton="0" numFmtId="3" applyNumberFormat="1" fontId="2" applyFont="1" borderId="13" applyBorder="1" applyAlignment="1">
      <alignment/>
    </xf>
    <xf xfId="62" quotePrefix="0" pivotButton="0" numFmtId="3" applyNumberFormat="1" fontId="2" applyFont="1" borderId="12" applyBorder="1" applyAlignment="1">
      <alignment/>
    </xf>
    <xf xfId="47" quotePrefix="0" pivotButton="0" numFmtId="3" applyNumberFormat="1" fontId="2" applyFont="1" borderId="1" applyBorder="1" applyAlignment="1">
      <alignment/>
    </xf>
    <xf xfId="11" quotePrefix="0" pivotButton="0" numFmtId="1" applyNumberFormat="1" fontId="3" applyFont="1" applyAlignment="1">
      <alignment/>
    </xf>
    <xf xfId="37" quotePrefix="0" pivotButton="0" numFmtId="1" applyNumberFormat="1" fontId="1" applyFont="1" borderId="2" applyBorder="1" applyAlignment="1">
      <alignment/>
    </xf>
    <xf xfId="43" quotePrefix="0" pivotButton="0" numFmtId="1" applyNumberFormat="1" fontId="1" applyFont="1" borderId="11" applyBorder="1" applyAlignment="1">
      <alignment/>
    </xf>
    <xf xfId="32" quotePrefix="0" pivotButton="0" numFmtId="1" applyNumberFormat="1" fontId="1" applyFont="1" borderId="22" applyBorder="1" applyAlignment="1">
      <alignment/>
    </xf>
    <xf xfId="22" quotePrefix="0" pivotButton="0" numFmtId="3" applyNumberFormat="1" fontId="2" applyFont="1" borderId="15" applyBorder="1" applyAlignment="1">
      <alignment/>
    </xf>
    <xf xfId="7" quotePrefix="0" pivotButton="0" numFmtId="3" applyNumberFormat="1" fontId="2" applyFont="1" borderId="6" applyBorder="1" applyAlignment="1">
      <alignment/>
    </xf>
    <xf xfId="8" quotePrefix="0" pivotButton="0" numFmtId="3" applyNumberFormat="1" fontId="2" applyFont="1" borderId="7" applyBorder="1" applyAlignment="1">
      <alignment/>
    </xf>
    <xf xfId="29" quotePrefix="0" pivotButton="0" numFmtId="1" applyNumberFormat="1" fontId="1" applyFont="1" borderId="20" applyBorder="1" applyAlignment="1">
      <alignment/>
    </xf>
    <xf xfId="57" quotePrefix="0" pivotButton="0" numFmtId="3" applyNumberFormat="1" fontId="1" applyFont="1" borderId="9" applyBorder="1" applyAlignment="1">
      <alignment/>
    </xf>
    <xf xfId="12" quotePrefix="0" pivotButton="0" numFmtId="1" applyNumberFormat="1" fontId="1" applyFont="1" borderId="9" applyBorder="1" applyAlignment="1">
      <alignment/>
    </xf>
    <xf xfId="25" quotePrefix="0" pivotButton="0" numFmtId="1" applyNumberFormat="1" fontId="1" applyFont="1" borderId="18" applyBorder="1" applyAlignment="1">
      <alignment/>
    </xf>
    <xf xfId="4" quotePrefix="0" pivotButton="0" numFmtId="1" applyNumberFormat="1" fontId="2" applyFont="1" borderId="4" applyBorder="1" applyAlignment="1">
      <alignment/>
    </xf>
    <xf xfId="27" quotePrefix="0" pivotButton="0" numFmtId="1" applyNumberFormat="1" fontId="2" applyFont="1" borderId="12" applyBorder="1" applyAlignment="1">
      <alignment/>
    </xf>
    <xf xfId="30" quotePrefix="0" pivotButton="0" numFmtId="1" applyNumberFormat="1" fontId="2" applyFont="1" borderId="21" applyBorder="1" applyAlignment="1">
      <alignment/>
    </xf>
    <xf xfId="31" quotePrefix="0" pivotButton="0" numFmtId="1" applyNumberFormat="1" fontId="2" applyFont="1" borderId="13" applyBorder="1" applyAlignment="1">
      <alignment/>
    </xf>
    <xf xfId="41" quotePrefix="0" pivotButton="0" numFmtId="1" applyNumberFormat="1" fontId="2" applyFont="1" borderId="1" applyBorder="1" applyAlignment="1">
      <alignment/>
    </xf>
    <xf xfId="28" quotePrefix="0" pivotButton="0" numFmtId="1" applyNumberFormat="1" fontId="2" applyFont="1" borderId="11" applyBorder="1" applyAlignment="1">
      <alignment/>
    </xf>
    <xf xfId="45" quotePrefix="0" pivotButton="0" numFmtId="1" applyNumberFormat="1" fontId="2" applyFont="1" borderId="26" applyBorder="1" applyAlignment="1">
      <alignment/>
    </xf>
    <xf xfId="23" quotePrefix="0" pivotButton="0" numFmtId="1" applyNumberFormat="1" fontId="2" applyFont="1" borderId="16" applyBorder="1" applyAlignment="1">
      <alignment/>
    </xf>
    <xf xfId="19" quotePrefix="0" pivotButton="0" numFmtId="1" applyNumberFormat="1" fontId="2" applyFont="1" borderId="5" applyBorder="1" applyAlignment="1">
      <alignment/>
    </xf>
    <xf xfId="10" quotePrefix="0" pivotButton="0" numFmtId="1" applyNumberFormat="1" fontId="2" applyFont="1" borderId="8" applyBorder="1" applyAlignment="1">
      <alignment/>
    </xf>
    <xf xfId="14" quotePrefix="0" pivotButton="0" numFmtId="1" applyNumberFormat="1" fontId="2" applyFont="1" fillId="3" applyFill="1" borderId="11" applyBorder="1" applyAlignment="1">
      <alignment/>
    </xf>
    <xf xfId="33" quotePrefix="0" pivotButton="0" numFmtId="1" applyNumberFormat="1" fontId="2" applyFont="1" fillId="3" applyFill="1" borderId="17" applyBorder="1" applyAlignment="1">
      <alignment/>
    </xf>
    <xf xfId="24" quotePrefix="0" pivotButton="0" numFmtId="1" applyNumberFormat="1" fontId="2" applyFont="1" borderId="17" applyBorder="1" applyAlignment="1">
      <alignment/>
    </xf>
    <xf xfId="44" quotePrefix="0" pivotButton="0" numFmtId="1" applyNumberFormat="1" fontId="2" applyFont="1" borderId="27" applyBorder="1" applyAlignment="1">
      <alignment/>
    </xf>
    <xf xfId="60" quotePrefix="0" pivotButton="0" numFmtId="1" applyNumberFormat="1" fontId="2" applyFont="1" borderId="34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83"/>
  <sheetData>
    <row r="1" ht="14.15" customHeight="true">
      <c r="A1" t="s" s="1">
        <v>0</v>
      </c>
      <c r="B1" s="2" t="s">
        <f>VLOOKUP(D1,'[1]Order Data'!$A:$B,2,FALSE)</f>
        <v>1</v>
      </c>
      <c r="C1" t="s" s="3">
        <v>2</v>
      </c>
      <c r="D1" s="4">
        <v>44297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ht="14.15" customHeight="true">
      <c r="A2" t="s" s="6">
        <v>3</v>
      </c>
      <c r="B2" t="s" s="7">
        <v>4</v>
      </c>
      <c r="C2" t="s" s="8">
        <v>5</v>
      </c>
      <c r="D2" t="s" s="8">
        <v>6</v>
      </c>
      <c r="E2" t="s" s="9">
        <v>7</v>
      </c>
      <c r="F2" t="s" s="9">
        <v>8</v>
      </c>
      <c r="G2" t="s" s="9">
        <v>9</v>
      </c>
      <c r="H2" t="s" s="10">
        <v>10</v>
      </c>
      <c r="I2" t="s" s="11">
        <v>11</v>
      </c>
      <c r="J2" s="12"/>
      <c r="K2" s="12"/>
      <c r="L2" s="12"/>
      <c r="M2" s="12"/>
      <c r="N2" s="12"/>
      <c r="O2" s="12"/>
      <c r="P2" t="s" s="13">
        <v>12</v>
      </c>
      <c r="Q2" s="14">
        <v>8</v>
      </c>
    </row>
    <row r="3" ht="14.15" customHeight="true">
      <c r="A3" t="s" s="15">
        <v>13</v>
      </c>
      <c r="B3" s="16" t="s">
        <f>VLOOKUP($B$1,'[1]Order Data'!$B:$J,3,FALSE)</f>
        <v>1</v>
      </c>
      <c r="C3" s="17" t="s">
        <f>VLOOKUP($B$1,'[1]Order Data'!$B:$J,4,FALSE)</f>
        <v>1</v>
      </c>
      <c r="D3" s="17" t="s">
        <f>VLOOKUP($B$1,'[1]Order Data'!$B:$J,5,FALSE)</f>
        <v>1</v>
      </c>
      <c r="E3" s="17" t="s">
        <f>VLOOKUP($B$1,'[1]Order Data'!$B:$J,6,FALSE)</f>
        <v>1</v>
      </c>
      <c r="F3" s="17" t="s">
        <f>VLOOKUP($B$1,'[1]Order Data'!$B:$J,7,FALSE)</f>
        <v>1</v>
      </c>
      <c r="G3" s="17" t="s">
        <f>VLOOKUP($B$1,'[1]Order Data'!$B:$J,8,FALSE)</f>
        <v>1</v>
      </c>
      <c r="H3" s="18" t="s">
        <f>VLOOKUP($B$1,'[1]Order Data'!$B:$J,9,FALSE)</f>
        <v>1</v>
      </c>
      <c r="I3" s="19">
        <v>8</v>
      </c>
      <c r="J3" s="5"/>
      <c r="K3" s="5"/>
      <c r="L3" s="5"/>
      <c r="M3" s="5"/>
      <c r="N3" s="5"/>
      <c r="O3" s="5"/>
      <c r="P3" t="s" s="20">
        <v>14</v>
      </c>
      <c r="Q3" s="21">
        <v>8</v>
      </c>
    </row>
    <row r="4" ht="14.15" customHeight="true">
      <c r="A4" t="s" s="15">
        <v>15</v>
      </c>
      <c r="B4" s="16" t="s">
        <f>B3/$I$3</f>
        <v>1</v>
      </c>
      <c r="C4" s="17" t="s">
        <f ref="C4:H4" t="shared" si="2">C3/$I$3</f>
        <v>1</v>
      </c>
      <c r="D4" s="17" t="s">
        <f t="shared" si="2"/>
        <v>1</v>
      </c>
      <c r="E4" s="17" t="s">
        <f t="shared" si="2"/>
        <v>1</v>
      </c>
      <c r="F4" s="17" t="s">
        <f t="shared" si="2"/>
        <v>1</v>
      </c>
      <c r="G4" s="17" t="s">
        <f t="shared" si="2"/>
        <v>1</v>
      </c>
      <c r="H4" s="18" t="s">
        <f t="shared" si="2"/>
        <v>1</v>
      </c>
      <c r="I4" s="22"/>
      <c r="J4" s="5"/>
      <c r="K4" s="5"/>
      <c r="L4" s="5"/>
      <c r="M4" s="5"/>
      <c r="N4" s="5"/>
      <c r="O4" s="5"/>
      <c r="P4" t="s" s="23">
        <v>16</v>
      </c>
      <c r="Q4" s="24">
        <v>0.15</v>
      </c>
    </row>
    <row r="5" ht="14.15" customHeight="true">
      <c r="A5" t="s" s="15">
        <v>17</v>
      </c>
      <c r="B5" s="16" t="s">
        <f>SUM(B4/2)*$Q$4+(B4/2)</f>
        <v>1</v>
      </c>
      <c r="C5" s="17" t="s">
        <f ref="C5:H5" t="shared" si="3">SUM(C4/2)*$Q$4+(C4/2)</f>
        <v>1</v>
      </c>
      <c r="D5" s="17" t="s">
        <f t="shared" si="3"/>
        <v>1</v>
      </c>
      <c r="E5" s="17" t="s">
        <f t="shared" si="3"/>
        <v>1</v>
      </c>
      <c r="F5" s="17" t="s">
        <f t="shared" si="3"/>
        <v>1</v>
      </c>
      <c r="G5" s="17" t="s">
        <f t="shared" si="3"/>
        <v>1</v>
      </c>
      <c r="H5" s="18" t="s">
        <f t="shared" si="3"/>
        <v>1</v>
      </c>
      <c r="I5" s="22"/>
      <c r="J5" s="5"/>
      <c r="K5" s="5"/>
      <c r="L5" s="5"/>
      <c r="M5" s="5"/>
      <c r="N5" s="5"/>
      <c r="O5" s="5"/>
      <c r="P5" s="5"/>
      <c r="Q5" s="5"/>
    </row>
    <row r="6" ht="14.15" customHeight="true">
      <c r="A6" t="s" s="25">
        <v>18</v>
      </c>
      <c r="B6" s="26" t="s">
        <f>B4/2</f>
        <v>1</v>
      </c>
      <c r="C6" s="27" t="s">
        <f ref="C6:H6" t="shared" si="4">C4/2</f>
        <v>1</v>
      </c>
      <c r="D6" s="27" t="s">
        <f t="shared" si="4"/>
        <v>1</v>
      </c>
      <c r="E6" s="27" t="s">
        <f t="shared" si="4"/>
        <v>1</v>
      </c>
      <c r="F6" s="27" t="s">
        <f t="shared" si="4"/>
        <v>1</v>
      </c>
      <c r="G6" s="27" t="s">
        <f t="shared" si="4"/>
        <v>1</v>
      </c>
      <c r="H6" s="28" t="s">
        <f t="shared" si="4"/>
        <v>1</v>
      </c>
      <c r="I6" s="29"/>
      <c r="J6" s="5"/>
      <c r="K6" s="5"/>
      <c r="L6" s="5"/>
      <c r="M6" s="5"/>
      <c r="N6" s="5"/>
      <c r="O6" s="5"/>
      <c r="P6" t="s" s="13">
        <v>19</v>
      </c>
      <c r="Q6" s="10">
        <f>COUNTIF(K11:K110,"&gt;30")</f>
        <v>0</v>
      </c>
    </row>
    <row r="7" ht="14.15" customHeight="true">
      <c r="A7" s="5"/>
      <c r="B7" s="30"/>
      <c r="C7" s="30"/>
      <c r="D7" s="30"/>
      <c r="E7" s="30"/>
      <c r="F7" s="30"/>
      <c r="G7" s="30"/>
      <c r="H7" s="30"/>
      <c r="I7" s="5"/>
      <c r="J7" s="5"/>
      <c r="K7" s="5"/>
      <c r="L7" s="5"/>
      <c r="M7" s="5"/>
      <c r="N7" s="5"/>
      <c r="O7" s="5"/>
      <c r="P7" t="s" s="31">
        <v>20</v>
      </c>
      <c r="Q7" s="32">
        <f>COUNTIF($K$12:$K$110,"&lt;30")-COUNTIF($K$12:$K$110,"&lt;=0")</f>
        <v>7</v>
      </c>
    </row>
    <row r="8" ht="14.15" customHeight="true">
      <c r="A8" t="s" s="33">
        <v>21</v>
      </c>
      <c r="B8" s="34">
        <f ref="B8:H8" t="shared" si="11">COUNTIF(B12:B100,"1st Shift")</f>
        <v>49</v>
      </c>
      <c r="C8" s="35">
        <f t="shared" si="11"/>
        <v>7</v>
      </c>
      <c r="D8" s="35">
        <f t="shared" si="11"/>
        <v>7</v>
      </c>
      <c r="E8" s="35">
        <f t="shared" si="11"/>
        <v>0</v>
      </c>
      <c r="F8" s="35">
        <f t="shared" si="11"/>
        <v>0</v>
      </c>
      <c r="G8" s="35">
        <f t="shared" si="11"/>
        <v>0</v>
      </c>
      <c r="H8" s="36">
        <f t="shared" si="11"/>
        <v>0</v>
      </c>
      <c r="I8" t="s" s="37">
        <v>12</v>
      </c>
      <c r="J8" t="s" s="37">
        <v>14</v>
      </c>
      <c r="K8" s="5"/>
      <c r="L8" s="5"/>
      <c r="M8" s="5"/>
      <c r="N8" s="5"/>
      <c r="O8" s="5"/>
      <c r="P8" t="s" s="1">
        <v>22</v>
      </c>
      <c r="Q8" s="38">
        <f>SUM(Q6:Q7)</f>
        <v>7</v>
      </c>
    </row>
    <row r="9" ht="14.15" customHeight="true">
      <c r="A9" t="s" s="39">
        <v>23</v>
      </c>
      <c r="B9" s="16">
        <f ref="B9:H9" t="shared" si="1">COUNTIF(B12:B101,"2nd Shift")</f>
        <v>41</v>
      </c>
      <c r="C9" s="17">
        <f t="shared" si="1"/>
        <v>0</v>
      </c>
      <c r="D9" s="17">
        <f t="shared" si="1"/>
        <v>0</v>
      </c>
      <c r="E9" s="17">
        <f t="shared" si="1"/>
        <v>0</v>
      </c>
      <c r="F9" s="17">
        <f t="shared" si="1"/>
        <v>0</v>
      </c>
      <c r="G9" s="17">
        <f t="shared" si="1"/>
        <v>0</v>
      </c>
      <c r="H9" s="18">
        <f t="shared" si="1"/>
        <v>0</v>
      </c>
      <c r="I9" s="5"/>
      <c r="J9" s="5"/>
      <c r="K9" s="5"/>
      <c r="L9" s="5"/>
      <c r="M9" s="5"/>
      <c r="N9" s="5"/>
      <c r="O9" s="5"/>
      <c r="P9" s="5"/>
      <c r="Q9" s="5"/>
    </row>
    <row r="10" ht="14.15" customHeight="true">
      <c r="A10" t="s" s="40">
        <v>24</v>
      </c>
      <c r="B10" s="41" t="s">
        <f>SUM(B8:B9)-(B5*2)</f>
        <v>1</v>
      </c>
      <c r="C10" s="42" t="s">
        <f ref="C10:H10" t="shared" si="10">SUM(C8:C9)-(C5*2)</f>
        <v>1</v>
      </c>
      <c r="D10" s="42" t="s">
        <f t="shared" si="10"/>
        <v>1</v>
      </c>
      <c r="E10" s="42" t="s">
        <f t="shared" si="10"/>
        <v>1</v>
      </c>
      <c r="F10" s="42" t="s">
        <f t="shared" si="10"/>
        <v>1</v>
      </c>
      <c r="G10" s="42" t="s">
        <f t="shared" si="10"/>
        <v>1</v>
      </c>
      <c r="H10" s="43" t="s">
        <f t="shared" si="10"/>
        <v>1</v>
      </c>
      <c r="I10" s="5"/>
      <c r="J10" s="5"/>
      <c r="K10" s="5"/>
      <c r="L10" s="5"/>
      <c r="M10" s="5"/>
      <c r="N10" s="5"/>
      <c r="O10" s="5"/>
      <c r="P10" s="5"/>
      <c r="Q10" s="5"/>
    </row>
    <row r="11" ht="14.15" customHeight="true">
      <c r="A11" t="s" s="44">
        <v>25</v>
      </c>
      <c r="B11" t="s" s="45">
        <v>26</v>
      </c>
      <c r="C11" t="s" s="45">
        <v>27</v>
      </c>
      <c r="D11" t="s" s="45">
        <v>28</v>
      </c>
      <c r="E11" t="s" s="45">
        <v>29</v>
      </c>
      <c r="F11" t="s" s="45">
        <v>30</v>
      </c>
      <c r="G11" t="s" s="45">
        <v>31</v>
      </c>
      <c r="H11" t="s" s="45">
        <v>32</v>
      </c>
      <c r="I11" t="s" s="46">
        <v>33</v>
      </c>
      <c r="J11" t="s" s="46">
        <v>34</v>
      </c>
      <c r="K11" t="s" s="46">
        <v>35</v>
      </c>
      <c r="L11" t="s" s="46">
        <v>12</v>
      </c>
      <c r="M11" t="s" s="46">
        <v>14</v>
      </c>
      <c r="N11" t="s" s="47">
        <v>36</v>
      </c>
      <c r="O11" s="5"/>
      <c r="P11" s="5"/>
      <c r="Q11" s="5"/>
    </row>
    <row r="12" ht="14.15" customHeight="true">
      <c r="A12" t="s" s="48">
        <v>37</v>
      </c>
      <c r="B12" s="5" t="s">
        <f>IF(ROWS($B$12:B12)&lt;=IFERROR($B$5,49),"1st Shift","")</f>
        <v>12</v>
      </c>
      <c r="C12" t="s" s="49">
        <v>38</v>
      </c>
      <c r="D12" t="s" s="49">
        <v>38</v>
      </c>
      <c r="E12" s="49"/>
      <c r="F12" s="49"/>
      <c r="G12" s="49"/>
      <c r="H12" s="50"/>
      <c r="I12" s="51">
        <f ref="I12:I18" t="shared" si="0">COUNTIF(B12:H12,$I$8)*$Q$2</f>
        <v>24</v>
      </c>
      <c r="J12" s="49">
        <f>COUNTIF(B12:H12,$J$8)*$Q$3</f>
        <v>0</v>
      </c>
      <c r="K12" s="49">
        <f>SUM(I12:J12)</f>
        <v>24</v>
      </c>
      <c r="L12" s="49">
        <f>COUNTIF(B12:H12,$L$11)</f>
        <v>3</v>
      </c>
      <c r="M12" s="49">
        <f>COUNTIF(B12:H12,$M$11)</f>
        <v>0</v>
      </c>
      <c r="N12" s="52">
        <f>SUM(L12:M12)</f>
        <v>3</v>
      </c>
      <c r="O12" s="5"/>
      <c r="P12" s="5"/>
      <c r="Q12" s="5"/>
    </row>
    <row r="13" ht="14.15" customHeight="true">
      <c r="A13" t="s" s="53">
        <v>39</v>
      </c>
      <c r="B13" s="5" t="s">
        <f>IF(ROWS($B$12:B13)&lt;=IFERROR($B$5,49),"1st Shift","")</f>
        <v>12</v>
      </c>
      <c r="C13" t="s" s="54">
        <v>38</v>
      </c>
      <c r="D13" t="s" s="54">
        <v>38</v>
      </c>
      <c r="E13" s="54"/>
      <c r="F13" s="54"/>
      <c r="G13" s="54"/>
      <c r="H13" s="55"/>
      <c r="I13" s="56">
        <f t="shared" si="0"/>
        <v>24</v>
      </c>
      <c r="J13" s="54">
        <f ref="J13:J18" t="shared" si="8">COUNTIF(B13:H13,$J$8)*$Q$3</f>
        <v>0</v>
      </c>
      <c r="K13" s="54">
        <f ref="K13:K18" t="shared" si="7">SUM(I13:J13)</f>
        <v>24</v>
      </c>
      <c r="L13" s="54">
        <f ref="L13:L18" t="shared" si="9">COUNTIF(B13:H13,$L$11)</f>
        <v>3</v>
      </c>
      <c r="M13" s="54">
        <f ref="M13:M18" t="shared" si="5">COUNTIF(B13:H13,$M$11)</f>
        <v>0</v>
      </c>
      <c r="N13" s="57">
        <f ref="N13:N18" t="shared" si="6">SUM(L13:M13)</f>
        <v>3</v>
      </c>
      <c r="O13" s="5"/>
      <c r="P13" s="5"/>
      <c r="Q13" s="5"/>
    </row>
    <row r="14" ht="14.15" customHeight="true">
      <c r="A14" t="s" s="53">
        <v>40</v>
      </c>
      <c r="B14" s="5" t="s">
        <f>IF(ROWS($B$12:B14)&lt;=IFERROR($B$5,49),"1st Shift","")</f>
        <v>12</v>
      </c>
      <c r="C14" t="s" s="54">
        <v>38</v>
      </c>
      <c r="D14" t="s" s="54">
        <v>38</v>
      </c>
      <c r="E14" s="54"/>
      <c r="F14" s="54"/>
      <c r="G14" s="54"/>
      <c r="H14" s="55"/>
      <c r="I14" s="56">
        <f t="shared" si="0"/>
        <v>24</v>
      </c>
      <c r="J14" s="54">
        <f t="shared" si="8"/>
        <v>0</v>
      </c>
      <c r="K14" s="54">
        <f t="shared" si="7"/>
        <v>24</v>
      </c>
      <c r="L14" s="54">
        <f t="shared" si="9"/>
        <v>3</v>
      </c>
      <c r="M14" s="54">
        <f t="shared" si="5"/>
        <v>0</v>
      </c>
      <c r="N14" s="57">
        <f t="shared" si="6"/>
        <v>3</v>
      </c>
      <c r="O14" s="5"/>
      <c r="P14" s="5"/>
      <c r="Q14" s="5"/>
    </row>
    <row r="15" ht="14.15" customHeight="true">
      <c r="A15" t="s" s="53">
        <v>41</v>
      </c>
      <c r="B15" s="5" t="s">
        <f>IF(ROWS($B$12:B15)&lt;=IFERROR($B$5,49),"1st Shift","")</f>
        <v>12</v>
      </c>
      <c r="C15" t="s" s="54">
        <v>38</v>
      </c>
      <c r="D15" t="s" s="54">
        <v>38</v>
      </c>
      <c r="E15" s="54"/>
      <c r="F15" s="54"/>
      <c r="G15" s="54"/>
      <c r="H15" s="55"/>
      <c r="I15" s="56">
        <f t="shared" si="0"/>
        <v>24</v>
      </c>
      <c r="J15" s="54">
        <f t="shared" si="8"/>
        <v>0</v>
      </c>
      <c r="K15" s="54">
        <f t="shared" si="7"/>
        <v>24</v>
      </c>
      <c r="L15" s="54">
        <f t="shared" si="9"/>
        <v>3</v>
      </c>
      <c r="M15" s="54">
        <f t="shared" si="5"/>
        <v>0</v>
      </c>
      <c r="N15" s="57">
        <f t="shared" si="6"/>
        <v>3</v>
      </c>
      <c r="O15" s="5"/>
      <c r="P15" s="5"/>
      <c r="Q15" s="5"/>
    </row>
    <row r="16" ht="14.15" customHeight="true">
      <c r="A16" t="s" s="53">
        <v>42</v>
      </c>
      <c r="B16" s="5" t="s">
        <f>IF(ROWS($B$12:B16)&lt;=IFERROR($B$5,49),"1st Shift","")</f>
        <v>12</v>
      </c>
      <c r="C16" t="s" s="54">
        <v>38</v>
      </c>
      <c r="D16" t="s" s="54">
        <v>38</v>
      </c>
      <c r="E16" s="54"/>
      <c r="F16" s="54"/>
      <c r="G16" s="54"/>
      <c r="H16" s="55"/>
      <c r="I16" s="56">
        <f t="shared" si="0"/>
        <v>24</v>
      </c>
      <c r="J16" s="54">
        <f t="shared" si="8"/>
        <v>0</v>
      </c>
      <c r="K16" s="54">
        <f t="shared" si="7"/>
        <v>24</v>
      </c>
      <c r="L16" s="54">
        <f t="shared" si="9"/>
        <v>3</v>
      </c>
      <c r="M16" s="54">
        <f t="shared" si="5"/>
        <v>0</v>
      </c>
      <c r="N16" s="57">
        <f t="shared" si="6"/>
        <v>3</v>
      </c>
      <c r="O16" s="5"/>
      <c r="P16" s="5"/>
      <c r="Q16" s="5"/>
    </row>
    <row r="17" ht="14.15" customHeight="true">
      <c r="A17" t="s" s="53">
        <v>43</v>
      </c>
      <c r="B17" s="5" t="s">
        <f>IF(ROWS($B$12:B17)&lt;=IFERROR($B$5,49),"1st Shift","")</f>
        <v>12</v>
      </c>
      <c r="C17" t="s" s="54">
        <v>38</v>
      </c>
      <c r="D17" t="s" s="54">
        <v>38</v>
      </c>
      <c r="E17" s="54"/>
      <c r="F17" s="54"/>
      <c r="G17" s="54"/>
      <c r="H17" s="55"/>
      <c r="I17" s="56">
        <f t="shared" si="0"/>
        <v>24</v>
      </c>
      <c r="J17" s="54">
        <f t="shared" si="8"/>
        <v>0</v>
      </c>
      <c r="K17" s="54">
        <f t="shared" si="7"/>
        <v>24</v>
      </c>
      <c r="L17" s="54">
        <f t="shared" si="9"/>
        <v>3</v>
      </c>
      <c r="M17" s="54">
        <f t="shared" si="5"/>
        <v>0</v>
      </c>
      <c r="N17" s="57">
        <f t="shared" si="6"/>
        <v>3</v>
      </c>
      <c r="O17" s="5"/>
      <c r="P17" s="5"/>
      <c r="Q17" s="5"/>
    </row>
    <row r="18" ht="14.15" customHeight="true">
      <c r="A18" t="s" s="53">
        <v>44</v>
      </c>
      <c r="B18" s="5" t="s">
        <f>IF(ROWS($B$12:B18)&lt;=IFERROR($B$5,49),"1st Shift","")</f>
        <v>12</v>
      </c>
      <c r="C18" t="s" s="54">
        <v>38</v>
      </c>
      <c r="D18" t="s" s="54">
        <v>38</v>
      </c>
      <c r="E18" s="54"/>
      <c r="F18" s="54"/>
      <c r="G18" s="54"/>
      <c r="H18" s="55"/>
      <c r="I18" s="56">
        <f t="shared" si="0"/>
        <v>24</v>
      </c>
      <c r="J18" s="54">
        <f t="shared" si="8"/>
        <v>0</v>
      </c>
      <c r="K18" s="54">
        <f t="shared" si="7"/>
        <v>24</v>
      </c>
      <c r="L18" s="54">
        <f t="shared" si="9"/>
        <v>3</v>
      </c>
      <c r="M18" s="54">
        <f t="shared" si="5"/>
        <v>0</v>
      </c>
      <c r="N18" s="57">
        <f t="shared" si="6"/>
        <v>3</v>
      </c>
      <c r="O18" s="5"/>
      <c r="P18" s="5"/>
      <c r="Q18" s="5"/>
    </row>
    <row r="19" ht="14.15" customHeight="true">
      <c r="A19" t="s" s="53">
        <v>45</v>
      </c>
      <c r="B19" s="5" t="s">
        <f>IF(ROWS($B$12:B19)&lt;=IFERROR($B$5,49),"1st Shift","")</f>
        <v>12</v>
      </c>
      <c r="C19" s="54"/>
    </row>
    <row r="20" ht="14.15" customHeight="true">
      <c r="A20" t="s" s="53">
        <v>46</v>
      </c>
      <c r="B20" s="5" t="s">
        <f>IF(ROWS($B$12:B20)&lt;=IFERROR($B$5,49),"1st Shift","")</f>
        <v>12</v>
      </c>
      <c r="C20" s="54"/>
    </row>
    <row r="21" ht="14.15" customHeight="true">
      <c r="A21" t="s" s="53">
        <v>47</v>
      </c>
      <c r="B21" s="5" t="s">
        <f>IF(ROWS($B$12:B21)&lt;=IFERROR($B$5,49),"1st Shift","")</f>
        <v>12</v>
      </c>
      <c r="C21" s="54"/>
    </row>
    <row r="22" ht="14.15" customHeight="true">
      <c r="A22" t="s" s="53">
        <v>48</v>
      </c>
      <c r="B22" s="5" t="s">
        <f>IF(ROWS($B$12:B22)&lt;=IFERROR($B$5,49),"1st Shift","")</f>
        <v>12</v>
      </c>
      <c r="C22" s="54"/>
    </row>
    <row r="23" ht="14.15" customHeight="true">
      <c r="A23" t="s" s="53">
        <v>49</v>
      </c>
      <c r="B23" s="5" t="s">
        <f>IF(ROWS($B$12:B23)&lt;=IFERROR($B$5,49),"1st Shift","")</f>
        <v>12</v>
      </c>
      <c r="C23" s="54"/>
    </row>
    <row r="24" ht="14.15" customHeight="true">
      <c r="A24" t="s" s="53">
        <v>50</v>
      </c>
      <c r="B24" s="5" t="s">
        <f>IF(ROWS($B$12:B24)&lt;=IFERROR($B$5,49),"1st Shift","")</f>
        <v>12</v>
      </c>
    </row>
    <row r="25" ht="14.15" customHeight="true">
      <c r="A25" t="s" s="53">
        <v>51</v>
      </c>
      <c r="B25" s="5" t="s">
        <f>IF(ROWS($B$12:B25)&lt;=IFERROR($B$5,49),"1st Shift","")</f>
        <v>12</v>
      </c>
    </row>
    <row r="26" ht="14.15" customHeight="true">
      <c r="A26" t="s" s="53">
        <v>52</v>
      </c>
      <c r="B26" s="5" t="s">
        <f>IF(ROWS($B$12:B26)&lt;=IFERROR($B$5,49),"1st Shift","")</f>
        <v>12</v>
      </c>
    </row>
    <row r="27" ht="14.15" customHeight="true">
      <c r="A27" t="s" s="53">
        <v>53</v>
      </c>
      <c r="B27" s="5" t="s">
        <f>IF(ROWS($B$12:B27)&lt;=IFERROR($B$5,49),"1st Shift","")</f>
        <v>12</v>
      </c>
    </row>
    <row r="28" ht="14.15" customHeight="true">
      <c r="A28" t="s" s="53">
        <v>54</v>
      </c>
      <c r="B28" s="5" t="s">
        <f>IF(ROWS($B$12:B28)&lt;=IFERROR($B$5,49),"1st Shift","")</f>
        <v>12</v>
      </c>
    </row>
    <row r="29" ht="14.15" customHeight="true">
      <c r="A29" t="s" s="53">
        <v>55</v>
      </c>
      <c r="B29" s="5" t="s">
        <f>IF(ROWS($B$12:B29)&lt;=IFERROR($B$5,49),"1st Shift","")</f>
        <v>12</v>
      </c>
    </row>
    <row r="30" ht="14.15" customHeight="true">
      <c r="A30" t="s" s="53">
        <v>56</v>
      </c>
      <c r="B30" s="5" t="s">
        <f>IF(ROWS($B$12:B30)&lt;=IFERROR($B$5,49),"1st Shift","")</f>
        <v>12</v>
      </c>
    </row>
    <row r="31" ht="14.15" customHeight="true">
      <c r="A31" t="s" s="53">
        <v>57</v>
      </c>
      <c r="B31" s="5" t="s">
        <f>IF(ROWS($B$12:B31)&lt;=IFERROR($B$5,49),"1st Shift","")</f>
        <v>12</v>
      </c>
    </row>
    <row r="32" ht="14.15" customHeight="true">
      <c r="A32" t="s" s="53">
        <v>58</v>
      </c>
      <c r="B32" s="5" t="s">
        <f>IF(ROWS($B$12:B32)&lt;=IFERROR($B$5,49),"1st Shift","")</f>
        <v>12</v>
      </c>
    </row>
    <row r="33" ht="14.15" customHeight="true">
      <c r="A33" t="s" s="53">
        <v>59</v>
      </c>
      <c r="B33" s="5" t="s">
        <f>IF(ROWS($B$12:B33)&lt;=IFERROR($B$5,49),"1st Shift","")</f>
        <v>12</v>
      </c>
    </row>
    <row r="34" ht="14.15" customHeight="true">
      <c r="A34" t="s" s="53">
        <v>60</v>
      </c>
      <c r="B34" s="5" t="s">
        <f>IF(ROWS($B$12:B34)&lt;=IFERROR($B$5,49),"1st Shift","")</f>
        <v>12</v>
      </c>
    </row>
    <row r="35" ht="14.15" customHeight="true">
      <c r="A35" t="s" s="53">
        <v>61</v>
      </c>
      <c r="B35" s="5" t="s">
        <f>IF(ROWS($B$12:B35)&lt;=IFERROR($B$5,49),"1st Shift","")</f>
        <v>12</v>
      </c>
    </row>
    <row r="36" ht="14.15" customHeight="true">
      <c r="A36" t="s" s="53">
        <v>62</v>
      </c>
      <c r="B36" s="5" t="s">
        <f>IF(ROWS($B$12:B36)&lt;=IFERROR($B$5,49),"1st Shift","")</f>
        <v>12</v>
      </c>
    </row>
    <row r="37" ht="14.15" customHeight="true">
      <c r="A37" t="s" s="53">
        <v>63</v>
      </c>
      <c r="B37" s="5" t="s">
        <f>IF(ROWS($B$12:B37)&lt;=IFERROR($B$5,49),"1st Shift","")</f>
        <v>12</v>
      </c>
    </row>
    <row r="38" ht="14.15" customHeight="true">
      <c r="A38" t="s" s="53">
        <v>64</v>
      </c>
      <c r="B38" s="5" t="s">
        <f>IF(ROWS($B$12:B38)&lt;=IFERROR($B$5,49),"1st Shift","")</f>
        <v>12</v>
      </c>
    </row>
    <row r="39" ht="14.15" customHeight="true">
      <c r="A39" t="s" s="53">
        <v>65</v>
      </c>
      <c r="B39" s="5" t="s">
        <f>IF(ROWS($B$12:B39)&lt;=IFERROR($B$5,49),"1st Shift","")</f>
        <v>12</v>
      </c>
    </row>
    <row r="40" ht="14.15" customHeight="true">
      <c r="A40" t="s" s="53">
        <v>66</v>
      </c>
      <c r="B40" s="5" t="s">
        <f>IF(ROWS($B$12:B40)&lt;=IFERROR($B$5,49),"1st Shift","")</f>
        <v>12</v>
      </c>
    </row>
    <row r="41" ht="14.15" customHeight="true">
      <c r="A41" t="s" s="53">
        <v>67</v>
      </c>
      <c r="B41" s="5" t="s">
        <f>IF(ROWS($B$12:B41)&lt;=IFERROR($B$5,49),"1st Shift","")</f>
        <v>12</v>
      </c>
    </row>
    <row r="42" ht="14.15" customHeight="true">
      <c r="A42" t="s" s="53">
        <v>68</v>
      </c>
      <c r="B42" s="5" t="s">
        <f>IF(ROWS($B$12:B42)&lt;=IFERROR($B$5,49),"1st Shift","")</f>
        <v>12</v>
      </c>
    </row>
    <row r="43" ht="14.15" customHeight="true">
      <c r="A43" t="s" s="53">
        <v>69</v>
      </c>
      <c r="B43" s="5" t="s">
        <f>IF(ROWS($B$12:B43)&lt;=IFERROR($B$5,49),"1st Shift","")</f>
        <v>12</v>
      </c>
    </row>
    <row r="44" ht="14.15" customHeight="true">
      <c r="A44" t="s" s="53">
        <v>70</v>
      </c>
      <c r="B44" s="5" t="s">
        <f>IF(ROWS($B$12:B44)&lt;=IFERROR($B$5,49),"1st Shift","")</f>
        <v>12</v>
      </c>
    </row>
    <row r="45" ht="14.15" customHeight="true">
      <c r="A45" t="s" s="53">
        <v>71</v>
      </c>
      <c r="B45" s="5" t="s">
        <f>IF(ROWS($B$12:B45)&lt;=IFERROR($B$5,49),"1st Shift","")</f>
        <v>12</v>
      </c>
    </row>
    <row r="46" ht="14.15" customHeight="true">
      <c r="A46" t="s" s="53">
        <v>72</v>
      </c>
      <c r="B46" s="5" t="s">
        <f>IF(ROWS($B$12:B46)&lt;=IFERROR($B$5,49),"1st Shift","")</f>
        <v>12</v>
      </c>
    </row>
    <row r="47" ht="14.15" customHeight="true">
      <c r="A47" t="s" s="53">
        <v>73</v>
      </c>
      <c r="B47" s="5" t="s">
        <f>IF(ROWS($B$12:B47)&lt;=IFERROR($B$5,49),"1st Shift","")</f>
        <v>12</v>
      </c>
    </row>
    <row r="48" ht="14.15" customHeight="true">
      <c r="A48" t="s" s="53">
        <v>74</v>
      </c>
      <c r="B48" s="5" t="s">
        <f>IF(ROWS($B$12:B48)&lt;=IFERROR($B$5,49),"1st Shift","")</f>
        <v>12</v>
      </c>
    </row>
    <row r="49" ht="14.15" customHeight="true">
      <c r="A49" t="s" s="53">
        <v>75</v>
      </c>
      <c r="B49" s="5" t="s">
        <f>IF(ROWS($B$12:B49)&lt;=IFERROR($B$5,49),"1st Shift","")</f>
        <v>12</v>
      </c>
    </row>
    <row r="50" ht="14.15" customHeight="true">
      <c r="A50" t="s" s="53">
        <v>76</v>
      </c>
      <c r="B50" s="5" t="s">
        <f>IF(ROWS($B$12:B50)&lt;=IFERROR($B$5,49),"1st Shift","")</f>
        <v>12</v>
      </c>
    </row>
    <row r="51" ht="14.15" customHeight="true">
      <c r="A51" t="s" s="53">
        <v>77</v>
      </c>
      <c r="B51" s="5" t="s">
        <f>IF(ROWS($B$12:B51)&lt;=IFERROR($B$5,49),"1st Shift","")</f>
        <v>12</v>
      </c>
    </row>
    <row r="52" ht="14.15" customHeight="true">
      <c r="A52" t="s" s="53">
        <v>78</v>
      </c>
      <c r="B52" s="5" t="s">
        <f>IF(ROWS($B$12:B52)&lt;=IFERROR($B$5,49),"1st Shift","")</f>
        <v>12</v>
      </c>
    </row>
    <row r="53" ht="14.15" customHeight="true">
      <c r="A53" t="s" s="53">
        <v>79</v>
      </c>
      <c r="B53" s="5" t="s">
        <f>IF(ROWS($B$12:B53)&lt;=IFERROR($B$5,49),"1st Shift","")</f>
        <v>12</v>
      </c>
    </row>
    <row r="54" ht="14.15" customHeight="true">
      <c r="A54" t="s" s="53">
        <v>80</v>
      </c>
      <c r="B54" s="5" t="s">
        <f>IF(ROWS($B$12:B54)&lt;=IFERROR($B$5,49),"1st Shift","")</f>
        <v>12</v>
      </c>
    </row>
    <row r="55" ht="14.15" customHeight="true">
      <c r="A55" t="s" s="53">
        <v>81</v>
      </c>
      <c r="B55" s="5" t="s">
        <f>IF(ROWS($B$12:B55)&lt;=IFERROR($B$5,49),"1st Shift","")</f>
        <v>12</v>
      </c>
    </row>
    <row r="56" ht="14.15" customHeight="true">
      <c r="A56" t="s" s="53">
        <v>82</v>
      </c>
      <c r="B56" s="5" t="s">
        <f>IF(ROWS($B$12:B56)&lt;=IFERROR($B$5,49),"1st Shift","")</f>
        <v>12</v>
      </c>
    </row>
    <row r="57" ht="14.15" customHeight="true">
      <c r="A57" t="s" s="53">
        <v>83</v>
      </c>
      <c r="B57" s="5" t="s">
        <f>IF(ROWS($B$12:B57)&lt;=IFERROR($B$5,49),"1st Shift","")</f>
        <v>12</v>
      </c>
    </row>
    <row r="58" ht="14.15" customHeight="true">
      <c r="A58" t="s" s="53">
        <v>84</v>
      </c>
      <c r="B58" s="5" t="s">
        <f>IF(ROWS($B$12:B58)&lt;=IFERROR($B$5,49),"1st Shift","")</f>
        <v>12</v>
      </c>
    </row>
    <row r="59" ht="14.15" customHeight="true">
      <c r="A59" t="s" s="53">
        <v>85</v>
      </c>
      <c r="B59" s="5" t="s">
        <f>IF(ROWS($B$12:B59)&lt;=IFERROR($B$5,49),"1st Shift","")</f>
        <v>12</v>
      </c>
    </row>
    <row r="60" ht="14.15" customHeight="true">
      <c r="A60" t="s" s="53">
        <v>86</v>
      </c>
      <c r="B60" s="5" t="s">
        <f>IF(ROWS($B$12:B60)&lt;=IFERROR($B$5,49),"1st Shift","")</f>
        <v>12</v>
      </c>
    </row>
    <row r="61" ht="14.15" customHeight="true">
      <c r="A61" t="s" s="58">
        <v>87</v>
      </c>
      <c r="B61" s="59" t="s">
        <f>IF(ROWS($B$61:B61)&lt;=IFERROR($B$5,49),"2nd Shift","")</f>
        <v>14</v>
      </c>
    </row>
    <row r="62" ht="14.15" customHeight="true">
      <c r="A62" t="s" s="53">
        <v>88</v>
      </c>
      <c r="B62" s="60" t="s">
        <f>IF(ROWS($B$61:B62)&lt;=IFERROR($B$5,49),"2nd Shift","")</f>
        <v>14</v>
      </c>
    </row>
    <row r="63" ht="14.15" customHeight="true">
      <c r="A63" t="s" s="53">
        <v>89</v>
      </c>
      <c r="B63" s="60" t="s">
        <f>IF(ROWS($B$61:B63)&lt;=IFERROR($B$5,49),"2nd Shift","")</f>
        <v>14</v>
      </c>
    </row>
    <row r="64" ht="14.15" customHeight="true">
      <c r="A64" t="s" s="53">
        <v>90</v>
      </c>
      <c r="B64" s="60" t="s">
        <f>IF(ROWS($B$61:B64)&lt;=IFERROR($B$5,49),"2nd Shift","")</f>
        <v>14</v>
      </c>
    </row>
    <row r="65" ht="14.15" customHeight="true">
      <c r="A65" t="s" s="53">
        <v>91</v>
      </c>
      <c r="B65" s="60" t="s">
        <f>IF(ROWS($B$61:B65)&lt;=IFERROR($B$5,49),"2nd Shift","")</f>
        <v>14</v>
      </c>
    </row>
    <row r="66" ht="14.15" customHeight="true">
      <c r="A66" t="s" s="53">
        <v>92</v>
      </c>
      <c r="B66" s="60" t="s">
        <f>IF(ROWS($B$61:B66)&lt;=IFERROR($B$5,49),"2nd Shift","")</f>
        <v>14</v>
      </c>
    </row>
    <row r="67" ht="14.15" customHeight="true">
      <c r="A67" t="s" s="53">
        <v>93</v>
      </c>
      <c r="B67" s="60" t="s">
        <f>IF(ROWS($B$61:B67)&lt;=IFERROR($B$5,49),"2nd Shift","")</f>
        <v>14</v>
      </c>
    </row>
    <row r="68" ht="14.15" customHeight="true">
      <c r="A68" t="s" s="53">
        <v>94</v>
      </c>
      <c r="B68" s="60" t="s">
        <f>IF(ROWS($B$61:B68)&lt;=IFERROR($B$5,49),"2nd Shift","")</f>
        <v>14</v>
      </c>
    </row>
    <row r="69" ht="14.15" customHeight="true">
      <c r="A69" t="s" s="53">
        <v>95</v>
      </c>
      <c r="B69" s="60" t="s">
        <f>IF(ROWS($B$61:B69)&lt;=IFERROR($B$5,49),"2nd Shift","")</f>
        <v>14</v>
      </c>
    </row>
    <row r="70" ht="14.15" customHeight="true">
      <c r="A70" t="s" s="53">
        <v>96</v>
      </c>
      <c r="B70" s="60" t="s">
        <f>IF(ROWS($B$61:B70)&lt;=IFERROR($B$5,49),"2nd Shift","")</f>
        <v>14</v>
      </c>
    </row>
    <row r="71" ht="14.15" customHeight="true">
      <c r="A71" t="s" s="53">
        <v>97</v>
      </c>
      <c r="B71" s="60" t="s">
        <f>IF(ROWS($B$61:B71)&lt;=IFERROR($B$5,49),"2nd Shift","")</f>
        <v>14</v>
      </c>
    </row>
    <row r="72" ht="14.15" customHeight="true">
      <c r="A72" t="s" s="53">
        <v>98</v>
      </c>
      <c r="B72" s="60" t="s">
        <f>IF(ROWS($B$61:B72)&lt;=IFERROR($B$5,49),"2nd Shift","")</f>
        <v>14</v>
      </c>
    </row>
    <row r="73" ht="14.15" customHeight="true">
      <c r="A73" t="s" s="53">
        <v>99</v>
      </c>
      <c r="B73" s="60" t="s">
        <f>IF(ROWS($B$61:B73)&lt;=IFERROR($B$5,49),"2nd Shift","")</f>
        <v>14</v>
      </c>
    </row>
    <row r="74" ht="14.15" customHeight="true">
      <c r="A74" t="s" s="53">
        <v>100</v>
      </c>
      <c r="B74" s="60" t="s">
        <f>IF(ROWS($B$61:B74)&lt;=IFERROR($B$5,49),"2nd Shift","")</f>
        <v>14</v>
      </c>
    </row>
    <row r="75" ht="14.15" customHeight="true">
      <c r="A75" t="s" s="53">
        <v>101</v>
      </c>
      <c r="B75" s="60" t="s">
        <f>IF(ROWS($B$61:B75)&lt;=IFERROR($B$5,49),"2nd Shift","")</f>
        <v>14</v>
      </c>
    </row>
    <row r="76" ht="14.15" customHeight="true">
      <c r="A76" t="s" s="53">
        <v>102</v>
      </c>
      <c r="B76" s="60" t="s">
        <f>IF(ROWS($B$61:B76)&lt;=IFERROR($B$5,49),"2nd Shift","")</f>
        <v>14</v>
      </c>
    </row>
    <row r="77" ht="14.15" customHeight="true">
      <c r="A77" t="s" s="53">
        <v>103</v>
      </c>
      <c r="B77" s="60" t="s">
        <f>IF(ROWS($B$61:B77)&lt;=IFERROR($B$5,49),"2nd Shift","")</f>
        <v>14</v>
      </c>
    </row>
    <row r="78" ht="14.15" customHeight="true">
      <c r="A78" t="s" s="53">
        <v>104</v>
      </c>
      <c r="B78" s="60" t="s">
        <f>IF(ROWS($B$61:B78)&lt;=IFERROR($B$5,49),"2nd Shift","")</f>
        <v>14</v>
      </c>
    </row>
    <row r="79" ht="14.15" customHeight="true">
      <c r="A79" t="s" s="53">
        <v>105</v>
      </c>
      <c r="B79" s="60" t="s">
        <f>IF(ROWS($B$61:B79)&lt;=IFERROR($B$5,49),"2nd Shift","")</f>
        <v>14</v>
      </c>
    </row>
    <row r="80" ht="14.15" customHeight="true">
      <c r="A80" t="s" s="53">
        <v>106</v>
      </c>
      <c r="B80" s="60" t="s">
        <f>IF(ROWS($B$61:B80)&lt;=IFERROR($B$5,49),"2nd Shift","")</f>
        <v>14</v>
      </c>
    </row>
    <row r="81" ht="14.15" customHeight="true">
      <c r="A81" t="s" s="53">
        <v>107</v>
      </c>
      <c r="B81" s="60" t="s">
        <f>IF(ROWS($B$61:B81)&lt;=IFERROR($B$5,49),"2nd Shift","")</f>
        <v>14</v>
      </c>
    </row>
    <row r="82" ht="14.15" customHeight="true">
      <c r="A82" t="s" s="53">
        <v>108</v>
      </c>
      <c r="B82" s="60" t="s">
        <f>IF(ROWS($B$61:B82)&lt;=IFERROR($B$5,49),"2nd Shift","")</f>
        <v>14</v>
      </c>
    </row>
    <row r="83" ht="14.15" customHeight="true">
      <c r="A83" t="s" s="53">
        <v>109</v>
      </c>
      <c r="B83" s="60" t="s">
        <f>IF(ROWS($B$61:B83)&lt;=IFERROR($B$5,49),"2nd Shift","")</f>
        <v>14</v>
      </c>
    </row>
    <row r="84" ht="14.15" customHeight="true">
      <c r="A84" t="s" s="53">
        <v>110</v>
      </c>
      <c r="B84" s="60" t="s">
        <f>IF(ROWS($B$61:B84)&lt;=IFERROR($B$5,49),"2nd Shift","")</f>
        <v>14</v>
      </c>
    </row>
    <row r="85" ht="14.15" customHeight="true">
      <c r="A85" t="s" s="53">
        <v>111</v>
      </c>
      <c r="B85" s="60" t="s">
        <f>IF(ROWS($B$61:B85)&lt;=IFERROR($B$5,49),"2nd Shift","")</f>
        <v>14</v>
      </c>
    </row>
    <row r="86" ht="14.15" customHeight="true">
      <c r="A86" t="s" s="53">
        <v>112</v>
      </c>
      <c r="B86" s="60" t="s">
        <f>IF(ROWS($B$61:B86)&lt;=IFERROR($B$5,49),"2nd Shift","")</f>
        <v>14</v>
      </c>
    </row>
    <row r="87" ht="14.15" customHeight="true">
      <c r="A87" t="s" s="53">
        <v>113</v>
      </c>
      <c r="B87" s="60" t="s">
        <f>IF(ROWS($B$61:B87)&lt;=IFERROR($B$5,49),"2nd Shift","")</f>
        <v>14</v>
      </c>
    </row>
    <row r="88" ht="14.15" customHeight="true">
      <c r="A88" t="s" s="53">
        <v>114</v>
      </c>
      <c r="B88" s="60" t="s">
        <f>IF(ROWS($B$61:B88)&lt;=IFERROR($B$5,49),"2nd Shift","")</f>
        <v>14</v>
      </c>
    </row>
    <row r="89" ht="14.15" customHeight="true">
      <c r="A89" t="s" s="53">
        <v>115</v>
      </c>
      <c r="B89" s="60" t="s">
        <f>IF(ROWS($B$61:B89)&lt;=IFERROR($B$5,49),"2nd Shift","")</f>
        <v>14</v>
      </c>
    </row>
    <row r="90" ht="14.15" customHeight="true">
      <c r="A90" t="s" s="53">
        <v>116</v>
      </c>
      <c r="B90" s="60" t="s">
        <f>IF(ROWS($B$61:B90)&lt;=IFERROR($B$5,49),"2nd Shift","")</f>
        <v>14</v>
      </c>
    </row>
    <row r="91" ht="14.15" customHeight="true">
      <c r="A91" t="s" s="53">
        <v>117</v>
      </c>
      <c r="B91" s="60" t="s">
        <f>IF(ROWS($B$61:B91)&lt;=IFERROR($B$5,49),"2nd Shift","")</f>
        <v>14</v>
      </c>
    </row>
    <row r="92" ht="14.15" customHeight="true">
      <c r="A92" t="s" s="53">
        <v>118</v>
      </c>
      <c r="B92" s="60" t="s">
        <f>IF(ROWS($B$61:B92)&lt;=IFERROR($B$5,49),"2nd Shift","")</f>
        <v>14</v>
      </c>
    </row>
    <row r="93" ht="14.15" customHeight="true">
      <c r="A93" t="s" s="53">
        <v>119</v>
      </c>
      <c r="B93" s="60" t="s">
        <f>IF(ROWS($B$61:B93)&lt;=IFERROR($B$5,49),"2nd Shift","")</f>
        <v>14</v>
      </c>
    </row>
    <row r="94" ht="14.15" customHeight="true">
      <c r="A94" t="s" s="53">
        <v>120</v>
      </c>
      <c r="B94" s="60" t="s">
        <f>IF(ROWS($B$61:B94)&lt;=IFERROR($B$5,49),"2nd Shift","")</f>
        <v>14</v>
      </c>
    </row>
    <row r="95" ht="14.15" customHeight="true">
      <c r="A95" t="s" s="53">
        <v>121</v>
      </c>
      <c r="B95" s="60" t="s">
        <f>IF(ROWS($B$61:B95)&lt;=IFERROR($B$5,49),"2nd Shift","")</f>
        <v>14</v>
      </c>
    </row>
    <row r="96" ht="14.15" customHeight="true">
      <c r="A96" t="s" s="53">
        <v>122</v>
      </c>
      <c r="B96" s="60" t="s">
        <f>IF(ROWS($B$61:B96)&lt;=IFERROR($B$5,49),"2nd Shift","")</f>
        <v>14</v>
      </c>
    </row>
    <row r="97" ht="14.15" customHeight="true">
      <c r="A97" t="s" s="53">
        <v>123</v>
      </c>
      <c r="B97" s="60" t="s">
        <f>IF(ROWS($B$61:B97)&lt;=IFERROR($B$5,49),"2nd Shift","")</f>
        <v>14</v>
      </c>
    </row>
    <row r="98" ht="14.15" customHeight="true">
      <c r="A98" t="s" s="53">
        <v>124</v>
      </c>
      <c r="B98" s="60" t="s">
        <f>IF(ROWS($B$61:B98)&lt;=IFERROR($B$5,49),"2nd Shift","")</f>
        <v>14</v>
      </c>
    </row>
    <row r="99" ht="14.15" customHeight="true">
      <c r="A99" t="s" s="53">
        <v>125</v>
      </c>
      <c r="B99" s="60" t="s">
        <f>IF(ROWS($B$61:B99)&lt;=IFERROR($B$5,49),"2nd Shift","")</f>
        <v>14</v>
      </c>
    </row>
    <row r="100" ht="14.15" customHeight="true">
      <c r="A100" t="s" s="53">
        <v>126</v>
      </c>
      <c r="B100" s="60" t="s">
        <f>IF(ROWS($B$61:B100)&lt;=IFERROR($B$5,49),"2nd Shift","")</f>
        <v>14</v>
      </c>
    </row>
    <row r="101" ht="14.15" customHeight="true">
      <c r="A101" t="s" s="53">
        <v>127</v>
      </c>
      <c r="B101" s="60" t="s">
        <f>IF(ROWS($B$61:B101)&lt;=IFERROR($B$5,49),"2nd Shift","")</f>
        <v>14</v>
      </c>
    </row>
    <row r="102" ht="14.15" customHeight="true">
      <c r="A102" t="s" s="53">
        <v>128</v>
      </c>
      <c r="B102" s="60" t="s">
        <f>IF(ROWS($B$61:B102)&lt;=IFERROR($B$5,49),"2nd Shift","")</f>
        <v>14</v>
      </c>
    </row>
    <row r="103" ht="14.15" customHeight="true">
      <c r="A103" t="s" s="53">
        <v>129</v>
      </c>
      <c r="B103" s="60" t="s">
        <f>IF(ROWS($B$61:B103)&lt;=IFERROR($B$5,49),"2nd Shift","")</f>
        <v>14</v>
      </c>
    </row>
    <row r="104" ht="14.15" customHeight="true">
      <c r="A104" t="s" s="53">
        <v>130</v>
      </c>
      <c r="B104" s="60" t="s">
        <f>IF(ROWS($B$61:B104)&lt;=IFERROR($B$5,49),"2nd Shift","")</f>
        <v>14</v>
      </c>
    </row>
    <row r="105" ht="14.15" customHeight="true">
      <c r="A105" t="s" s="53">
        <v>131</v>
      </c>
      <c r="B105" s="60" t="s">
        <f>IF(ROWS($B$61:B105)&lt;=IFERROR($B$5,49),"2nd Shift","")</f>
        <v>14</v>
      </c>
    </row>
    <row r="106" ht="14.15" customHeight="true">
      <c r="A106" t="s" s="53">
        <v>132</v>
      </c>
      <c r="B106" s="60" t="s">
        <f>IF(ROWS($B$61:B106)&lt;=IFERROR($B$5,49),"2nd Shift","")</f>
        <v>14</v>
      </c>
    </row>
    <row r="107" ht="14.15" customHeight="true">
      <c r="A107" t="s" s="53">
        <v>133</v>
      </c>
      <c r="B107" s="60" t="s">
        <f>IF(ROWS($B$61:B107)&lt;=IFERROR($B$5,49),"2nd Shift","")</f>
        <v>14</v>
      </c>
    </row>
    <row r="108" ht="14.15" customHeight="true">
      <c r="A108" t="s" s="53">
        <v>134</v>
      </c>
      <c r="B108" s="60" t="s">
        <f>IF(ROWS($B$61:B108)&lt;=IFERROR($B$5,49),"2nd Shift","")</f>
        <v>14</v>
      </c>
    </row>
    <row r="109" ht="14.15" customHeight="true">
      <c r="A109" t="s" s="53">
        <v>135</v>
      </c>
      <c r="B109" s="60" t="s">
        <f>IF(ROWS($B$61:B109)&lt;=IFERROR($B$5,49),"2nd Shift","")</f>
        <v>14</v>
      </c>
    </row>
    <row r="110" ht="14.15" customHeight="true">
      <c r="A110" t="s" s="61">
        <v>136</v>
      </c>
      <c r="B110" s="62" t="s">
        <f>IF(ROWS($B$61:B110)&lt;=IFERROR($B$5,49),"2nd Shift","")</f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2026-06-01T01:39:36Z</dcterms:created>
  <dcterms:modified xsi:type="dcterms:W3CDTF">2026-06-01T01:39:36Z</dcterms:modified>
</cp:coreProperties>
</file>