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E17167D-70BF-42CD-9688-F6344B6D18A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Exp-DB" sheetId="1" r:id="rId1"/>
  </sheets>
  <definedNames>
    <definedName name="may">'[1]Cal 2021'!$A$10</definedName>
    <definedName name="sep">'[1]Cal 2021'!$A$19</definedName>
    <definedName name="dec">'[1]Cal 2021'!$AB$19</definedName>
    <definedName name="Ent">[2]Jan!$K$21:$K$27</definedName>
    <definedName name="jun">'[1]Cal 2021'!$J$10</definedName>
    <definedName name="jul">'[1]Cal 2021'!$S$10</definedName>
    <definedName name="aug">'[1]Cal 2021'!$AB$10</definedName>
    <definedName name="cats">'Exp-DB'!$B:$B</definedName>
    <definedName name="feb">'[1]Cal 2021'!$J$1</definedName>
    <definedName name="nov">'[1]Cal 2021'!$S$19</definedName>
    <definedName name="oct">'[1]Cal 2021'!$J$19</definedName>
    <definedName name="apr">'[1]Cal 2021'!$AB$1</definedName>
    <definedName name="Category">[1]Expenses!$D:$D</definedName>
    <definedName name="exDB">'Exp-DB'!$A:$A</definedName>
    <definedName name="mar">'[1]Cal 2021'!$S$1</definedName>
    <definedName name="Mon">[1]Expenses!$A:$A</definedName>
    <definedName name="Expenses">[1]Expenses!$F:$F</definedName>
    <definedName name="income">[1]Expenses!$E:$E</definedName>
    <definedName name="jan">'[1]Cal 2021'!$A$1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/>
  <c r="G53" i="1"/>
  <c r="G20" i="1"/>
  <c r="G3" i="1"/>
  <c r="G42" i="1"/>
  <c r="G39" i="1"/>
  <c r="G17" i="1"/>
  <c r="G8" i="1"/>
  <c r="G9" i="1"/>
  <c r="G26" i="1"/>
  <c r="G14" i="1"/>
  <c r="G35" i="1"/>
  <c r="G40" i="1"/>
  <c r="G34" i="1"/>
  <c r="G28" i="1"/>
  <c r="G50" i="1"/>
  <c r="G4" i="1"/>
  <c r="G15" i="1"/>
  <c r="G23" i="1"/>
  <c r="G47" i="1"/>
  <c r="G48" i="1"/>
  <c r="G5" i="1"/>
  <c r="G19" i="1"/>
  <c r="G16" i="1"/>
  <c r="G29" i="1"/>
  <c r="G7" i="1"/>
  <c r="G49" i="1"/>
  <c r="G24" i="1"/>
  <c r="G52" i="1"/>
  <c r="G30" i="1"/>
  <c r="G33" i="1"/>
  <c r="G18" i="1"/>
  <c r="G37" i="1"/>
  <c r="G41" i="1"/>
  <c r="G38" i="1"/>
  <c r="G12" i="1"/>
  <c r="G32" i="1"/>
  <c r="G22" i="1"/>
  <c r="G21" i="1"/>
  <c r="G43" i="1"/>
  <c r="G44" i="1"/>
  <c r="G13" i="1"/>
  <c r="G2" i="1"/>
  <c r="G1" i="1"/>
  <c r="G6" i="1"/>
  <c r="G31" i="1"/>
  <c r="G27" i="1"/>
  <c r="G10" i="1"/>
  <c r="G51" i="1"/>
  <c r="G45" i="1"/>
  <c r="G46" i="1"/>
  <c r="G25" i="1"/>
  <c r="G11" i="1"/>
</calcChain>
</file>

<file path=xl/sharedStrings.xml><?xml version="1.0" encoding="utf-8"?>
<sst xmlns="http://schemas.openxmlformats.org/spreadsheetml/2006/main" count="233" uniqueCount="93">
  <si>
    <t>AMAZON.COM</t>
  </si>
  <si>
    <t>amazon</t>
  </si>
  <si>
    <t>TRANSAMERICA INS PREM</t>
  </si>
  <si>
    <t>life insurance</t>
  </si>
  <si>
    <t>AMZN MKTP</t>
  </si>
  <si>
    <t>AMAZON.COM*1T9SS2M AMZN.COM/BILLWA</t>
  </si>
  <si>
    <t>#N/A</t>
  </si>
  <si>
    <t>PRIME VIDEO</t>
  </si>
  <si>
    <t>AMERICAN GEN LIF INS PAYMT</t>
  </si>
  <si>
    <t>ATT FORD RECURRING</t>
  </si>
  <si>
    <t>Auto</t>
  </si>
  <si>
    <t>AMZN MKTP US*03692 AMZN.COM/BILLWA</t>
  </si>
  <si>
    <t>EXXONMOBIL</t>
  </si>
  <si>
    <t>APPLE.COM/US 800-676-2775 CA</t>
  </si>
  <si>
    <t>Itunes</t>
  </si>
  <si>
    <t>SHELL SERVICE STATION BURKE VAUS</t>
  </si>
  <si>
    <t>ATT FORD RECURRING 800-331-0500 TX</t>
  </si>
  <si>
    <t>eDeposit-Scan/Mobile</t>
  </si>
  <si>
    <t>Check</t>
  </si>
  <si>
    <t>BARNES&amp;NOBLE.COM-B 800-843-2665 NY</t>
  </si>
  <si>
    <t>GRUBHUB.COM NY</t>
  </si>
  <si>
    <t>dining out</t>
  </si>
  <si>
    <t>BARNESNOBLE 6646 Loisd Springfield VAUS</t>
  </si>
  <si>
    <t>THE SWISS BAKERY</t>
  </si>
  <si>
    <t>BEST BUY #269 SPRINGFIELD VAUS</t>
  </si>
  <si>
    <t>household</t>
  </si>
  <si>
    <t>WWW.DOORDASH.CA</t>
  </si>
  <si>
    <t>BESTBUY.COM 8882378289 MN</t>
  </si>
  <si>
    <t>Dividend</t>
  </si>
  <si>
    <t>div</t>
  </si>
  <si>
    <t>DOMINION ENERGY ELEC BILL</t>
  </si>
  <si>
    <t>electric</t>
  </si>
  <si>
    <t>CBS ALL ACCESS 888-274-5343 CA</t>
  </si>
  <si>
    <t>misc</t>
  </si>
  <si>
    <t>WASHINGTON GAS PAYMENT</t>
  </si>
  <si>
    <t>Gas</t>
  </si>
  <si>
    <t>COAST GUARD CLEANE ALEXANDRIA VA</t>
  </si>
  <si>
    <t>GIANT</t>
  </si>
  <si>
    <t>groceries</t>
  </si>
  <si>
    <t>WEGMANS</t>
  </si>
  <si>
    <t>BEST BUY</t>
  </si>
  <si>
    <t>DOORDASH*CURRY HOU WWW.DOORDASH.CA</t>
  </si>
  <si>
    <t>BESTBUY.COM</t>
  </si>
  <si>
    <t>DOORDASH*FREDDYS F WWW.DOORDASH.CA</t>
  </si>
  <si>
    <t>THE HOME DEPOT</t>
  </si>
  <si>
    <t>VERIZON PAYMENTREC</t>
  </si>
  <si>
    <t>internet</t>
  </si>
  <si>
    <t>EXXONMOBIL 4784 SPRINGFIELD VA</t>
  </si>
  <si>
    <t>FIDELITY FIIS FIIS</t>
  </si>
  <si>
    <t>investments</t>
  </si>
  <si>
    <t>FCWA PAYMENT</t>
  </si>
  <si>
    <t>water</t>
  </si>
  <si>
    <t>APPLE.COM</t>
  </si>
  <si>
    <t>GIANT 2743 8970 BURKE SPRINGFIELD VAUS</t>
  </si>
  <si>
    <t>GIANT 2743 SPRINGFIELD VAUS</t>
  </si>
  <si>
    <t>GRUBHUBANITASNEWME GRUBHUB.COM NY</t>
  </si>
  <si>
    <t>JOANN STOREs</t>
  </si>
  <si>
    <t>GRUBHUBBRIONSGRILL GRUBHUB.COM NY</t>
  </si>
  <si>
    <t>MICHAELS STORES</t>
  </si>
  <si>
    <t>GRUBHUBTACOBELL GRUBHUB.COM NY</t>
  </si>
  <si>
    <t>MICRO ELECTRONIC</t>
  </si>
  <si>
    <t>LINCOLN AFS FORDCREDIT</t>
  </si>
  <si>
    <t>SLACK</t>
  </si>
  <si>
    <t>THE UPS STORE</t>
  </si>
  <si>
    <t>MAGNOLIA HI FI 608 SPRINGFIELD VA</t>
  </si>
  <si>
    <t>RLMS RLMS ACH</t>
  </si>
  <si>
    <t>mortgage</t>
  </si>
  <si>
    <t>MICHAELS STORES 2069 6 SPRINGFIELD VAUS</t>
  </si>
  <si>
    <t>PAYPAL</t>
  </si>
  <si>
    <t>paypal</t>
  </si>
  <si>
    <t>MICHAELS STORES 8804 3 FAIRFAX VAUS</t>
  </si>
  <si>
    <t>PETCO</t>
  </si>
  <si>
    <t>pets</t>
  </si>
  <si>
    <t>MICRO ELECTRONIC 3089 Fairfax VAUS</t>
  </si>
  <si>
    <t>PETSMART</t>
  </si>
  <si>
    <t>PAYPAL INST XFER</t>
  </si>
  <si>
    <t>TMOBILE</t>
  </si>
  <si>
    <t>phone</t>
  </si>
  <si>
    <t>PETCO 1723 6351 BURKE VA</t>
  </si>
  <si>
    <t>POS Adjustment</t>
  </si>
  <si>
    <t>refund</t>
  </si>
  <si>
    <t>PETSMART # 0446 SPRINGFIELD VAUS</t>
  </si>
  <si>
    <t>POS Adjustment - BEST BUY 0000 SPRINGFIELD VA</t>
  </si>
  <si>
    <t>POS Adjustment - GIANT 2743 SPRINGFIELD VA</t>
  </si>
  <si>
    <t>POS Adjustment - USPS PO BOXES ONLI 800-3447779 DC</t>
  </si>
  <si>
    <t>PRIME VIDEO*261IS0 888-802-3080 WA</t>
  </si>
  <si>
    <t>SLACK T01BV8MP32M HTTPSSLACK.COCA</t>
  </si>
  <si>
    <t>SP * BROOKLINEN WWW.BROOKLINENY</t>
  </si>
  <si>
    <t>TARGET T- 10301 New Gu Fairfax VAUS</t>
  </si>
  <si>
    <t>THE HOME DEPOT #4617 SPRINGFIELD VAUS</t>
  </si>
  <si>
    <t>THE HOME DEPOT #4639 FAIRFAX VAUS</t>
  </si>
  <si>
    <t>TMOBILE*AUTO PAY 800-937-8997 WA</t>
  </si>
  <si>
    <t>WEGMANS ALEXANDRIA ALEXANDRIA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</si>
</sst>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color rgb="FF1C1D1E"/>
      <family val="2"/>
    </font>
    <font>
      <name val="Calibri"/>
      <sz val="11.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vertical="center" wrapText="1"/>
    </xf>
    <xf numFmtId="1" applyNumberFormat="1" fontId="2" applyFont="1" applyAlignment="1">
      <alignment/>
    </xf>
    <xf numFmtId="1" applyNumberFormat="1" fontId="3" applyFont="1" applyAlignment="1">
      <alignment/>
    </xf>
    <xf numFmtId="1" applyNumberFormat="1" fontId="1" applyFont="1" applyAlignment="1">
      <alignment/>
    </xf>
    <xf numFmtId="1" applyNumberFormat="1" fontId="1" applyFont="1" applyAlignment="1">
      <alignment/>
    </xf>
  </cellStyleXfs>
  <cellXfs count="7">
    <xf numFmtId="0" fontId="0" fillId="0" borderId="0" xfId="0"/>
    <xf xfId="2" quotePrefix="0" pivotButton="0" numFmtId="1" applyNumberFormat="1" fontId="1" applyFont="1" applyAlignment="1">
      <alignment vertical="center" wrapText="1"/>
    </xf>
    <xf xfId="1" quotePrefix="0" pivotButton="0" numFmtId="1" applyNumberFormat="1" fontId="1" applyFont="1" applyAlignment="1">
      <alignment/>
    </xf>
    <xf xfId="3" quotePrefix="0" pivotButton="0" numFmtId="1" applyNumberFormat="1" fontId="2" applyFont="1" applyAlignment="1">
      <alignment/>
    </xf>
    <xf xfId="4" quotePrefix="0" pivotButton="0" numFmtId="1" applyNumberFormat="1" fontId="3" applyFont="1" applyAlignment="1">
      <alignment/>
    </xf>
    <xf xfId="6" quotePrefix="0" pivotButton="0" numFmtId="1" applyNumberFormat="1" fontId="1" applyFont="1" applyAlignment="1">
      <alignment/>
    </xf>
    <xf xfId="5" quotePrefix="0" pivotButton="0" numFmtId="1" applyNumberFormat="1" fontId="1" applyFont="1" applyAlignment="1">
      <alignment/>
    </xf>
  </cellXfs>
  <cellStyles count="1">
    <cellStyle name="normal" xfId="0" builtinId="0"/>
  </cellStyles>
  <dxfs count="7">
    <dxf>
      <font>
        <color rgb="FF00B050"/>
        <family val="2"/>
        <rFont val="Arial"/>
      </font>
      <fill>
        <patternFill>
          <bgColor rgb="FFE2EFDA"/>
        </patternFill>
      </fill>
      <alignment/>
    </dxf>
    <dxf>
      <font>
        <color rgb="FF0070C0"/>
        <family val="2"/>
        <rFont val="Arial"/>
      </font>
      <fill>
        <patternFill>
          <bgColor rgb="FFD9E1F2"/>
        </patternFill>
      </fill>
      <alignment/>
    </dxf>
    <dxf>
      <font>
        <color rgb="FFCC66FF"/>
        <family val="2"/>
        <rFont val="Arial"/>
      </font>
      <fill>
        <patternFill>
          <bgColor rgb="FFFFE5FF"/>
        </patternFill>
      </fill>
      <alignment/>
    </dxf>
    <dxf>
      <font>
        <color rgb="FFFF3399"/>
        <family val="2"/>
        <rFont val="Arial"/>
      </font>
      <fill>
        <patternFill>
          <bgColor rgb="FFFFEBF5"/>
        </patternFill>
      </fill>
      <alignment/>
    </dxf>
    <dxf>
      <font>
        <color rgb="FFFFC000"/>
        <family val="2"/>
        <rFont val="Arial"/>
      </font>
      <fill>
        <patternFill>
          <bgColor rgb="FFFFF2CC"/>
        </patternFill>
      </fill>
      <alignment/>
    </dxf>
    <dxf>
      <font>
        <color rgb="FFFF9999"/>
        <family val="2"/>
        <rFont val="Arial"/>
      </font>
      <fill>
        <patternFill>
          <bgColor rgb="FFFFE1E1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39.06" customWidth="1" hidden="0"/>
    <col min="2" max="2" width="11.82" customWidth="1" hidden="0"/>
    <col min="4" max="4" width="45.61" customWidth="1" hidden="0"/>
    <col min="5" max="5" width="21.84" customWidth="1" hidden="0"/>
    <col min="7" max="7" width="11.82" customWidth="1" hidden="0"/>
  </cols>
  <sheetData>
    <row r="1" ht="15.00" customHeight="true">
      <c r="A1" t="s" s="1">
        <v>0</v>
      </c>
      <c r="B1" t="s" s="2">
        <v>1</v>
      </c>
      <c r="D1" t="s" s="1">
        <v>2</v>
      </c>
      <c r="E1" t="s" s="1">
        <v>3</v>
      </c>
      <c r="G1" s="2" t="s">
        <f>INDEX(cats,MATCH("*"&amp;D1&amp;"*",exDB,0))</f>
        <v>3</v>
      </c>
    </row>
    <row r="2" ht="15.00" customHeight="true">
      <c r="A2" t="s" s="3">
        <v>4</v>
      </c>
      <c r="B2" t="s" s="4">
        <v>1</v>
      </c>
      <c r="D2" t="s" s="1">
        <v>5</v>
      </c>
      <c r="E2" t="s" s="1">
        <v>1</v>
      </c>
      <c r="G2" s="2" t="s">
        <f>INDEX(cats,MATCH("*"&amp;D2&amp;"*",exDB,0))</f>
        <v>6</v>
      </c>
    </row>
    <row r="3" ht="15.00" customHeight="true">
      <c r="A3" t="s" s="1">
        <v>7</v>
      </c>
      <c r="B3" t="s" s="2">
        <v>1</v>
      </c>
      <c r="D3" t="s" s="1">
        <v>8</v>
      </c>
      <c r="E3" t="s" s="1">
        <v>3</v>
      </c>
      <c r="G3" s="2" t="s">
        <f>INDEX(cats,MATCH("*"&amp;D3&amp;"*",exDB,0))</f>
        <v>3</v>
      </c>
    </row>
    <row r="4" ht="15.00" customHeight="true">
      <c r="A4" t="s" s="1">
        <v>9</v>
      </c>
      <c r="B4" t="s" s="2">
        <v>10</v>
      </c>
      <c r="D4" t="s" s="1">
        <v>11</v>
      </c>
      <c r="E4" t="s" s="1">
        <v>1</v>
      </c>
      <c r="G4" s="2" t="s">
        <f>INDEX(cats,MATCH("*"&amp;D4&amp;"*",exDB,0))</f>
        <v>6</v>
      </c>
    </row>
    <row r="5" ht="15.00" customHeight="true">
      <c r="A5" t="s" s="1">
        <v>12</v>
      </c>
      <c r="B5" t="s" s="2">
        <v>10</v>
      </c>
      <c r="D5" t="s" s="1">
        <v>13</v>
      </c>
      <c r="E5" t="s" s="1">
        <v>14</v>
      </c>
      <c r="G5" s="2" t="s">
        <f>INDEX(cats,MATCH("*"&amp;D5&amp;"*",exDB,0))</f>
        <v>6</v>
      </c>
    </row>
    <row r="6" ht="15.00" customHeight="true">
      <c r="A6" t="s" s="1">
        <v>15</v>
      </c>
      <c r="B6" t="s" s="2">
        <v>10</v>
      </c>
      <c r="D6" t="s" s="1">
        <v>16</v>
      </c>
      <c r="E6" t="s" s="1">
        <v>10</v>
      </c>
      <c r="G6" s="2" t="s">
        <f>INDEX(cats,MATCH("*"&amp;D6&amp;"*",exDB,0))</f>
        <v>6</v>
      </c>
    </row>
    <row r="7" ht="15.00" customHeight="true">
      <c r="A7" t="s" s="1">
        <v>17</v>
      </c>
      <c r="B7" t="s" s="5">
        <v>18</v>
      </c>
      <c r="D7" t="s" s="1">
        <v>19</v>
      </c>
      <c r="E7" t="s" s="1">
        <v>6</v>
      </c>
      <c r="G7" s="2" t="s">
        <f>INDEX(cats,MATCH("*"&amp;D7&amp;"*",exDB,0))</f>
        <v>6</v>
      </c>
    </row>
    <row r="8" ht="15.00" customHeight="true">
      <c r="A8" t="s" s="3">
        <v>20</v>
      </c>
      <c r="B8" t="s" s="4">
        <v>21</v>
      </c>
      <c r="D8" t="s" s="1">
        <v>22</v>
      </c>
      <c r="E8" t="s" s="1">
        <v>6</v>
      </c>
      <c r="G8" s="2" t="s">
        <f>INDEX(cats,MATCH("*"&amp;D8&amp;"*",exDB,0))</f>
        <v>6</v>
      </c>
    </row>
    <row r="9" ht="15.00" customHeight="true">
      <c r="A9" t="s" s="1">
        <v>23</v>
      </c>
      <c r="B9" t="s" s="2">
        <v>21</v>
      </c>
      <c r="D9" t="s" s="1">
        <v>24</v>
      </c>
      <c r="E9" t="s" s="1">
        <v>25</v>
      </c>
      <c r="G9" s="2" t="s">
        <f>INDEX(cats,MATCH("*"&amp;D9&amp;"*",exDB,0))</f>
        <v>6</v>
      </c>
    </row>
    <row r="10" ht="15.00" customHeight="true">
      <c r="A10" t="s" s="2">
        <v>26</v>
      </c>
      <c r="B10" t="s" s="4">
        <v>21</v>
      </c>
      <c r="D10" t="s" s="1">
        <v>27</v>
      </c>
      <c r="E10" t="s" s="1">
        <v>25</v>
      </c>
      <c r="G10" s="2" t="s">
        <f>INDEX(cats,MATCH("*"&amp;D10&amp;"*",exDB,0))</f>
        <v>6</v>
      </c>
    </row>
    <row r="11" ht="15.00" customHeight="true">
      <c r="A11" t="s" s="1">
        <v>28</v>
      </c>
      <c r="B11" t="s" s="4">
        <v>29</v>
      </c>
      <c r="D11" t="s" s="1">
        <v>27</v>
      </c>
      <c r="E11" t="s" s="1">
        <v>25</v>
      </c>
      <c r="G11" s="2" t="s">
        <f>INDEX(cats,MATCH("*"&amp;D11&amp;"*",exDB,0))</f>
        <v>6</v>
      </c>
    </row>
    <row r="12" ht="15.00" customHeight="true">
      <c r="A12" t="s" s="6">
        <v>30</v>
      </c>
      <c r="B12" t="s" s="5">
        <v>31</v>
      </c>
      <c r="D12" t="s" s="1">
        <v>32</v>
      </c>
      <c r="E12" t="s" s="1">
        <v>33</v>
      </c>
      <c r="G12" s="2" t="s">
        <f>INDEX(cats,MATCH("*"&amp;D12&amp;"*",exDB,0))</f>
        <v>33</v>
      </c>
    </row>
    <row r="13" ht="15.00" customHeight="true">
      <c r="A13" t="s" s="3">
        <v>34</v>
      </c>
      <c r="B13" t="s" s="4">
        <v>35</v>
      </c>
      <c r="D13" t="s" s="1">
        <v>36</v>
      </c>
      <c r="E13" t="s" s="1">
        <v>33</v>
      </c>
      <c r="G13" s="2" t="s">
        <f>INDEX(cats,MATCH("*"&amp;D13&amp;"*",exDB,0))</f>
        <v>33</v>
      </c>
    </row>
    <row r="14" ht="15.00" customHeight="true">
      <c r="A14" t="s" s="3">
        <v>37</v>
      </c>
      <c r="B14" t="s" s="4">
        <v>38</v>
      </c>
      <c r="D14" t="s" s="1">
        <v>30</v>
      </c>
      <c r="E14" t="s" s="1">
        <v>31</v>
      </c>
      <c r="G14" s="2" t="s">
        <f>INDEX(cats,MATCH("*"&amp;D14&amp;"*",exDB,0))</f>
        <v>31</v>
      </c>
    </row>
    <row r="15" ht="15.00" customHeight="true">
      <c r="A15" t="s" s="1">
        <v>39</v>
      </c>
      <c r="B15" t="s" s="5">
        <v>38</v>
      </c>
      <c r="D15" t="s" s="1">
        <v>30</v>
      </c>
      <c r="E15" t="s" s="1">
        <v>31</v>
      </c>
      <c r="G15" s="2" t="s">
        <f>INDEX(cats,MATCH("*"&amp;D15&amp;"*",exDB,0))</f>
        <v>31</v>
      </c>
    </row>
    <row r="16" ht="15.00" customHeight="true">
      <c r="A16" t="s" s="1">
        <v>40</v>
      </c>
      <c r="B16" t="s" s="2">
        <v>25</v>
      </c>
      <c r="D16" t="s" s="1">
        <v>41</v>
      </c>
      <c r="E16" t="s" s="1">
        <v>21</v>
      </c>
      <c r="G16" s="2" t="s">
        <f>INDEX(cats,MATCH("*"&amp;D16&amp;"*",exDB,0))</f>
        <v>6</v>
      </c>
    </row>
    <row r="17" ht="15.00" customHeight="true">
      <c r="A17" t="s" s="1">
        <v>42</v>
      </c>
      <c r="B17" t="s" s="2">
        <v>25</v>
      </c>
      <c r="D17" t="s" s="1">
        <v>43</v>
      </c>
      <c r="E17" t="s" s="1">
        <v>21</v>
      </c>
      <c r="G17" s="2" t="s">
        <f>INDEX(cats,MATCH("*"&amp;D17&amp;"*",exDB,0))</f>
        <v>6</v>
      </c>
    </row>
    <row r="18" ht="15.00" customHeight="true">
      <c r="A18" t="s" s="3">
        <v>44</v>
      </c>
      <c r="B18" t="s" s="4">
        <v>25</v>
      </c>
      <c r="D18" t="s" s="1">
        <v>17</v>
      </c>
      <c r="E18" t="s" s="1">
        <v>18</v>
      </c>
      <c r="G18" s="2" t="s">
        <f>INDEX(cats,MATCH("*"&amp;D18&amp;"*",exDB,0))</f>
        <v>18</v>
      </c>
    </row>
    <row r="19" ht="15.00" customHeight="true">
      <c r="A19" t="s" s="1">
        <v>45</v>
      </c>
      <c r="B19" t="s" s="5">
        <v>46</v>
      </c>
      <c r="D19" t="s" s="1">
        <v>47</v>
      </c>
      <c r="E19" t="s" s="1">
        <v>10</v>
      </c>
      <c r="G19" s="2" t="s">
        <f>INDEX(cats,MATCH("*"&amp;D19&amp;"*",exDB,0))</f>
        <v>6</v>
      </c>
    </row>
    <row r="20" ht="15.00" customHeight="true">
      <c r="A20" t="s" s="1">
        <v>48</v>
      </c>
      <c r="B20" t="s" s="2">
        <v>49</v>
      </c>
      <c r="D20" t="s" s="1">
        <v>50</v>
      </c>
      <c r="E20" t="s" s="1">
        <v>51</v>
      </c>
      <c r="G20" s="2" t="s">
        <f>INDEX(cats,MATCH("*"&amp;D20&amp;"*",exDB,0))</f>
        <v>51</v>
      </c>
    </row>
    <row r="21" ht="15.00" customHeight="true">
      <c r="A21" t="s" s="1">
        <v>52</v>
      </c>
      <c r="B21" t="s" s="2">
        <v>14</v>
      </c>
      <c r="D21" t="s" s="1">
        <v>48</v>
      </c>
      <c r="E21" t="s" s="1">
        <v>49</v>
      </c>
      <c r="G21" s="2" t="s">
        <f>INDEX(cats,MATCH("*"&amp;D21&amp;"*",exDB,0))</f>
        <v>49</v>
      </c>
    </row>
    <row r="22" ht="15.00" customHeight="true">
      <c r="A22" t="s" s="6">
        <v>8</v>
      </c>
      <c r="B22" t="s" s="5">
        <v>3</v>
      </c>
      <c r="D22" t="s" s="1">
        <v>48</v>
      </c>
      <c r="E22" t="s" s="1">
        <v>49</v>
      </c>
      <c r="G22" s="2" t="s">
        <f>INDEX(cats,MATCH("*"&amp;D22&amp;"*",exDB,0))</f>
        <v>49</v>
      </c>
    </row>
    <row r="23" ht="15.00" customHeight="true">
      <c r="A23" t="s" s="3">
        <v>2</v>
      </c>
      <c r="B23" t="s" s="4">
        <v>3</v>
      </c>
      <c r="D23" t="s" s="1">
        <v>53</v>
      </c>
      <c r="E23" t="s" s="1">
        <v>38</v>
      </c>
      <c r="G23" s="2" t="s">
        <f>INDEX(cats,MATCH("*"&amp;D23&amp;"*",exDB,0))</f>
        <v>6</v>
      </c>
    </row>
    <row r="24" ht="15.00" customHeight="true">
      <c r="A24" t="s" s="1">
        <v>32</v>
      </c>
      <c r="B24" t="s" s="2">
        <v>33</v>
      </c>
      <c r="D24" t="s" s="1">
        <v>54</v>
      </c>
      <c r="E24" t="s" s="1">
        <v>38</v>
      </c>
      <c r="G24" s="2" t="s">
        <f>INDEX(cats,MATCH("*"&amp;D24&amp;"*",exDB,0))</f>
        <v>6</v>
      </c>
    </row>
    <row r="25" ht="15.00" customHeight="true">
      <c r="A25" t="s" s="1">
        <v>36</v>
      </c>
      <c r="B25" t="s" s="2">
        <v>33</v>
      </c>
      <c r="D25" t="s" s="1">
        <v>55</v>
      </c>
      <c r="E25" t="s" s="1">
        <v>21</v>
      </c>
      <c r="G25" s="2" t="s">
        <f>INDEX(cats,MATCH("*"&amp;D25&amp;"*",exDB,0))</f>
        <v>6</v>
      </c>
    </row>
    <row r="26" ht="15.00" customHeight="true">
      <c r="A26" t="s" s="3">
        <v>56</v>
      </c>
      <c r="B26" t="s" s="4">
        <v>33</v>
      </c>
      <c r="D26" t="s" s="1">
        <v>57</v>
      </c>
      <c r="E26" t="s" s="1">
        <v>21</v>
      </c>
      <c r="G26" s="2" t="s">
        <f>INDEX(cats,MATCH("*"&amp;D26&amp;"*",exDB,0))</f>
        <v>6</v>
      </c>
    </row>
    <row r="27" ht="15.00" customHeight="true">
      <c r="A27" t="s" s="1">
        <v>58</v>
      </c>
      <c r="B27" t="s" s="2">
        <v>33</v>
      </c>
      <c r="D27" t="s" s="1">
        <v>59</v>
      </c>
      <c r="E27" t="s" s="1">
        <v>21</v>
      </c>
      <c r="G27" s="2" t="s">
        <f>INDEX(cats,MATCH("*"&amp;D27&amp;"*",exDB,0))</f>
        <v>6</v>
      </c>
    </row>
    <row r="28" ht="15.00" customHeight="true">
      <c r="A28" t="s" s="3">
        <v>60</v>
      </c>
      <c r="B28" t="s" s="4">
        <v>33</v>
      </c>
      <c r="D28" t="s" s="1">
        <v>61</v>
      </c>
      <c r="E28" t="s" s="1">
        <v>6</v>
      </c>
      <c r="G28" s="2" t="s">
        <f>INDEX(cats,MATCH("*"&amp;D28&amp;"*",exDB,0))</f>
        <v>6</v>
      </c>
    </row>
    <row r="29" ht="15.00" customHeight="true">
      <c r="A29" t="s" s="1">
        <v>62</v>
      </c>
      <c r="B29" t="s" s="2">
        <v>33</v>
      </c>
      <c r="D29" t="s" s="1">
        <v>61</v>
      </c>
      <c r="E29" t="s" s="1">
        <v>6</v>
      </c>
      <c r="G29" s="2" t="s">
        <f>INDEX(cats,MATCH("*"&amp;D29&amp;"*",exDB,0))</f>
        <v>6</v>
      </c>
    </row>
    <row r="30" ht="15.00" customHeight="true">
      <c r="A30" t="s" s="1">
        <v>63</v>
      </c>
      <c r="B30" t="s" s="2">
        <v>33</v>
      </c>
      <c r="D30" t="s" s="1">
        <v>64</v>
      </c>
      <c r="E30" t="s" s="1">
        <v>6</v>
      </c>
      <c r="G30" s="2" t="s">
        <f>INDEX(cats,MATCH("*"&amp;D30&amp;"*",exDB,0))</f>
        <v>6</v>
      </c>
    </row>
    <row r="31" ht="15.00" customHeight="true">
      <c r="A31" t="s" s="3">
        <v>65</v>
      </c>
      <c r="B31" t="s" s="4">
        <v>66</v>
      </c>
      <c r="D31" t="s" s="1">
        <v>67</v>
      </c>
      <c r="E31" t="s" s="1">
        <v>33</v>
      </c>
      <c r="G31" s="2" t="s">
        <f>INDEX(cats,MATCH("*"&amp;D31&amp;"*",exDB,0))</f>
        <v>6</v>
      </c>
    </row>
    <row r="32" ht="15.00" customHeight="true">
      <c r="A32" t="s" s="1">
        <v>68</v>
      </c>
      <c r="B32" t="s" s="2">
        <v>69</v>
      </c>
      <c r="D32" t="s" s="1">
        <v>70</v>
      </c>
      <c r="E32" t="s" s="1">
        <v>33</v>
      </c>
      <c r="G32" s="2" t="s">
        <f>INDEX(cats,MATCH("*"&amp;D32&amp;"*",exDB,0))</f>
        <v>6</v>
      </c>
    </row>
    <row r="33" ht="15.00" customHeight="true">
      <c r="A33" t="s" s="3">
        <v>71</v>
      </c>
      <c r="B33" t="s" s="4">
        <v>72</v>
      </c>
      <c r="D33" t="s" s="1">
        <v>73</v>
      </c>
      <c r="E33" t="s" s="1">
        <v>33</v>
      </c>
      <c r="G33" s="2" t="s">
        <f>INDEX(cats,MATCH("*"&amp;D33&amp;"*",exDB,0))</f>
        <v>6</v>
      </c>
    </row>
    <row r="34" ht="15.00" customHeight="true">
      <c r="A34" t="s" s="1">
        <v>74</v>
      </c>
      <c r="B34" t="s" s="4">
        <v>72</v>
      </c>
      <c r="D34" t="s" s="1">
        <v>75</v>
      </c>
      <c r="E34" t="s" s="1">
        <v>69</v>
      </c>
      <c r="G34" s="2" t="s">
        <f>INDEX(cats,MATCH("*"&amp;D34&amp;"*",exDB,0))</f>
        <v>6</v>
      </c>
    </row>
    <row r="35" ht="15.00" customHeight="true">
      <c r="A35" t="s" s="1">
        <v>76</v>
      </c>
      <c r="B35" t="s" s="2">
        <v>77</v>
      </c>
      <c r="D35" t="s" s="1">
        <v>78</v>
      </c>
      <c r="E35" t="s" s="1">
        <v>72</v>
      </c>
      <c r="G35" s="2" t="s">
        <f>INDEX(cats,MATCH("*"&amp;D35&amp;"*",exDB,0))</f>
        <v>6</v>
      </c>
    </row>
    <row r="36" ht="15.00" customHeight="true">
      <c r="A36" t="s" s="1">
        <v>79</v>
      </c>
      <c r="B36" t="s" s="2">
        <v>80</v>
      </c>
      <c r="D36" t="s" s="1">
        <v>81</v>
      </c>
      <c r="E36" t="s" s="1">
        <v>72</v>
      </c>
      <c r="G36" s="2" t="s">
        <f>INDEX(cats,MATCH("*"&amp;D36&amp;"*",exDB,0))</f>
        <v>6</v>
      </c>
    </row>
    <row r="37" ht="15.00" customHeight="true">
      <c r="A37" t="s" s="3">
        <v>50</v>
      </c>
      <c r="B37" t="s" s="4">
        <v>51</v>
      </c>
      <c r="D37" t="s" s="1">
        <v>82</v>
      </c>
      <c r="E37" t="s" s="1">
        <v>25</v>
      </c>
      <c r="G37" s="2" t="s">
        <f>INDEX(cats,MATCH("*"&amp;D37&amp;"*",exDB,0))</f>
        <v>6</v>
      </c>
    </row>
    <row r="38" ht="15.00" customHeight="true">
      <c r="D38" t="s" s="1">
        <v>83</v>
      </c>
      <c r="E38" t="s" s="1">
        <v>38</v>
      </c>
      <c r="G38" s="2" t="s">
        <f>INDEX(cats,MATCH("*"&amp;D38&amp;"*",exDB,0))</f>
        <v>6</v>
      </c>
    </row>
    <row r="39" ht="15.00" customHeight="true">
      <c r="D39" t="s" s="1">
        <v>84</v>
      </c>
      <c r="E39" t="s" s="1">
        <v>80</v>
      </c>
      <c r="G39" s="2" t="s">
        <f>INDEX(cats,MATCH("*"&amp;D39&amp;"*",exDB,0))</f>
        <v>6</v>
      </c>
    </row>
    <row r="40" ht="15.00" customHeight="true">
      <c r="D40" t="s" s="1">
        <v>85</v>
      </c>
      <c r="E40" t="s" s="1">
        <v>1</v>
      </c>
      <c r="G40" s="2" t="s">
        <f>INDEX(cats,MATCH("*"&amp;D40&amp;"*",exDB,0))</f>
        <v>6</v>
      </c>
    </row>
    <row r="41" ht="15.00" customHeight="true">
      <c r="D41" t="s" s="1">
        <v>65</v>
      </c>
      <c r="E41" t="s" s="1">
        <v>66</v>
      </c>
      <c r="G41" s="2" t="s">
        <f>INDEX(cats,MATCH("*"&amp;D41&amp;"*",exDB,0))</f>
        <v>66</v>
      </c>
    </row>
    <row r="42" ht="15.00" customHeight="true">
      <c r="D42" t="s" s="1">
        <v>65</v>
      </c>
      <c r="E42" t="s" s="1">
        <v>66</v>
      </c>
      <c r="G42" s="2" t="s">
        <f>INDEX(cats,MATCH("*"&amp;D42&amp;"*",exDB,0))</f>
        <v>66</v>
      </c>
    </row>
    <row r="43" ht="15.00" customHeight="true">
      <c r="D43" t="s" s="1">
        <v>15</v>
      </c>
      <c r="E43" t="s" s="1">
        <v>10</v>
      </c>
      <c r="G43" s="2" t="s">
        <f>INDEX(cats,MATCH("*"&amp;D43&amp;"*",exDB,0))</f>
        <v>10</v>
      </c>
    </row>
    <row r="44" ht="15.00" customHeight="true">
      <c r="D44" t="s" s="1">
        <v>86</v>
      </c>
      <c r="E44" t="s" s="1">
        <v>33</v>
      </c>
      <c r="G44" s="2" t="s">
        <f>INDEX(cats,MATCH("*"&amp;D44&amp;"*",exDB,0))</f>
        <v>6</v>
      </c>
    </row>
    <row r="45" ht="15.00" customHeight="true">
      <c r="D45" t="s" s="1">
        <v>87</v>
      </c>
      <c r="E45" t="s" s="1">
        <v>6</v>
      </c>
      <c r="G45" s="2" t="s">
        <f>INDEX(cats,MATCH("*"&amp;D45&amp;"*",exDB,0))</f>
        <v>6</v>
      </c>
    </row>
    <row r="46" ht="15.00" customHeight="true">
      <c r="D46" t="s" s="1">
        <v>88</v>
      </c>
      <c r="E46" t="s" s="1">
        <v>6</v>
      </c>
      <c r="G46" s="2" t="s">
        <f>INDEX(cats,MATCH("*"&amp;D46&amp;"*",exDB,0))</f>
        <v>6</v>
      </c>
    </row>
    <row r="47" ht="15.00" customHeight="true">
      <c r="D47" t="s" s="1">
        <v>89</v>
      </c>
      <c r="E47" t="s" s="1">
        <v>25</v>
      </c>
      <c r="G47" s="2" t="s">
        <f>INDEX(cats,MATCH("*"&amp;D47&amp;"*",exDB,0))</f>
        <v>6</v>
      </c>
    </row>
    <row r="48" ht="15.00" customHeight="true">
      <c r="D48" t="s" s="1">
        <v>90</v>
      </c>
      <c r="E48" t="s" s="1">
        <v>25</v>
      </c>
      <c r="G48" s="2" t="s">
        <f>INDEX(cats,MATCH("*"&amp;D48&amp;"*",exDB,0))</f>
        <v>6</v>
      </c>
    </row>
    <row r="49" ht="15.00" customHeight="true">
      <c r="D49" t="s" s="1">
        <v>91</v>
      </c>
      <c r="E49" t="s" s="1">
        <v>77</v>
      </c>
      <c r="G49" s="2" t="s">
        <f>INDEX(cats,MATCH("*"&amp;D49&amp;"*",exDB,0))</f>
        <v>6</v>
      </c>
    </row>
    <row r="50" ht="15.00" customHeight="true">
      <c r="D50" t="s" s="1">
        <v>2</v>
      </c>
      <c r="E50" t="s" s="1">
        <v>3</v>
      </c>
      <c r="G50" s="2" t="s">
        <f>INDEX(cats,MATCH("*"&amp;D50&amp;"*",exDB,0))</f>
        <v>3</v>
      </c>
    </row>
    <row r="51" ht="15.00" customHeight="true">
      <c r="D51" t="s" s="1">
        <v>45</v>
      </c>
      <c r="E51" t="s" s="1">
        <v>46</v>
      </c>
      <c r="G51" s="2" t="s">
        <f>INDEX(cats,MATCH("*"&amp;D51&amp;"*",exDB,0))</f>
        <v>46</v>
      </c>
    </row>
    <row r="52" ht="15.00" customHeight="true">
      <c r="D52" t="s" s="1">
        <v>34</v>
      </c>
      <c r="E52" t="s" s="1">
        <v>35</v>
      </c>
      <c r="G52" s="2" t="s">
        <f>INDEX(cats,MATCH("*"&amp;D52&amp;"*",exDB,0))</f>
        <v>35</v>
      </c>
    </row>
    <row r="53" ht="15.00" customHeight="true">
      <c r="D53" t="s" s="1">
        <v>92</v>
      </c>
      <c r="E53" t="s" s="1">
        <v>38</v>
      </c>
      <c r="G53" s="2" t="s">
        <f>INDEX(cats,MATCH("*"&amp;D53&amp;"*",exDB,0))</f>
        <v>6</v>
      </c>
    </row>
  </sheetData>
  <phoneticPr fontId="0" type="noConversion"/>
  <conditionalFormatting sqref="A1:B3">
    <cfRule priority="1" stopIfTrue="1" type="expression" dxfId="0">
      <formula>OR(#REF!="DFAS", #REF!="Check", #REF!="Transfer to Checking", #REF!="Divs", #REF!="refunds")</formula>
    </cfRule>
  </conditionalFormatting>
  <conditionalFormatting sqref="A1:B3">
    <cfRule priority="2" stopIfTrue="1" type="expression" dxfId="1">
      <formula>OR(#REF!="Mortgage", #REF!="HOA", #REF!="Car payments", #REF!="Car Insur", #REF!="Life Insurance", #REF!="daycare")</formula>
    </cfRule>
  </conditionalFormatting>
  <conditionalFormatting sqref="A1:B3">
    <cfRule priority="3" stopIfTrue="1" type="expression" dxfId="2">
      <formula>OR(#REF!="phone", #REF!="gas", #REF!="water", #REF!="electric", #REF!="internet")</formula>
    </cfRule>
  </conditionalFormatting>
  <conditionalFormatting sqref="A1:B3">
    <cfRule priority="4" stopIfTrue="1" type="expression" dxfId="3">
      <formula>OR(#REF!="Amazon", #REF!="Itunes", #REF!="Dining Out", #REF!="Defac", #REF!="Paypal")</formula>
    </cfRule>
  </conditionalFormatting>
  <conditionalFormatting sqref="A1:B3">
    <cfRule priority="5" stopIfTrue="1" type="expression" dxfId="4">
      <formula>OR(#REF!="Misc", #REF!="auto", #REF!="Groceries", #REF!="household", #REF!="Gitfs", #REF!="Credit Cards", #REF!="pets")</formula>
    </cfRule>
  </conditionalFormatting>
  <conditionalFormatting sqref="A1:B3">
    <cfRule priority="6" stopIfTrue="1" type="expression" dxfId="5">
      <formula>OR(#REF!="E-fund", #REF!="Roth", #REF!="investments", #REF!="savings")</formula>
    </cfRule>
  </conditionalFormatting>
  <conditionalFormatting sqref="A1:A25">
    <cfRule priority="7" type="duplicateValues" dxfId="6"/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Exp-DB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2026-05-31T18:06:35Z</dcterms:created>
  <dcterms:modified xsi:type="dcterms:W3CDTF">2026-05-31T18:06:35Z</dcterms:modified>
</cp:coreProperties>
</file>