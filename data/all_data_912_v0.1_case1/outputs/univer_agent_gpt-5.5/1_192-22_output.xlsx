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149EE6C-DD5C-42A6-9397-6260C71795A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/>
  <c r="E41" i="1"/>
  <c r="E69" i="1"/>
  <c r="E45" i="1"/>
  <c r="E24" i="1"/>
  <c r="E22" i="1"/>
  <c r="E27" i="1"/>
  <c r="E38" i="1"/>
  <c r="E50" i="1"/>
  <c r="E53" i="1"/>
  <c r="E25" i="1"/>
  <c r="E52" i="1"/>
  <c r="E46" i="1"/>
  <c r="E17" i="1"/>
  <c r="E13" i="1"/>
  <c r="E39" i="1"/>
  <c r="E16" i="1"/>
  <c r="E44" i="1"/>
  <c r="E55" i="1"/>
  <c r="E65" i="1"/>
  <c r="E59" i="1"/>
  <c r="E54" i="1"/>
  <c r="E58" i="1"/>
  <c r="E31" i="1"/>
  <c r="E60" i="1"/>
  <c r="E23" i="1"/>
  <c r="E10" i="1"/>
  <c r="E15" i="1"/>
  <c r="E28" i="1"/>
  <c r="E36" i="1"/>
  <c r="E19" i="1"/>
  <c r="E66" i="1"/>
  <c r="E67" i="1"/>
  <c r="E47" i="1"/>
  <c r="E49" i="1"/>
  <c r="E20" i="1"/>
  <c r="E18" i="1"/>
  <c r="E26" i="1"/>
  <c r="E62" i="1"/>
  <c r="E34" i="1"/>
  <c r="E21" i="1"/>
  <c r="E48" i="1"/>
  <c r="E14" i="1"/>
  <c r="E29" i="1"/>
  <c r="E63" i="1"/>
  <c r="E42" i="1"/>
  <c r="E33" i="1"/>
  <c r="E12" i="1"/>
  <c r="E64" i="1"/>
  <c r="E9" i="1"/>
  <c r="E68" i="1"/>
  <c r="E37" i="1"/>
  <c r="E51" i="1"/>
  <c r="E71" i="1"/>
  <c r="E11" i="1"/>
  <c r="E70" i="1"/>
  <c r="E43" i="1"/>
  <c r="E56" i="1"/>
  <c r="E57" i="1"/>
  <c r="E32" i="1"/>
  <c r="E40" i="1"/>
  <c r="E35" i="1"/>
  <c r="E61" i="1"/>
</calcChain>
</file>

<file path=xl/sharedStrings.xml><?xml version="1.0" encoding="utf-8"?>
<sst xmlns="http://schemas.openxmlformats.org/spreadsheetml/2006/main" count="387" uniqueCount="162">
  <si>
    <t>Source</t>
  </si>
  <si>
    <t>Co Code</t>
  </si>
  <si>
    <t>Account</t>
  </si>
  <si>
    <t>MAPPED</t>
  </si>
  <si>
    <t>CORE VALUE</t>
  </si>
  <si>
    <t>EXPECTED RESULT</t>
  </si>
  <si>
    <t>Total External</t>
  </si>
  <si>
    <t>None</t>
  </si>
  <si>
    <t>VoIP technologies</t>
  </si>
  <si>
    <t> VoIP, IMS, MPLS, ISDN, PSTN</t>
  </si>
  <si>
    <t>Manufacturing</t>
  </si>
  <si>
    <t>CEXTCE</t>
  </si>
  <si>
    <t>Core Activation Signaling and Protocols</t>
  </si>
  <si>
    <t> SIP, ISDN, Codecs, H.323</t>
  </si>
  <si>
    <t>Billing PO</t>
  </si>
  <si>
    <t>SHORT KEYS</t>
  </si>
  <si>
    <t>Front Porch Digital WWOPS</t>
  </si>
  <si>
    <t>EXT023</t>
  </si>
  <si>
    <t>Core Design Wireless technologies</t>
  </si>
  <si>
    <t> GPRS, CDMA, GSM, UMTS</t>
  </si>
  <si>
    <t>Core Activation</t>
  </si>
  <si>
    <t>11H - Front Porch Digital WWOPS</t>
  </si>
  <si>
    <t>LB011H</t>
  </si>
  <si>
    <t>Mobile Terminology Network Management</t>
  </si>
  <si>
    <t> SNMP</t>
  </si>
  <si>
    <t>Core Design</t>
  </si>
  <si>
    <t>Outgoing Manufacturing</t>
  </si>
  <si>
    <t>Mobile Design Layer 2 Protocols</t>
  </si>
  <si>
    <t> ARP, STP, L2TP, PPP</t>
  </si>
  <si>
    <t>Mobile Terminology</t>
  </si>
  <si>
    <t>15B - Outgoing Manufacturing</t>
  </si>
  <si>
    <t>LB015B</t>
  </si>
  <si>
    <t>Tesing  Layer 3 protocols/routing</t>
  </si>
  <si>
    <t> ICMP, BGP, ISIS, MPLS</t>
  </si>
  <si>
    <t>Mobile Design</t>
  </si>
  <si>
    <t>WWOPS-ACME Packet</t>
  </si>
  <si>
    <t>Testing Offshore  Infrastructure/Security</t>
  </si>
  <si>
    <t> ATM, TCP/IP, LAN/VLAN, SSH</t>
  </si>
  <si>
    <t>Mobile Intergration</t>
  </si>
  <si>
    <t>1AF - WWOPS-ACME Packet</t>
  </si>
  <si>
    <t>LB01AF</t>
  </si>
  <si>
    <t>Acceptance test artifacts</t>
  </si>
  <si>
    <t>Testing Layer</t>
  </si>
  <si>
    <t>WWOPS -Tekelec</t>
  </si>
  <si>
    <t>Integration test artifacts</t>
  </si>
  <si>
    <t>Testing Offshore</t>
  </si>
  <si>
    <t>2BF - WWOPS -Tekelec </t>
  </si>
  <si>
    <t>LB02BF</t>
  </si>
  <si>
    <t>Quality and performance artifacts</t>
  </si>
  <si>
    <t>Carrier</t>
  </si>
  <si>
    <t>WWOPS Micros</t>
  </si>
  <si>
    <t>Functional test artifacts</t>
  </si>
  <si>
    <t>Barrier</t>
  </si>
  <si>
    <t>3GF - WWOPS Micros</t>
  </si>
  <si>
    <t>LB03GF</t>
  </si>
  <si>
    <t>Alpha/Beta test artifacts</t>
  </si>
  <si>
    <t>Manufacturing reclass ext. 023</t>
  </si>
  <si>
    <t>Unit test artifacts</t>
  </si>
  <si>
    <t>41B - Manufacturing reclass ext. 023</t>
  </si>
  <si>
    <t>LB041B</t>
  </si>
  <si>
    <t>WWOPS Tooling NPI</t>
  </si>
  <si>
    <t>5XB - WWOPS Tooling NPI</t>
  </si>
  <si>
    <t>LB05XB</t>
  </si>
  <si>
    <t>Regression, load testing, sanity, etc.</t>
  </si>
  <si>
    <t>WWOPS Tooling Sustaining</t>
  </si>
  <si>
    <t>Interconnection Testing</t>
  </si>
  <si>
    <t>5YB - WWOPS Tooling Sustaining</t>
  </si>
  <si>
    <t>LB05YB</t>
  </si>
  <si>
    <t>Conformance Testing</t>
  </si>
  <si>
    <t>WWOPS Tooling CIP</t>
  </si>
  <si>
    <r>
      <rPr>
        <rFont val="Arial"/>
        <sz val="9.00"/>
        <b/>
        <color rgb="FF222222"/>
        <family val="2"/>
      </rPr>
      <t>Carrier</t>
    </r>
    <r>
      <rPr>
        <rFont val="Arial"/>
        <sz val="9.00"/>
        <color rgb="FF222222"/>
        <family val="2"/>
      </rPr>
      <t xml:space="preserve"> IVR Testing</t>
    </r>
  </si>
  <si>
    <t>5ZB - WWOPS Tooling CIP</t>
  </si>
  <si>
    <t>LB05ZB</t>
  </si>
  <si>
    <t>Performance Testing</t>
  </si>
  <si>
    <t>RHO Administration</t>
  </si>
  <si>
    <t>Security Testing</t>
  </si>
  <si>
    <t>60B - RHO Administration</t>
  </si>
  <si>
    <t>LB060B</t>
  </si>
  <si>
    <t>Interoperability Testing</t>
  </si>
  <si>
    <t>RHO Quality Management Systems</t>
  </si>
  <si>
    <t>Protocol Testing</t>
  </si>
  <si>
    <t>61B - RHO Quality Management Systems</t>
  </si>
  <si>
    <t>LB061B</t>
  </si>
  <si>
    <t>Functional Testing</t>
  </si>
  <si>
    <t>RHO Mechanical Engineering</t>
  </si>
  <si>
    <t>Automation Testing</t>
  </si>
  <si>
    <t>62B - RHO Mechanical Engineering</t>
  </si>
  <si>
    <t>LB062B</t>
  </si>
  <si>
    <t>RHO Wafer Chemical Engineering</t>
  </si>
  <si>
    <t>Core DesignWireless technologies</t>
  </si>
  <si>
    <t>63B - RHO Wafer Chemical Engineering</t>
  </si>
  <si>
    <t>LB063B</t>
  </si>
  <si>
    <t>RHO Wafer Vacuum Process Engineering</t>
  </si>
  <si>
    <t>65B - RHO Wafer Vacuum Process Engineering</t>
  </si>
  <si>
    <t>LB065B</t>
  </si>
  <si>
    <t>RHO Test Development Engineering</t>
  </si>
  <si>
    <t>Carrier VOIP</t>
  </si>
  <si>
    <t>66B - RHO Test Development Engineering</t>
  </si>
  <si>
    <t>LB066B</t>
  </si>
  <si>
    <t>RHO Wafer Manufacturing Maintenance</t>
  </si>
  <si>
    <t>67B - RHO Wafer Manufacturing Maintenance</t>
  </si>
  <si>
    <t>LB067B</t>
  </si>
  <si>
    <t>RHO Wafer Manufacturing</t>
  </si>
  <si>
    <t>68B - RHO Wafer Manufacturing</t>
  </si>
  <si>
    <t>LB068B</t>
  </si>
  <si>
    <t>RHO Supply Chain</t>
  </si>
  <si>
    <t>69B - RHO Supply Chain</t>
  </si>
  <si>
    <t>LB069B</t>
  </si>
  <si>
    <t>SM Admin</t>
  </si>
  <si>
    <t>6FB - SM Admin</t>
  </si>
  <si>
    <t>LB06FB</t>
  </si>
  <si>
    <t>SM JDM/OEM/ODM -Mitac</t>
  </si>
  <si>
    <t>6GB - SM JDM/OEM/ODM -Mitac</t>
  </si>
  <si>
    <t>LB06GB</t>
  </si>
  <si>
    <t>SM EM - Cel,Flex, Hls</t>
  </si>
  <si>
    <t>IVR Testing</t>
  </si>
  <si>
    <t>6HB - SM EM - Cel,Flex, Hls</t>
  </si>
  <si>
    <t>LB06HB</t>
  </si>
  <si>
    <t>Performance Testing</t>
  </si>
  <si>
    <t>SM Memory and Disk (commodities)</t>
  </si>
  <si>
    <t>Security Testing</t>
  </si>
  <si>
    <t>6IB - SM Memory and Disk (commodities)</t>
  </si>
  <si>
    <t>LB06IB</t>
  </si>
  <si>
    <t>SM CPU and Eng</t>
  </si>
  <si>
    <t>Barrier Protocol Testing</t>
  </si>
  <si>
    <t>6JB - SM CPU and Eng</t>
  </si>
  <si>
    <t>LB06JB</t>
  </si>
  <si>
    <t>MFG Admin</t>
  </si>
  <si>
    <t>Automation Testing</t>
  </si>
  <si>
    <t>7IB - MFG Admin</t>
  </si>
  <si>
    <t>LB07IB</t>
  </si>
  <si>
    <t>MFG Internal Manufacturing</t>
  </si>
  <si>
    <t>7OB - MFG Internal Manufacturing</t>
  </si>
  <si>
    <t>LB07OB</t>
  </si>
  <si>
    <t>Stock comp - Manufacturing</t>
  </si>
  <si>
    <t>8BH - Stock comp - Manufacturing</t>
  </si>
  <si>
    <t>LB08BH</t>
  </si>
  <si>
    <t>MFG Customer Ready Solutions (CRS)</t>
  </si>
  <si>
    <t>8OB - MFG Customer Ready Solutions (CRS)</t>
  </si>
  <si>
    <t>LB08OB</t>
  </si>
  <si>
    <t>WWOPS Admin</t>
  </si>
  <si>
    <t>9K9 - WWOPS Admin</t>
  </si>
  <si>
    <t>LB09K9</t>
  </si>
  <si>
    <t>PLT Process Development and Quality</t>
  </si>
  <si>
    <t>9L9 - PLT Process Development and Quality</t>
  </si>
  <si>
    <t>LB09L9</t>
  </si>
  <si>
    <t>PLT Test Engineering</t>
  </si>
  <si>
    <t>9M9 - PLT Test Engineering</t>
  </si>
  <si>
    <t>LB09M9</t>
  </si>
  <si>
    <t>Mobile Integration test artifacts</t>
  </si>
  <si>
    <t>PLT X86 &amp; Storage</t>
  </si>
  <si>
    <t>9N9 - PLT X86 &amp; Storage</t>
  </si>
  <si>
    <t>LB09N9</t>
  </si>
  <si>
    <t>HTP Value Engineering</t>
  </si>
  <si>
    <t>9O9 - HTP Value Engineering</t>
  </si>
  <si>
    <t>LB09O9</t>
  </si>
  <si>
    <t>PLT Admin</t>
  </si>
  <si>
    <t>9P9 - PLT Admin</t>
  </si>
  <si>
    <t>LB09P9</t>
  </si>
  <si>
    <t>PLT Tape &amp; Integrated Products</t>
  </si>
  <si>
    <t>9R9 - PLT Tape &amp; Integrated Products</t>
  </si>
  <si>
    <t>LB09R9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</si>
</sst>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9">
    <font>
      <sz val="11"/>
      <color theme="1"/>
      <name val="Arial"/>
      <family val="2"/>
      <scheme val="minor"/>
    </font>
    <font>
      <name val="Calibri"/>
      <sz val="10.00"/>
      <b/>
      <family val="2"/>
    </font>
    <font>
      <name val="Arial"/>
      <sz val="9.00"/>
      <b/>
      <color rgb="FF222222"/>
      <family val="2"/>
    </font>
    <font>
      <name val="Calibri"/>
      <sz val="10.00"/>
      <color rgb="FF000000"/>
      <family val="2"/>
    </font>
    <font>
      <name val="等线"/>
      <sz val="11.00"/>
      <u val="single"/>
      <color rgb="FF0563c1"/>
      <family val="2"/>
    </font>
    <font>
      <name val="等线"/>
      <sz val="11.00"/>
      <color rgb="FF000000"/>
      <family val="2"/>
    </font>
    <font>
      <name val="等线"/>
      <sz val="11.00"/>
      <b/>
      <color rgb="FFFFFFFF"/>
      <family val="2"/>
    </font>
    <font>
      <name val="Arial"/>
      <sz val="9.00"/>
      <color rgb="FF222222"/>
      <family val="2"/>
    </font>
    <font>
      <name val="等线"/>
      <sz val="11.00"/>
      <u val="single"/>
      <color rgb="FF0563C1"/>
      <family val="2"/>
    </font>
  </fonts>
  <fills count="7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4">
    <xf numFmtId="0" fontId="0" fillId="0" borderId="0"/>
    <xf numFmtId="1" applyNumberFormat="1" fontId="1" applyFont="1" fillId="2" applyFill="1" borderId="1" applyBorder="1" applyAlignment="1">
      <alignment vertical="top" horizontal="left"/>
    </xf>
    <xf numFmtId="1" applyNumberFormat="1" fontId="2" applyFont="1" fillId="3" applyFill="1" applyAlignment="1">
      <alignment vertical="center" horizontal="left" wrapText="1"/>
    </xf>
    <xf numFmtId="1" applyNumberFormat="1" fontId="3" applyFont="1" fillId="4" applyFill="1" borderId="2" applyBorder="1" applyAlignment="1">
      <alignment vertical="top" horizontal="left"/>
    </xf>
    <xf numFmtId="1" applyNumberFormat="1" fontId="4" applyFont="1" applyAlignment="1">
      <alignment vertical="center" horizontal="left" wrapText="1"/>
    </xf>
    <xf numFmtId="1" applyNumberFormat="1" fontId="5" applyFont="1" applyAlignment="1">
      <alignment/>
    </xf>
    <xf numFmtId="1" applyNumberFormat="1" fontId="5" applyFont="1" applyAlignment="1">
      <alignment/>
    </xf>
    <xf numFmtId="1" applyNumberFormat="1" fontId="6" applyFont="1" fillId="5" applyFill="1" applyAlignment="1">
      <alignment/>
    </xf>
    <xf numFmtId="1" applyNumberFormat="1" fontId="7" applyFont="1" fillId="3" applyFill="1" applyAlignment="1">
      <alignment vertical="center" horizontal="left" wrapText="1"/>
    </xf>
    <xf numFmtId="1" applyNumberFormat="1" fontId="5" applyFont="1" fillId="3" applyFill="1" applyAlignment="1">
      <alignment/>
    </xf>
    <xf numFmtId="1" applyNumberFormat="1" fontId="6" applyFont="1" fillId="6" applyFill="1" applyAlignment="1">
      <alignment/>
    </xf>
    <xf numFmtId="1" applyNumberFormat="1" fontId="3" applyFont="1" fillId="4" applyFill="1" borderId="2" applyBorder="1" applyAlignment="1">
      <alignment vertical="top" horizontal="right"/>
    </xf>
    <xf numFmtId="1" applyNumberFormat="1" fontId="7" applyFont="1" applyAlignment="1">
      <alignment vertical="center" horizontal="left" wrapText="1"/>
    </xf>
    <xf numFmtId="1" applyNumberFormat="1" fontId="8" applyFont="1" applyAlignment="1">
      <alignment vertical="center" horizontal="left" wrapText="1"/>
    </xf>
  </cellStyleXfs>
  <cellXfs count="14">
    <xf numFmtId="0" fontId="0" fillId="0" borderId="0" xfId="0"/>
    <xf xfId="3" quotePrefix="0" pivotButton="0" numFmtId="1" applyNumberFormat="1" fontId="3" applyFont="1" fillId="4" applyFill="1" borderId="2" applyBorder="1" applyAlignment="1">
      <alignment vertical="top" horizontal="left"/>
    </xf>
    <xf xfId="11" quotePrefix="0" pivotButton="0" numFmtId="1" applyNumberFormat="1" fontId="3" applyFont="1" fillId="4" applyFill="1" borderId="2" applyBorder="1" applyAlignment="1">
      <alignment vertical="top" horizontal="right"/>
    </xf>
    <xf xfId="1" quotePrefix="0" pivotButton="0" numFmtId="1" applyNumberFormat="1" fontId="1" applyFont="1" fillId="2" applyFill="1" borderId="1" applyBorder="1" applyAlignment="1">
      <alignment vertical="top" horizontal="left"/>
    </xf>
    <xf xfId="10" quotePrefix="0" pivotButton="0" numFmtId="1" applyNumberFormat="1" fontId="6" applyFont="1" fillId="6" applyFill="1" applyAlignment="1">
      <alignment/>
    </xf>
    <xf xfId="6" quotePrefix="0" pivotButton="0" numFmtId="1" applyNumberFormat="1" fontId="5" applyFont="1" applyAlignment="1">
      <alignment/>
    </xf>
    <xf xfId="5" quotePrefix="0" pivotButton="0" numFmtId="1" applyNumberFormat="1" fontId="5" applyFont="1" applyAlignment="1">
      <alignment/>
    </xf>
    <xf xfId="2" quotePrefix="0" pivotButton="0" numFmtId="1" applyNumberFormat="1" fontId="2" applyFont="1" fillId="3" applyFill="1" applyAlignment="1">
      <alignment vertical="center" horizontal="left" wrapText="1"/>
    </xf>
    <xf xfId="7" quotePrefix="0" pivotButton="0" numFmtId="1" applyNumberFormat="1" fontId="6" applyFont="1" fillId="5" applyFill="1" applyAlignment="1">
      <alignment/>
    </xf>
    <xf xfId="12" quotePrefix="0" pivotButton="0" numFmtId="1" applyNumberFormat="1" fontId="7" applyFont="1" applyAlignment="1">
      <alignment vertical="center" horizontal="left" wrapText="1"/>
    </xf>
    <xf xfId="8" quotePrefix="0" pivotButton="0" numFmtId="1" applyNumberFormat="1" fontId="7" applyFont="1" fillId="3" applyFill="1" applyAlignment="1">
      <alignment vertical="center" horizontal="left" wrapText="1"/>
    </xf>
    <xf xfId="4" quotePrefix="0" pivotButton="0" numFmtId="1" applyNumberFormat="1" fontId="4" applyFont="1" applyAlignment="1">
      <alignment vertical="center" horizontal="left" wrapText="1"/>
    </xf>
    <xf xfId="9" quotePrefix="0" pivotButton="0" numFmtId="1" applyNumberFormat="1" fontId="5" applyFont="1" fillId="3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https://www.guru99.com/what-is-security-testing.html" TargetMode="External"/>
<Relationship Id="rId2" Type="http://schemas.openxmlformats.org/officeDocument/2006/relationships/hyperlink" Target="https://www.guru99.com/automation-testing.html" TargetMode="External"/>
<Relationship Id="rId3" Type="http://schemas.openxmlformats.org/officeDocument/2006/relationships/hyperlink" Target="https://www.guru99.com/performance-testing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4" max="4" width="44.65" customWidth="1" hidden="0"/>
    <col min="5" max="5" width="24.78" customWidth="1" hidden="0"/>
    <col min="6" max="6" width="15.70" customWidth="1" hidden="0"/>
    <col min="9" max="9" width="17.33" customWidth="1" hidden="0"/>
  </cols>
  <sheetData>
    <row r="1" ht="14.00" customHeight="true">
      <c r="A1" t="s" s="1">
        <v>0</v>
      </c>
      <c r="B1" t="s" s="1">
        <v>1</v>
      </c>
      <c r="C1" t="s" s="2">
        <v>2</v>
      </c>
      <c r="D1" t="s" s="3">
        <v>3</v>
      </c>
      <c r="E1" t="s" s="3">
        <v>4</v>
      </c>
      <c r="F1" t="s" s="4">
        <v>5</v>
      </c>
    </row>
    <row r="2" ht="14.00" customHeight="true">
      <c r="A2" t="s" s="5">
        <v>6</v>
      </c>
      <c r="B2" t="s" s="5">
        <v>7</v>
      </c>
      <c r="C2" t="s" s="5">
        <v>7</v>
      </c>
      <c r="D2" t="s" s="6">
        <v>8</v>
      </c>
      <c r="E2" t="s" s="6">
        <v>9</v>
      </c>
    </row>
    <row r="3" ht="14.00" customHeight="true">
      <c r="A3" t="s" s="5">
        <v>10</v>
      </c>
      <c r="B3" t="s" s="5">
        <v>11</v>
      </c>
      <c r="C3" t="s" s="5">
        <v>6</v>
      </c>
      <c r="D3" t="s" s="7">
        <v>12</v>
      </c>
      <c r="E3" t="s" s="6">
        <v>13</v>
      </c>
      <c r="F3" t="s" s="6">
        <v>14</v>
      </c>
      <c r="I3" t="s" s="4">
        <v>15</v>
      </c>
    </row>
    <row r="4" ht="14.00" customHeight="true">
      <c r="A4" t="s" s="5">
        <v>16</v>
      </c>
      <c r="B4" t="s" s="5">
        <v>17</v>
      </c>
      <c r="C4" t="s" s="5">
        <v>10</v>
      </c>
      <c r="D4" t="s" s="7">
        <v>18</v>
      </c>
      <c r="E4" t="s" s="6">
        <v>19</v>
      </c>
      <c r="F4" t="s" s="6">
        <v>14</v>
      </c>
      <c r="I4" t="s" s="8">
        <v>20</v>
      </c>
    </row>
    <row r="5" ht="14.00" customHeight="true">
      <c r="A5" t="s" s="5">
        <v>21</v>
      </c>
      <c r="B5" t="s" s="5">
        <v>22</v>
      </c>
      <c r="C5" t="s" s="5">
        <v>16</v>
      </c>
      <c r="D5" t="s" s="7">
        <v>23</v>
      </c>
      <c r="E5" t="s" s="6">
        <v>24</v>
      </c>
      <c r="F5" t="s" s="6">
        <v>14</v>
      </c>
      <c r="I5" t="s" s="8">
        <v>25</v>
      </c>
    </row>
    <row r="6" ht="14.00" customHeight="true">
      <c r="A6" t="s" s="5">
        <v>26</v>
      </c>
      <c r="B6" t="s" s="5">
        <v>17</v>
      </c>
      <c r="C6" t="s" s="5">
        <v>10</v>
      </c>
      <c r="D6" t="s" s="7">
        <v>27</v>
      </c>
      <c r="E6" t="s" s="6">
        <v>28</v>
      </c>
      <c r="F6" t="s" s="6">
        <v>14</v>
      </c>
      <c r="I6" t="s" s="8">
        <v>29</v>
      </c>
    </row>
    <row r="7" ht="14.00" customHeight="true">
      <c r="A7" t="s" s="5">
        <v>30</v>
      </c>
      <c r="B7" t="s" s="5">
        <v>31</v>
      </c>
      <c r="C7" t="s" s="5">
        <v>26</v>
      </c>
      <c r="D7" t="s" s="7">
        <v>32</v>
      </c>
      <c r="E7" t="s" s="6">
        <v>33</v>
      </c>
      <c r="F7" t="s" s="6">
        <v>14</v>
      </c>
      <c r="I7" t="s" s="8">
        <v>34</v>
      </c>
    </row>
    <row r="8" ht="14.00" customHeight="true">
      <c r="A8" t="s" s="5">
        <v>35</v>
      </c>
      <c r="B8" t="s" s="5">
        <v>17</v>
      </c>
      <c r="C8" t="s" s="5">
        <v>10</v>
      </c>
      <c r="D8" t="s" s="7">
        <v>36</v>
      </c>
      <c r="E8" t="s" s="6">
        <v>37</v>
      </c>
      <c r="F8" t="s" s="6">
        <v>14</v>
      </c>
      <c r="I8" t="s" s="8">
        <v>38</v>
      </c>
    </row>
    <row r="9" ht="14.00" customHeight="true">
      <c r="A9" t="s" s="5">
        <v>39</v>
      </c>
      <c r="B9" t="s" s="5">
        <v>40</v>
      </c>
      <c r="C9" t="s" s="5">
        <v>35</v>
      </c>
      <c r="D9" t="s" s="9">
        <v>41</v>
      </c>
      <c r="E9" s="6" t="s">
        <f>E2</f>
        <v>9</v>
      </c>
      <c r="I9" t="s" s="8">
        <v>42</v>
      </c>
    </row>
    <row r="10" ht="14.00" customHeight="true">
      <c r="A10" t="s" s="5">
        <v>43</v>
      </c>
      <c r="B10" t="s" s="5">
        <v>17</v>
      </c>
      <c r="C10" t="s" s="5">
        <v>10</v>
      </c>
      <c r="D10" t="s" s="9">
        <v>44</v>
      </c>
      <c r="E10" s="6" t="s">
        <f ref="E10:E71" t="shared" si="0">E3</f>
        <v>13</v>
      </c>
      <c r="I10" t="s" s="8">
        <v>45</v>
      </c>
    </row>
    <row r="11" ht="14.00" customHeight="true">
      <c r="A11" t="s" s="5">
        <v>46</v>
      </c>
      <c r="B11" t="s" s="5">
        <v>47</v>
      </c>
      <c r="C11" t="s" s="5">
        <v>43</v>
      </c>
      <c r="D11" t="s" s="9">
        <v>48</v>
      </c>
      <c r="E11" s="6" t="s">
        <f t="shared" si="0"/>
        <v>19</v>
      </c>
      <c r="I11" t="s" s="8">
        <v>49</v>
      </c>
    </row>
    <row r="12" ht="14.00" customHeight="true">
      <c r="A12" t="s" s="5">
        <v>50</v>
      </c>
      <c r="B12" t="s" s="5">
        <v>17</v>
      </c>
      <c r="C12" t="s" s="5">
        <v>10</v>
      </c>
      <c r="D12" t="s" s="9">
        <v>51</v>
      </c>
      <c r="E12" s="6" t="s">
        <f t="shared" si="0"/>
        <v>24</v>
      </c>
      <c r="I12" t="s" s="8">
        <v>52</v>
      </c>
    </row>
    <row r="13" ht="14.00" customHeight="true">
      <c r="A13" t="s" s="5">
        <v>53</v>
      </c>
      <c r="B13" t="s" s="5">
        <v>54</v>
      </c>
      <c r="C13" t="s" s="5">
        <v>50</v>
      </c>
      <c r="D13" t="s" s="9">
        <v>55</v>
      </c>
      <c r="E13" s="6" t="s">
        <f t="shared" si="0"/>
        <v>28</v>
      </c>
    </row>
    <row r="14" ht="14.00" customHeight="true">
      <c r="A14" t="s" s="5">
        <v>56</v>
      </c>
      <c r="B14" t="s" s="5">
        <v>17</v>
      </c>
      <c r="C14" t="s" s="5">
        <v>10</v>
      </c>
      <c r="D14" t="s" s="9">
        <v>57</v>
      </c>
      <c r="E14" s="6" t="s">
        <f t="shared" si="0"/>
        <v>33</v>
      </c>
    </row>
    <row r="15" ht="14.00" customHeight="true">
      <c r="A15" t="s" s="5">
        <v>58</v>
      </c>
      <c r="B15" t="s" s="5">
        <v>59</v>
      </c>
      <c r="C15" t="s" s="5">
        <v>56</v>
      </c>
      <c r="D15" t="s" s="9">
        <v>44</v>
      </c>
      <c r="E15" s="6" t="s">
        <f t="shared" si="0"/>
        <v>37</v>
      </c>
    </row>
    <row r="16" ht="14.00" customHeight="true">
      <c r="A16" t="s" s="5">
        <v>60</v>
      </c>
      <c r="B16" t="s" s="5">
        <v>17</v>
      </c>
      <c r="C16" t="s" s="5">
        <v>10</v>
      </c>
      <c r="D16" t="s" s="9">
        <v>48</v>
      </c>
      <c r="E16" s="6" t="s">
        <f t="shared" si="0"/>
        <v>9</v>
      </c>
    </row>
    <row r="17" ht="14.00" customHeight="true">
      <c r="A17" t="s" s="5">
        <v>61</v>
      </c>
      <c r="B17" t="s" s="5">
        <v>62</v>
      </c>
      <c r="C17" t="s" s="5">
        <v>60</v>
      </c>
      <c r="D17" t="s" s="9">
        <v>63</v>
      </c>
      <c r="E17" s="6" t="s">
        <f t="shared" si="0"/>
        <v>13</v>
      </c>
    </row>
    <row r="18" ht="14.00" customHeight="true">
      <c r="A18" t="s" s="5">
        <v>64</v>
      </c>
      <c r="B18" t="s" s="5">
        <v>17</v>
      </c>
      <c r="C18" t="s" s="5">
        <v>10</v>
      </c>
      <c r="D18" t="s" s="9">
        <v>65</v>
      </c>
      <c r="E18" s="6" t="s">
        <f t="shared" si="0"/>
        <v>19</v>
      </c>
    </row>
    <row r="19" ht="14.00" customHeight="true">
      <c r="A19" t="s" s="5">
        <v>66</v>
      </c>
      <c r="B19" t="s" s="5">
        <v>67</v>
      </c>
      <c r="C19" t="s" s="5">
        <v>64</v>
      </c>
      <c r="D19" t="s" s="9">
        <v>68</v>
      </c>
      <c r="E19" s="6" t="s">
        <f t="shared" si="0"/>
        <v>24</v>
      </c>
    </row>
    <row r="20" ht="14.00" customHeight="true">
      <c r="A20" t="s" s="5">
        <v>69</v>
      </c>
      <c r="B20" t="s" s="5">
        <v>17</v>
      </c>
      <c r="C20" t="s" s="5">
        <v>10</v>
      </c>
      <c r="D20" t="s" s="10">
        <v>70</v>
      </c>
      <c r="E20" s="6" t="s">
        <f t="shared" si="0"/>
        <v>28</v>
      </c>
      <c r="F20" t="s" s="6">
        <v>14</v>
      </c>
    </row>
    <row r="21" ht="14.00" customHeight="true">
      <c r="A21" t="s" s="5">
        <v>71</v>
      </c>
      <c r="B21" t="s" s="5">
        <v>72</v>
      </c>
      <c r="C21" t="s" s="5">
        <v>69</v>
      </c>
      <c r="D21" t="s" s="11">
        <v>73</v>
      </c>
      <c r="E21" s="6" t="s">
        <f t="shared" si="0"/>
        <v>33</v>
      </c>
    </row>
    <row r="22" ht="14.00" customHeight="true">
      <c r="A22" t="s" s="5">
        <v>74</v>
      </c>
      <c r="B22" t="s" s="5">
        <v>17</v>
      </c>
      <c r="C22" t="s" s="5">
        <v>10</v>
      </c>
      <c r="D22" t="s" s="11">
        <v>75</v>
      </c>
      <c r="E22" s="6" t="s">
        <f t="shared" si="0"/>
        <v>37</v>
      </c>
    </row>
    <row r="23" ht="14.00" customHeight="true">
      <c r="A23" t="s" s="5">
        <v>76</v>
      </c>
      <c r="B23" t="s" s="5">
        <v>77</v>
      </c>
      <c r="C23" t="s" s="5">
        <v>74</v>
      </c>
      <c r="D23" t="s" s="9">
        <v>78</v>
      </c>
      <c r="E23" s="6" t="s">
        <f t="shared" si="0"/>
        <v>9</v>
      </c>
    </row>
    <row r="24" ht="14.00" customHeight="true">
      <c r="A24" t="s" s="5">
        <v>79</v>
      </c>
      <c r="B24" t="s" s="5">
        <v>17</v>
      </c>
      <c r="C24" t="s" s="5">
        <v>10</v>
      </c>
      <c r="D24" t="s" s="9">
        <v>80</v>
      </c>
      <c r="E24" s="6" t="s">
        <f t="shared" si="0"/>
        <v>13</v>
      </c>
    </row>
    <row r="25" ht="14.00" customHeight="true">
      <c r="A25" t="s" s="5">
        <v>81</v>
      </c>
      <c r="B25" t="s" s="5">
        <v>82</v>
      </c>
      <c r="C25" t="s" s="5">
        <v>79</v>
      </c>
      <c r="D25" t="s" s="9">
        <v>83</v>
      </c>
      <c r="E25" s="6" t="s">
        <f t="shared" si="0"/>
        <v>19</v>
      </c>
    </row>
    <row r="26" ht="14.00" customHeight="true">
      <c r="A26" t="s" s="5">
        <v>84</v>
      </c>
      <c r="B26" t="s" s="5">
        <v>17</v>
      </c>
      <c r="C26" t="s" s="5">
        <v>10</v>
      </c>
      <c r="D26" t="s" s="11">
        <v>85</v>
      </c>
      <c r="E26" s="6" t="s">
        <f t="shared" si="0"/>
        <v>24</v>
      </c>
    </row>
    <row r="27" ht="14.00" customHeight="true">
      <c r="A27" t="s" s="5">
        <v>86</v>
      </c>
      <c r="B27" t="s" s="5">
        <v>87</v>
      </c>
      <c r="C27" t="s" s="5">
        <v>84</v>
      </c>
      <c r="D27" t="s" s="12">
        <v>12</v>
      </c>
      <c r="E27" s="6" t="s">
        <f t="shared" si="0"/>
        <v>28</v>
      </c>
      <c r="F27" t="s" s="6">
        <v>14</v>
      </c>
    </row>
    <row r="28" ht="14.00" customHeight="true">
      <c r="A28" t="s" s="5">
        <v>88</v>
      </c>
      <c r="B28" t="s" s="5">
        <v>17</v>
      </c>
      <c r="C28" t="s" s="5">
        <v>10</v>
      </c>
      <c r="D28" t="s" s="12">
        <v>89</v>
      </c>
      <c r="E28" s="6" t="s">
        <f t="shared" si="0"/>
        <v>33</v>
      </c>
      <c r="F28" t="s" s="6">
        <v>14</v>
      </c>
    </row>
    <row r="29" ht="14.00" customHeight="true">
      <c r="A29" t="s" s="5">
        <v>90</v>
      </c>
      <c r="B29" t="s" s="5">
        <v>91</v>
      </c>
      <c r="C29" t="s" s="5">
        <v>88</v>
      </c>
      <c r="D29" t="s" s="12">
        <v>23</v>
      </c>
      <c r="E29" s="6" t="s">
        <f t="shared" si="0"/>
        <v>37</v>
      </c>
      <c r="F29" t="s" s="6">
        <v>14</v>
      </c>
    </row>
    <row r="30" ht="14.00" customHeight="true">
      <c r="A30" t="s" s="5">
        <v>92</v>
      </c>
      <c r="B30" t="s" s="5">
        <v>17</v>
      </c>
      <c r="C30" t="s" s="5">
        <v>10</v>
      </c>
      <c r="D30" t="s" s="12">
        <v>27</v>
      </c>
      <c r="E30" s="6" t="s">
        <f t="shared" si="0"/>
        <v>9</v>
      </c>
      <c r="F30" t="s" s="6">
        <v>14</v>
      </c>
    </row>
    <row r="31" ht="14.00" customHeight="true">
      <c r="A31" t="s" s="5">
        <v>93</v>
      </c>
      <c r="B31" t="s" s="5">
        <v>94</v>
      </c>
      <c r="C31" t="s" s="5">
        <v>92</v>
      </c>
      <c r="D31" t="s" s="12">
        <v>32</v>
      </c>
      <c r="E31" s="6" t="s">
        <f t="shared" si="0"/>
        <v>13</v>
      </c>
      <c r="F31" t="s" s="6">
        <v>14</v>
      </c>
    </row>
    <row r="32" ht="14.00" customHeight="true">
      <c r="A32" t="s" s="5">
        <v>95</v>
      </c>
      <c r="B32" t="s" s="5">
        <v>17</v>
      </c>
      <c r="C32" t="s" s="5">
        <v>10</v>
      </c>
      <c r="D32" t="s" s="12">
        <v>96</v>
      </c>
      <c r="E32" s="6" t="s">
        <f t="shared" si="0"/>
        <v>19</v>
      </c>
      <c r="F32" t="s" s="6">
        <v>14</v>
      </c>
    </row>
    <row r="33" ht="14.00" customHeight="true">
      <c r="A33" t="s" s="5">
        <v>97</v>
      </c>
      <c r="B33" t="s" s="5">
        <v>98</v>
      </c>
      <c r="C33" t="s" s="5">
        <v>95</v>
      </c>
      <c r="D33" t="s" s="6">
        <v>41</v>
      </c>
      <c r="E33" s="6" t="s">
        <f t="shared" si="0"/>
        <v>24</v>
      </c>
    </row>
    <row r="34" ht="14.00" customHeight="true">
      <c r="A34" t="s" s="5">
        <v>99</v>
      </c>
      <c r="B34" t="s" s="5">
        <v>17</v>
      </c>
      <c r="C34" t="s" s="5">
        <v>10</v>
      </c>
      <c r="D34" t="s" s="6">
        <v>44</v>
      </c>
      <c r="E34" s="6" t="s">
        <f t="shared" si="0"/>
        <v>28</v>
      </c>
    </row>
    <row r="35" ht="14.00" customHeight="true">
      <c r="A35" t="s" s="5">
        <v>100</v>
      </c>
      <c r="B35" t="s" s="5">
        <v>101</v>
      </c>
      <c r="C35" t="s" s="5">
        <v>99</v>
      </c>
      <c r="D35" t="s" s="6">
        <v>48</v>
      </c>
      <c r="E35" s="6" t="s">
        <f t="shared" si="0"/>
        <v>33</v>
      </c>
    </row>
    <row r="36" ht="14.00" customHeight="true">
      <c r="A36" t="s" s="5">
        <v>102</v>
      </c>
      <c r="B36" t="s" s="5">
        <v>17</v>
      </c>
      <c r="C36" t="s" s="5">
        <v>10</v>
      </c>
      <c r="D36" t="s" s="6">
        <v>51</v>
      </c>
      <c r="E36" s="6" t="s">
        <f t="shared" si="0"/>
        <v>37</v>
      </c>
    </row>
    <row r="37" ht="14.00" customHeight="true">
      <c r="A37" t="s" s="5">
        <v>103</v>
      </c>
      <c r="B37" t="s" s="5">
        <v>104</v>
      </c>
      <c r="C37" t="s" s="5">
        <v>102</v>
      </c>
      <c r="D37" t="s" s="6">
        <v>55</v>
      </c>
      <c r="E37" s="6" t="s">
        <f t="shared" si="0"/>
        <v>9</v>
      </c>
    </row>
    <row r="38" ht="14.00" customHeight="true">
      <c r="A38" t="s" s="5">
        <v>105</v>
      </c>
      <c r="B38" t="s" s="5">
        <v>17</v>
      </c>
      <c r="C38" t="s" s="5">
        <v>10</v>
      </c>
      <c r="D38" t="s" s="6">
        <v>57</v>
      </c>
      <c r="E38" s="6" t="s">
        <f t="shared" si="0"/>
        <v>13</v>
      </c>
    </row>
    <row r="39" ht="14.00" customHeight="true">
      <c r="A39" t="s" s="5">
        <v>106</v>
      </c>
      <c r="B39" t="s" s="5">
        <v>107</v>
      </c>
      <c r="C39" t="s" s="5">
        <v>105</v>
      </c>
      <c r="D39" t="s" s="6">
        <v>44</v>
      </c>
      <c r="E39" s="6" t="s">
        <f t="shared" si="0"/>
        <v>19</v>
      </c>
    </row>
    <row r="40" ht="14.00" customHeight="true">
      <c r="A40" t="s" s="5">
        <v>108</v>
      </c>
      <c r="B40" t="s" s="5">
        <v>17</v>
      </c>
      <c r="C40" t="s" s="5">
        <v>10</v>
      </c>
      <c r="D40" t="s" s="6">
        <v>48</v>
      </c>
      <c r="E40" s="6" t="s">
        <f t="shared" si="0"/>
        <v>24</v>
      </c>
    </row>
    <row r="41" ht="14.00" customHeight="true">
      <c r="A41" t="s" s="5">
        <v>109</v>
      </c>
      <c r="B41" t="s" s="5">
        <v>110</v>
      </c>
      <c r="C41" t="s" s="5">
        <v>108</v>
      </c>
      <c r="D41" t="s" s="6">
        <v>63</v>
      </c>
      <c r="E41" s="6" t="s">
        <f t="shared" si="0"/>
        <v>28</v>
      </c>
    </row>
    <row r="42" ht="14.00" customHeight="true">
      <c r="A42" t="s" s="5">
        <v>111</v>
      </c>
      <c r="B42" t="s" s="5">
        <v>17</v>
      </c>
      <c r="C42" t="s" s="5">
        <v>10</v>
      </c>
      <c r="D42" t="s" s="6">
        <v>65</v>
      </c>
      <c r="E42" s="6" t="s">
        <f t="shared" si="0"/>
        <v>33</v>
      </c>
    </row>
    <row r="43" ht="14.00" customHeight="true">
      <c r="A43" t="s" s="5">
        <v>112</v>
      </c>
      <c r="B43" t="s" s="5">
        <v>113</v>
      </c>
      <c r="C43" t="s" s="5">
        <v>111</v>
      </c>
      <c r="D43" t="s" s="6">
        <v>68</v>
      </c>
      <c r="E43" s="6" t="s">
        <f t="shared" si="0"/>
        <v>37</v>
      </c>
    </row>
    <row r="44" ht="14.00" customHeight="true">
      <c r="A44" t="s" s="5">
        <v>114</v>
      </c>
      <c r="B44" t="s" s="5">
        <v>17</v>
      </c>
      <c r="C44" t="s" s="5">
        <v>10</v>
      </c>
      <c r="D44" t="s" s="6">
        <v>115</v>
      </c>
      <c r="E44" s="6" t="s">
        <f t="shared" si="0"/>
        <v>9</v>
      </c>
    </row>
    <row r="45" ht="14.00" customHeight="true">
      <c r="A45" t="s" s="5">
        <v>116</v>
      </c>
      <c r="B45" t="s" s="5">
        <v>117</v>
      </c>
      <c r="C45" t="s" s="5">
        <v>114</v>
      </c>
      <c r="D45" t="s" s="6">
        <v>118</v>
      </c>
      <c r="E45" s="6" t="s">
        <f t="shared" si="0"/>
        <v>13</v>
      </c>
    </row>
    <row r="46" ht="14.00" customHeight="true">
      <c r="A46" t="s" s="5">
        <v>119</v>
      </c>
      <c r="B46" t="s" s="5">
        <v>17</v>
      </c>
      <c r="C46" t="s" s="5">
        <v>10</v>
      </c>
      <c r="D46" t="s" s="6">
        <v>120</v>
      </c>
      <c r="E46" s="6" t="s">
        <f t="shared" si="0"/>
        <v>19</v>
      </c>
    </row>
    <row r="47" ht="14.00" customHeight="true">
      <c r="A47" t="s" s="5">
        <v>121</v>
      </c>
      <c r="B47" t="s" s="5">
        <v>122</v>
      </c>
      <c r="C47" t="s" s="5">
        <v>119</v>
      </c>
      <c r="D47" t="s" s="6">
        <v>78</v>
      </c>
      <c r="E47" s="6" t="s">
        <f t="shared" si="0"/>
        <v>24</v>
      </c>
    </row>
    <row r="48" ht="14.00" customHeight="true">
      <c r="A48" t="s" s="5">
        <v>123</v>
      </c>
      <c r="B48" t="s" s="5">
        <v>17</v>
      </c>
      <c r="C48" t="s" s="5">
        <v>10</v>
      </c>
      <c r="D48" t="s" s="12">
        <v>124</v>
      </c>
      <c r="E48" s="6" t="s">
        <f t="shared" si="0"/>
        <v>28</v>
      </c>
      <c r="F48" t="s" s="13">
        <v>14</v>
      </c>
    </row>
    <row r="49" ht="14.00" customHeight="true">
      <c r="A49" t="s" s="5">
        <v>125</v>
      </c>
      <c r="B49" t="s" s="5">
        <v>126</v>
      </c>
      <c r="C49" t="s" s="5">
        <v>123</v>
      </c>
      <c r="D49" t="s" s="6">
        <v>83</v>
      </c>
      <c r="E49" s="6" t="s">
        <f t="shared" si="0"/>
        <v>33</v>
      </c>
    </row>
    <row r="50" ht="14.00" customHeight="true">
      <c r="A50" t="s" s="5">
        <v>127</v>
      </c>
      <c r="B50" t="s" s="5">
        <v>17</v>
      </c>
      <c r="C50" t="s" s="5">
        <v>10</v>
      </c>
      <c r="D50" t="s" s="6">
        <v>128</v>
      </c>
      <c r="E50" s="6" t="s">
        <f t="shared" si="0"/>
        <v>37</v>
      </c>
    </row>
    <row r="51" ht="14.00" customHeight="true">
      <c r="A51" t="s" s="5">
        <v>129</v>
      </c>
      <c r="B51" t="s" s="5">
        <v>130</v>
      </c>
      <c r="C51" t="s" s="5">
        <v>127</v>
      </c>
      <c r="D51" t="s" s="12">
        <v>12</v>
      </c>
      <c r="E51" s="6" t="s">
        <f t="shared" si="0"/>
        <v>9</v>
      </c>
      <c r="F51" t="s" s="13">
        <v>14</v>
      </c>
    </row>
    <row r="52" ht="14.00" customHeight="true">
      <c r="A52" t="s" s="5">
        <v>131</v>
      </c>
      <c r="B52" t="s" s="5">
        <v>17</v>
      </c>
      <c r="C52" t="s" s="5">
        <v>10</v>
      </c>
      <c r="D52" t="s" s="12">
        <v>89</v>
      </c>
      <c r="E52" s="6" t="s">
        <f t="shared" si="0"/>
        <v>13</v>
      </c>
      <c r="F52" t="s" s="13">
        <v>14</v>
      </c>
    </row>
    <row r="53" ht="14.00" customHeight="true">
      <c r="A53" t="s" s="5">
        <v>132</v>
      </c>
      <c r="B53" t="s" s="5">
        <v>133</v>
      </c>
      <c r="C53" t="s" s="5">
        <v>131</v>
      </c>
      <c r="D53" t="s" s="12">
        <v>23</v>
      </c>
      <c r="E53" s="6" t="s">
        <f t="shared" si="0"/>
        <v>19</v>
      </c>
      <c r="F53" t="s" s="13">
        <v>14</v>
      </c>
    </row>
    <row r="54" ht="14.00" customHeight="true">
      <c r="A54" t="s" s="5">
        <v>134</v>
      </c>
      <c r="B54" t="s" s="5">
        <v>17</v>
      </c>
      <c r="C54" t="s" s="5">
        <v>10</v>
      </c>
      <c r="D54" t="s" s="12">
        <v>27</v>
      </c>
      <c r="E54" s="6" t="s">
        <f t="shared" si="0"/>
        <v>24</v>
      </c>
      <c r="F54" t="s" s="13">
        <v>14</v>
      </c>
    </row>
    <row r="55" ht="14.00" customHeight="true">
      <c r="A55" t="s" s="5">
        <v>135</v>
      </c>
      <c r="B55" t="s" s="5">
        <v>136</v>
      </c>
      <c r="C55" t="s" s="5">
        <v>134</v>
      </c>
      <c r="D55" t="s" s="12">
        <v>32</v>
      </c>
      <c r="E55" s="6" t="s">
        <f t="shared" si="0"/>
        <v>28</v>
      </c>
      <c r="F55" t="s" s="13">
        <v>14</v>
      </c>
    </row>
    <row r="56" ht="14.00" customHeight="true">
      <c r="A56" t="s" s="5">
        <v>137</v>
      </c>
      <c r="B56" t="s" s="5">
        <v>17</v>
      </c>
      <c r="C56" t="s" s="5">
        <v>10</v>
      </c>
      <c r="D56" t="s" s="12">
        <v>36</v>
      </c>
      <c r="E56" s="6" t="s">
        <f t="shared" si="0"/>
        <v>33</v>
      </c>
      <c r="F56" t="s" s="13">
        <v>14</v>
      </c>
    </row>
    <row r="57" ht="14.00" customHeight="true">
      <c r="A57" t="s" s="5">
        <v>138</v>
      </c>
      <c r="B57" t="s" s="5">
        <v>139</v>
      </c>
      <c r="C57" t="s" s="5">
        <v>137</v>
      </c>
      <c r="D57" t="s" s="6">
        <v>41</v>
      </c>
      <c r="E57" s="6" t="s">
        <f t="shared" si="0"/>
        <v>37</v>
      </c>
    </row>
    <row r="58" ht="14.00" customHeight="true">
      <c r="A58" t="s" s="5">
        <v>140</v>
      </c>
      <c r="B58" t="s" s="5">
        <v>17</v>
      </c>
      <c r="C58" t="s" s="5">
        <v>10</v>
      </c>
      <c r="D58" t="s" s="6">
        <v>44</v>
      </c>
      <c r="E58" s="6" t="s">
        <f t="shared" si="0"/>
        <v>9</v>
      </c>
    </row>
    <row r="59" ht="14.00" customHeight="true">
      <c r="A59" t="s" s="5">
        <v>141</v>
      </c>
      <c r="B59" t="s" s="5">
        <v>142</v>
      </c>
      <c r="C59" t="s" s="5">
        <v>140</v>
      </c>
      <c r="D59" t="s" s="6">
        <v>48</v>
      </c>
      <c r="E59" s="6" t="s">
        <f t="shared" si="0"/>
        <v>13</v>
      </c>
    </row>
    <row r="60" ht="14.00" customHeight="true">
      <c r="A60" t="s" s="5">
        <v>143</v>
      </c>
      <c r="B60" t="s" s="5">
        <v>17</v>
      </c>
      <c r="C60" t="s" s="5">
        <v>10</v>
      </c>
      <c r="D60" t="s" s="6">
        <v>51</v>
      </c>
      <c r="E60" s="6" t="s">
        <f t="shared" si="0"/>
        <v>19</v>
      </c>
    </row>
    <row r="61" ht="14.00" customHeight="true">
      <c r="A61" t="s" s="5">
        <v>144</v>
      </c>
      <c r="B61" t="s" s="5">
        <v>145</v>
      </c>
      <c r="C61" t="s" s="5">
        <v>143</v>
      </c>
      <c r="D61" t="s" s="6">
        <v>55</v>
      </c>
      <c r="E61" s="6" t="s">
        <f t="shared" si="0"/>
        <v>24</v>
      </c>
    </row>
    <row r="62" ht="14.00" customHeight="true">
      <c r="A62" t="s" s="5">
        <v>146</v>
      </c>
      <c r="B62" t="s" s="5">
        <v>17</v>
      </c>
      <c r="C62" t="s" s="5">
        <v>10</v>
      </c>
      <c r="D62" t="s" s="6">
        <v>57</v>
      </c>
      <c r="E62" s="6" t="s">
        <f t="shared" si="0"/>
        <v>28</v>
      </c>
    </row>
    <row r="63" ht="14.00" customHeight="true">
      <c r="A63" t="s" s="5">
        <v>147</v>
      </c>
      <c r="B63" t="s" s="5">
        <v>148</v>
      </c>
      <c r="C63" t="s" s="5">
        <v>146</v>
      </c>
      <c r="D63" t="s" s="12">
        <v>149</v>
      </c>
      <c r="E63" s="6" t="s">
        <f t="shared" si="0"/>
        <v>33</v>
      </c>
      <c r="F63" t="s" s="13">
        <v>14</v>
      </c>
    </row>
    <row r="64" ht="14.00" customHeight="true">
      <c r="A64" t="s" s="5">
        <v>150</v>
      </c>
      <c r="B64" t="s" s="5">
        <v>17</v>
      </c>
      <c r="C64" t="s" s="5">
        <v>10</v>
      </c>
      <c r="D64" t="s" s="6">
        <v>48</v>
      </c>
      <c r="E64" s="6" t="s">
        <f t="shared" si="0"/>
        <v>37</v>
      </c>
    </row>
    <row r="65" ht="14.00" customHeight="true">
      <c r="A65" t="s" s="5">
        <v>151</v>
      </c>
      <c r="B65" t="s" s="5">
        <v>152</v>
      </c>
      <c r="C65" t="s" s="5">
        <v>150</v>
      </c>
      <c r="D65" t="s" s="6">
        <v>63</v>
      </c>
      <c r="E65" s="6" t="s">
        <f t="shared" si="0"/>
        <v>9</v>
      </c>
    </row>
    <row r="66" ht="14.00" customHeight="true">
      <c r="A66" t="s" s="5">
        <v>153</v>
      </c>
      <c r="B66" t="s" s="5">
        <v>17</v>
      </c>
      <c r="C66" t="s" s="5">
        <v>10</v>
      </c>
      <c r="D66" t="s" s="6">
        <v>65</v>
      </c>
      <c r="E66" s="6" t="s">
        <f t="shared" si="0"/>
        <v>13</v>
      </c>
    </row>
    <row r="67" ht="14.00" customHeight="true">
      <c r="A67" t="s" s="5">
        <v>154</v>
      </c>
      <c r="B67" t="s" s="5">
        <v>155</v>
      </c>
      <c r="C67" t="s" s="5">
        <v>153</v>
      </c>
      <c r="D67" t="s" s="6">
        <v>68</v>
      </c>
      <c r="E67" s="6" t="s">
        <f t="shared" si="0"/>
        <v>19</v>
      </c>
    </row>
    <row r="68" ht="14.00" customHeight="true">
      <c r="A68" t="s" s="5">
        <v>156</v>
      </c>
      <c r="B68" t="s" s="5">
        <v>17</v>
      </c>
      <c r="C68" t="s" s="5">
        <v>10</v>
      </c>
      <c r="D68" t="s" s="6">
        <v>115</v>
      </c>
      <c r="E68" s="6" t="s">
        <f t="shared" si="0"/>
        <v>24</v>
      </c>
    </row>
    <row r="69" ht="14.00" customHeight="true">
      <c r="A69" t="s" s="5">
        <v>157</v>
      </c>
      <c r="B69" t="s" s="5">
        <v>158</v>
      </c>
      <c r="C69" t="s" s="5">
        <v>156</v>
      </c>
      <c r="D69" t="s" s="6">
        <v>118</v>
      </c>
      <c r="E69" s="6" t="s">
        <f t="shared" si="0"/>
        <v>28</v>
      </c>
    </row>
    <row r="70" ht="14.00" customHeight="true">
      <c r="A70" t="s" s="5">
        <v>159</v>
      </c>
      <c r="B70" t="s" s="5">
        <v>17</v>
      </c>
      <c r="C70" t="s" s="5">
        <v>10</v>
      </c>
      <c r="D70" t="s" s="6">
        <v>120</v>
      </c>
      <c r="E70" s="6" t="s">
        <f t="shared" si="0"/>
        <v>33</v>
      </c>
    </row>
    <row r="71" ht="14.00" customHeight="true">
      <c r="A71" t="s" s="5">
        <v>160</v>
      </c>
      <c r="B71" t="s" s="5">
        <v>161</v>
      </c>
      <c r="C71" t="s" s="5">
        <v>159</v>
      </c>
      <c r="D71" t="s" s="6">
        <v>78</v>
      </c>
      <c r="E71" s="6" t="s">
        <f t="shared" si="0"/>
        <v>37</v>
      </c>
    </row>
  </sheetData>
  <phoneticPr fontId="0" type="noConversion"/>
  <hyperlinks>
    <hyperlink ref="D22" xr:uid="{D6ADB35C-83A4-4B13-BCB4-F73C46A6D978}" r:id="rId1"/>
    <hyperlink ref="D26" xr:uid="{66F6B5E2-FE08-49C6-86EA-7A0B1CAA18C6}" r:id="rId2"/>
    <hyperlink ref="D21" xr:uid="{B097E617-2060-4751-9CEB-F88F07961048}" r:id="rId3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2026-05-31T16:58:38Z</dcterms:created>
  <dcterms:modified xsi:type="dcterms:W3CDTF">2026-05-31T16:58:38Z</dcterms:modified>
</cp:coreProperties>
</file>