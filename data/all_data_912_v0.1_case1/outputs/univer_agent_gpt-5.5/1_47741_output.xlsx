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g" ContentType="image/jpeg"/>
  <Default Extension="jpeg" ContentType="image/jpeg"/>
  <Default Extension="gif" ContentType="image/gif"/>
  <Default Extension="bmp" ContentType="image/bmp"/>
  <Default Extension="tiff" ContentType="image/tiff"/>
  <Default Extension="emf" ContentType="image/x-emf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metadata.xml" ContentType="application/vnd.openxmlformats-officedocument.spreadsheetml.sheetMetadata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
<Relationship Id="rId2" Type="http://schemas.openxmlformats.org/package/2006/relationships/metadata/core-properties" Target="docProps/core.xml"/>
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13_ncr:1_{51AE6A1F-26D1-4066-9E62-5278FC0EFED3}" xr6:coauthVersionLast="47" xr6:coauthVersionMax="47" xr10:uidLastSave="{00000000-0000-0000-0000-000000000000}"/>
  <bookViews>
    <workbookView xWindow="0" yWindow="0" windowWidth="22260" windowHeight="12645" xr2:uid="{00000000-000D-0000-FFFF-FFFF00000000}" activeTab="0"/>
  </bookViews>
  <sheets>
    <sheet name="Lead Times" sheetId="1" r:id="rId1"/>
  </sheets>
  <definedNames>
    <definedName name="YearToDisplay" localSheetId="0">'Lead Times'!$B$1</definedName>
    <definedName name="days">{0,1,2,3,4,5,6}</definedName>
    <definedName name="month" localSheetId="0">MATCH('Lead Times'!MonthToDisplay,months,0)</definedName>
    <definedName name="months">{"January","February","March","April","May","June","July","August","September","October","November","December"}</definedName>
    <definedName name="MonthToDisplay" localSheetId="0">'Lead Times'!$C$1</definedName>
    <definedName name="weekdays">{"Monday","Tuesday","Wednesday","Thursday","Friday","Saturday","Sunday"}</definedName>
    <definedName name="weeks">{0;1;2;3;4;5;6}</definedName>
    <definedName name="daygrid">days+weeks*7</definedName>
    <definedName name="DayToStart">'Lead Times'!$E$1</definedName>
    <definedName name="firstdate" localSheetId="0">DATE('Lead Times'!YearToDisplay,'Lead Times'!month,1)</definedName>
    <definedName name="ndx" localSheetId="0">ROUNDUP(MATCH(2,1/FREQUENCY(DATE('Lead Times'!YearToDisplay,'Lead Times'!MonthToDisplayNumber,1),'Lead Times'!calendar))/7,0)</definedName>
    <definedName name="_xlnm.Print_Area" localSheetId="0">'Lead Times'!$B$1:$H$31</definedName>
    <definedName name="weekdays_reversed">{"Sunday","Saturday","Friday","Thursday","Wednesday","Tuesday","Monday"}</definedName>
    <definedName name="calendar" localSheetId="0">daygrid+'Lead Times'!firstdate-WEEKDAY('Lead Times'!firstdate)-weekday_option</definedName>
    <definedName name="daypattern">{1,1,2,2,3,3,4,4,5,5,6,6,7}</definedName>
    <definedName name="_xlnm.Print_Titles" localSheetId="0">'Lead Times'!$3:$3</definedName>
    <definedName name="MonthToDisplayNumber" localSheetId="0">MATCH('Lead Times'!MonthToDisplay,months,0)</definedName>
    <definedName name="startdate" localSheetId="0">DATE('Lead Times'!YearToDisplay,'Lead Times'!month,1)</definedName>
    <definedName name="weekday_option">MATCH(DayToStart,weekdays_reversed,0)-2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4" i="1"/>
  <c r="B14" i="1"/>
  <c r="E14" i="1"/>
  <c r="D14" i="1"/>
  <c r="F14" i="1"/>
  <c r="F17" i="1"/>
  <c r="E17" i="1"/>
  <c r="B17" i="1"/>
  <c r="D17" i="1"/>
  <c r="C17" i="1"/>
  <c r="B4" i="1"/>
  <c r="C13" i="1"/>
  <c r="B13" i="1"/>
  <c r="E13" i="1"/>
  <c r="F13" i="1"/>
  <c r="D13" i="1"/>
  <c r="B26" i="1"/>
  <c r="C26" i="1"/>
  <c r="D26" i="1"/>
  <c r="E26" i="1"/>
  <c r="F26" i="1"/>
  <c r="C22" i="1"/>
  <c r="B22" i="1"/>
  <c r="E22" i="1"/>
  <c r="D22" i="1"/>
  <c r="F22" i="1"/>
  <c r="B20" i="1"/>
  <c r="B24" i="1"/>
  <c r="D21" i="1"/>
  <c r="B21" i="1"/>
  <c r="C21" i="1"/>
  <c r="E21" i="1"/>
  <c r="F21" i="1"/>
  <c r="C25" i="1"/>
  <c r="D25" i="1"/>
  <c r="E25" i="1"/>
  <c r="F25" i="1"/>
  <c r="B25" i="1"/>
  <c r="B16" i="1"/>
  <c r="M7" i="1"/>
  <c r="K7" i="1"/>
  <c r="B3" i="1"/>
  <c r="B12" i="1"/>
  <c r="C18" i="1"/>
  <c r="D18" i="1"/>
  <c r="F18" i="1"/>
  <c r="E18" i="1"/>
  <c r="B18" i="1"/>
  <c r="C5" i="1"/>
  <c r="B5" i="1"/>
  <c r="D5" i="1"/>
  <c r="F5" i="1"/>
  <c r="E5" i="1"/>
  <c r="B9" i="1"/>
  <c r="D9" i="1"/>
  <c r="F9" i="1"/>
  <c r="C9" i="1"/>
  <c r="E9" i="1"/>
  <c r="K9" i="1"/>
  <c r="M9" i="1"/>
  <c r="M8" i="1"/>
  <c r="K8" i="1"/>
  <c r="B8" i="1"/>
  <c r="B10" i="1"/>
  <c r="C10" i="1"/>
  <c r="D10" i="1"/>
  <c r="E10" i="1"/>
  <c r="F10" i="1"/>
  <c r="C6" i="1"/>
  <c r="B6" i="1"/>
  <c r="D6" i="1"/>
  <c r="F6" i="1"/>
  <c r="E6" i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<sst xmlns="http://schemas.openxmlformats.org/spreadsheetml/2006/main" count="65" uniqueCount="45">
  <si>
    <t>JANUARY</t>
  </si>
  <si>
    <t>MONDAY</t>
  </si>
  <si>
    <t>  CALENDAR YEAR</t>
  </si>
  <si>
    <t>CALENDAR MONTH</t>
  </si>
  <si>
    <t>FIRST DAY OF WEEK</t>
  </si>
  <si>
    <t>#NAME?</t>
  </si>
  <si>
    <t>ENTER DATE HERE:</t>
  </si>
  <si>
    <t>12/30/22-1/4/22</t>
  </si>
  <si>
    <t>1/3/22-1/5/22</t>
  </si>
  <si>
    <t>1/4/22-1/6/22</t>
  </si>
  <si>
    <t>1/5/22-1/7/22</t>
  </si>
  <si>
    <t>STANDARD</t>
  </si>
  <si>
    <t>-</t>
  </si>
  <si>
    <t>FULL CUSTOM</t>
  </si>
  <si>
    <t>ELECTRONICS</t>
  </si>
  <si>
    <t>1/6/22-1/10/22</t>
  </si>
  <si>
    <t>1/7/22-1/11/22</t>
  </si>
  <si>
    <t>1/10/22-1/12/22</t>
  </si>
  <si>
    <t>1/11/22-1/13/22</t>
  </si>
  <si>
    <t>1/12/22-1/14/22</t>
  </si>
  <si>
    <t>HOLIDAYS</t>
  </si>
  <si>
    <t>(WILL BE EXCLUDED)</t>
  </si>
  <si>
    <t>1/13/22-1/17/22</t>
  </si>
  <si>
    <t>1/14/22-1/18/22</t>
  </si>
  <si>
    <t>1/17/22-1/19/22</t>
  </si>
  <si>
    <t>1/18/22-1/20/22</t>
  </si>
  <si>
    <t>1/19/22-1/21/22</t>
  </si>
  <si>
    <t>1/20/22-1/24/22</t>
  </si>
  <si>
    <t>1/21/22-1/25/22</t>
  </si>
  <si>
    <t>1/24/22-1/26/22</t>
  </si>
  <si>
    <t>1/25/22-1/27/22</t>
  </si>
  <si>
    <t>1/26/22-1/28/22</t>
  </si>
  <si>
    <t>1/27/22-1/31/22</t>
  </si>
  <si>
    <t>1/28/22-2/1/22</t>
  </si>
  <si>
    <t>1/31/22-2/2/22</t>
  </si>
  <si>
    <t>2/1/22-2/3/22</t>
  </si>
  <si>
    <t>2/2/22-2/4/22</t>
  </si>
  <si>
    <t>2/3/22-2/77/22</t>
  </si>
  <si>
    <t>2/4/22-2/8/22</t>
  </si>
  <si>
    <t>2/7/22-2/9/22</t>
  </si>
  <si>
    <t>2/8/22-2/10/22</t>
  </si>
  <si>
    <t>2/9/22-2/11/22</t>
  </si>
  <si>
    <t>STANDARD 10 BUSINESS DAYS</t>
  </si>
  <si>
    <t>FULL CUSTOM 18 BUSINESS DAYS</t>
  </si>
  <si>
    <t>ELECTRONICS &amp; ACCESSORIES 3-5 BUSINESS DAYS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</si>
</sst>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">
  <numFmts count="4">
    <numFmt numFmtId="1" formatCode="dd"/>
    <numFmt numFmtId="2" formatCode="YYYY-M-D"/>
    <numFmt numFmtId="3" formatCode="General"/>
    <numFmt numFmtId="4" formatCode="aaaa"/>
  </numFmts>
  <fonts count="12">
    <font>
      <sz val="11"/>
      <color theme="1"/>
      <name val="Arial"/>
      <family val="2"/>
      <scheme val="minor"/>
    </font>
    <font>
      <name val="Calibri"/>
      <sz val="11.00"/>
      <b/>
      <color rgb="FF000000"/>
      <family val="2"/>
    </font>
    <font>
      <name val="Calibri Light"/>
      <sz val="11.00"/>
      <b/>
      <color rgb="FF000000"/>
      <family val="2"/>
    </font>
    <font>
      <name val="Calibri Light"/>
      <sz val="11.00"/>
      <color rgb="FF000000"/>
      <family val="2"/>
    </font>
    <font>
      <name val="Calibri"/>
      <sz val="12.00"/>
      <color rgb="FF000000"/>
      <family val="2"/>
    </font>
    <font>
      <name val="Calibri"/>
      <sz val="32.00"/>
      <color rgb="FF357d88"/>
      <family val="2"/>
    </font>
    <font>
      <name val="Calibri Light"/>
      <sz val="11.00"/>
      <color rgb="FF595959"/>
      <family val="2"/>
    </font>
    <font>
      <name val="Calibri"/>
      <sz val="11.00"/>
      <color rgb="FF000000"/>
      <family val="2"/>
    </font>
    <font>
      <name val="Calibri Light"/>
      <sz val="9.00"/>
      <color rgb="FF000000"/>
      <family val="2"/>
    </font>
    <font>
      <name val="Arial"/>
      <sz val="8.00"/>
      <family val="2"/>
    </font>
    <font>
      <name val="Calibri"/>
      <sz val="32.00"/>
      <color rgb="FF122A2D"/>
      <family val="2"/>
    </font>
    <font>
      <name val="Arial"/>
      <sz val="8.00"/>
      <b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</fills>
  <borders count="8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/>
      <diagonal/>
    </border>
    <border>
      <left style="thin">
        <color rgb="FFbfbfbf"/>
      </left>
      <right/>
      <top/>
      <bottom/>
      <diagonal/>
    </border>
    <border>
      <left style="thin">
        <color rgb="FFbfbfbf"/>
      </left>
      <right style="thin">
        <color rgb="FFbfbfbf"/>
      </right>
      <top/>
      <bottom style="thin">
        <color rgb="FFbfbfbf"/>
      </bottom>
      <diagonal/>
    </border>
    <border>
      <left/>
      <right/>
      <top/>
      <bottom style="medium">
        <color rgb="FF262626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bfbfbf"/>
      </left>
      <right style="thin">
        <color rgb="FFbfbfbf"/>
      </right>
      <top style="thick">
        <color rgb="FF262626"/>
      </top>
      <bottom/>
      <diagonal/>
    </border>
    <border>
      <left style="thin">
        <color rgb="FFbfbfbf"/>
      </left>
      <right style="thin">
        <color rgb="FFbfbfbf"/>
      </right>
      <top/>
      <bottom/>
      <diagonal/>
    </border>
  </borders>
  <cellStyleXfs count="31">
    <xf numFmtId="0" fontId="0" fillId="0" borderId="0"/>
    <xf numFmtId="1" applyNumberFormat="1" fontId="1" applyFont="1" borderId="1" applyBorder="1" applyAlignment="1">
      <alignment vertical="center" horizontal="right"/>
    </xf>
    <xf numFmtId="2" applyNumberFormat="1" fontId="2" applyFont="1" fillId="2" applyFill="1" applyAlignment="1">
      <alignment vertical="center"/>
    </xf>
    <xf numFmtId="1" applyNumberFormat="1" fontId="1" applyFont="1" fillId="2" applyFill="1" borderId="2" applyBorder="1" applyAlignment="1">
      <alignment vertical="center" horizontal="center"/>
    </xf>
    <xf numFmtId="3" applyNumberFormat="1" fontId="3" applyFont="1" applyAlignment="1">
      <alignment vertical="center"/>
    </xf>
    <xf numFmtId="3" applyNumberFormat="1" fontId="2" applyFont="1" applyAlignment="1">
      <alignment vertical="center"/>
    </xf>
    <xf numFmtId="2" applyNumberFormat="1" fontId="2" applyFont="1" fillId="3" applyFill="1" borderId="3" applyBorder="1" applyAlignment="1">
      <alignment horizontal="right" wrapText="1"/>
    </xf>
    <xf numFmtId="4" applyNumberFormat="1" fontId="4" applyFont="1" borderId="4" applyBorder="1" applyAlignment="1">
      <alignment vertical="center" horizontal="center"/>
    </xf>
    <xf numFmtId="3" applyNumberFormat="1" fontId="2" applyFont="1" fillId="3" applyFill="1" applyAlignment="1">
      <alignment vertical="top" horizontal="center" wrapText="1"/>
    </xf>
    <xf numFmtId="3" applyNumberFormat="1" fontId="5" applyFont="1" applyAlignment="1">
      <alignment horizontal="left"/>
    </xf>
    <xf numFmtId="3" applyNumberFormat="1" fontId="6" applyFont="1" applyAlignment="1">
      <alignment vertical="top"/>
    </xf>
    <xf numFmtId="1" applyNumberFormat="1" fontId="1" applyFont="1" borderId="1" applyBorder="1" applyAlignment="1">
      <alignment horizontal="right"/>
    </xf>
    <xf numFmtId="1" applyNumberFormat="1" fontId="7" applyFont="1" fillId="4" applyFill="1" borderId="2" applyBorder="1" applyAlignment="1">
      <alignment vertical="center" horizontal="center"/>
    </xf>
    <xf numFmtId="3" applyNumberFormat="1" fontId="2" applyFont="1" fillId="3" applyFill="1" borderId="2" applyBorder="1" applyAlignment="1">
      <alignment vertical="top" horizontal="center" wrapText="1"/>
    </xf>
    <xf numFmtId="3" applyNumberFormat="1" fontId="7" applyFont="1" applyAlignment="1">
      <alignment horizontal="right"/>
    </xf>
    <xf numFmtId="2" applyNumberFormat="1" fontId="3" applyFont="1" borderId="5" applyBorder="1" applyAlignment="1">
      <alignment vertical="center"/>
    </xf>
    <xf numFmtId="2" applyNumberFormat="1" fontId="3" applyFont="1" applyAlignment="1">
      <alignment vertical="center"/>
    </xf>
    <xf numFmtId="3" applyNumberFormat="1" fontId="8" applyFont="1" borderId="3" applyBorder="1" applyAlignment="1">
      <alignment vertical="top" wrapText="1"/>
    </xf>
    <xf numFmtId="2" applyNumberFormat="1" fontId="2" applyFont="1" fillId="4" applyFill="1" applyAlignment="1">
      <alignment vertical="center"/>
    </xf>
    <xf numFmtId="1" applyNumberFormat="1" fontId="1" applyFont="1" fillId="2" applyFill="1" applyAlignment="1">
      <alignment vertical="center" horizontal="center"/>
    </xf>
    <xf numFmtId="2" applyNumberFormat="1" fontId="2" applyFont="1" fillId="3" applyFill="1" borderId="3" applyBorder="1" applyAlignment="1">
      <alignment vertical="top" horizontal="right" wrapText="1"/>
    </xf>
    <xf numFmtId="3" applyNumberFormat="1" fontId="3" applyFont="1" borderId="3" applyBorder="1" applyAlignment="1">
      <alignment vertical="top" wrapText="1"/>
    </xf>
    <xf numFmtId="1" applyNumberFormat="1" fontId="7" applyFont="1" borderId="1" applyBorder="1" applyAlignment="1">
      <alignment vertical="center" horizontal="right"/>
    </xf>
    <xf numFmtId="3" applyNumberFormat="1" fontId="6" applyFont="1" applyAlignment="1">
      <alignment vertical="top" horizontal="right"/>
    </xf>
    <xf numFmtId="3" applyNumberFormat="1" fontId="9" applyFont="1" applyAlignment="1">
      <alignment vertical="center"/>
    </xf>
    <xf numFmtId="3" applyNumberFormat="1" fontId="10" applyFont="1" applyAlignment="1">
      <alignment horizontal="left"/>
    </xf>
    <xf numFmtId="3" applyNumberFormat="1" fontId="11" applyFont="1" applyAlignment="1">
      <alignment vertical="center"/>
    </xf>
    <xf numFmtId="3" applyNumberFormat="1" fontId="6" applyFont="1" applyAlignment="1">
      <alignment vertical="top"/>
    </xf>
    <xf numFmtId="1" applyNumberFormat="1" fontId="7" applyFont="1" borderId="6" applyBorder="1" applyAlignment="1">
      <alignment vertical="center" horizontal="right"/>
    </xf>
    <xf numFmtId="1" applyNumberFormat="1" fontId="7" applyFont="1" borderId="7" applyBorder="1" applyAlignment="1">
      <alignment vertical="center" horizontal="right"/>
    </xf>
    <xf numFmtId="1" applyNumberFormat="1" fontId="7" applyFont="1" fillId="4" applyFill="1" applyAlignment="1">
      <alignment vertical="center" horizontal="center"/>
    </xf>
  </cellStyleXfs>
  <cellXfs count="31">
    <xf numFmtId="0" fontId="0" fillId="0" borderId="0" xfId="0"/>
    <xf xfId="9" quotePrefix="0" pivotButton="0" numFmtId="3" applyNumberFormat="1" fontId="5" applyFont="1" applyAlignment="1">
      <alignment horizontal="left"/>
    </xf>
    <xf xfId="25" quotePrefix="0" pivotButton="0" numFmtId="3" applyNumberFormat="1" fontId="10" applyFont="1" applyAlignment="1">
      <alignment horizontal="left"/>
    </xf>
    <xf xfId="14" quotePrefix="0" pivotButton="0" numFmtId="3" applyNumberFormat="1" fontId="7" applyFont="1" applyAlignment="1">
      <alignment horizontal="right"/>
    </xf>
    <xf xfId="10" quotePrefix="0" pivotButton="0" numFmtId="3" applyNumberFormat="1" fontId="6" applyFont="1" applyAlignment="1">
      <alignment vertical="top"/>
    </xf>
    <xf xfId="27" quotePrefix="0" pivotButton="0" numFmtId="3" applyNumberFormat="1" fontId="6" applyFont="1" applyAlignment="1">
      <alignment vertical="top"/>
    </xf>
    <xf xfId="23" quotePrefix="0" pivotButton="0" numFmtId="3" applyNumberFormat="1" fontId="6" applyFont="1" applyAlignment="1">
      <alignment vertical="top" horizontal="right"/>
    </xf>
    <xf xfId="7" quotePrefix="0" pivotButton="0" numFmtId="4" applyNumberFormat="1" fontId="4" applyFont="1" borderId="4" applyBorder="1" applyAlignment="1">
      <alignment vertical="center" horizontal="center"/>
    </xf>
    <xf xfId="28" quotePrefix="0" pivotButton="0" numFmtId="1" applyNumberFormat="1" fontId="7" applyFont="1" borderId="6" applyBorder="1" applyAlignment="1">
      <alignment vertical="center" horizontal="right"/>
    </xf>
    <xf xfId="4" quotePrefix="0" pivotButton="0" numFmtId="3" applyNumberFormat="1" fontId="3" applyFont="1" applyAlignment="1">
      <alignment vertical="center"/>
    </xf>
    <xf xfId="18" quotePrefix="0" pivotButton="0" numFmtId="2" applyNumberFormat="1" fontId="2" applyFont="1" fillId="4" applyFill="1" applyAlignment="1">
      <alignment vertical="center"/>
    </xf>
    <xf xfId="29" quotePrefix="0" pivotButton="0" numFmtId="1" applyNumberFormat="1" fontId="7" applyFont="1" borderId="7" applyBorder="1" applyAlignment="1">
      <alignment vertical="center" horizontal="right"/>
    </xf>
    <xf xfId="5" quotePrefix="0" pivotButton="0" numFmtId="3" applyNumberFormat="1" fontId="2" applyFont="1" applyAlignment="1">
      <alignment vertical="center"/>
    </xf>
    <xf xfId="15" quotePrefix="0" pivotButton="0" numFmtId="2" applyNumberFormat="1" fontId="3" applyFont="1" borderId="5" applyBorder="1" applyAlignment="1">
      <alignment vertical="center"/>
    </xf>
    <xf xfId="2" quotePrefix="0" pivotButton="0" numFmtId="2" applyNumberFormat="1" fontId="2" applyFont="1" fillId="2" applyFill="1" applyAlignment="1">
      <alignment vertical="center"/>
    </xf>
    <xf xfId="6" quotePrefix="0" pivotButton="0" numFmtId="2" applyNumberFormat="1" fontId="2" applyFont="1" fillId="3" applyFill="1" borderId="3" applyBorder="1" applyAlignment="1">
      <alignment horizontal="right" wrapText="1"/>
    </xf>
    <xf xfId="21" quotePrefix="0" pivotButton="0" numFmtId="3" applyNumberFormat="1" fontId="3" applyFont="1" borderId="3" applyBorder="1" applyAlignment="1">
      <alignment vertical="top" wrapText="1"/>
    </xf>
    <xf xfId="16" quotePrefix="0" pivotButton="0" numFmtId="2" applyNumberFormat="1" fontId="3" applyFont="1" applyAlignment="1">
      <alignment vertical="center"/>
    </xf>
    <xf xfId="1" quotePrefix="0" pivotButton="0" numFmtId="1" applyNumberFormat="1" fontId="1" applyFont="1" borderId="1" applyBorder="1" applyAlignment="1">
      <alignment vertical="center" horizontal="right"/>
    </xf>
    <xf xfId="22" quotePrefix="0" pivotButton="0" numFmtId="1" applyNumberFormat="1" fontId="7" applyFont="1" borderId="1" applyBorder="1" applyAlignment="1">
      <alignment vertical="center" horizontal="right"/>
    </xf>
    <xf xfId="24" quotePrefix="0" pivotButton="0" numFmtId="3" applyNumberFormat="1" fontId="9" applyFont="1" applyAlignment="1">
      <alignment vertical="center"/>
    </xf>
    <xf xfId="11" quotePrefix="0" pivotButton="0" numFmtId="1" applyNumberFormat="1" fontId="1" applyFont="1" borderId="1" applyBorder="1" applyAlignment="1">
      <alignment horizontal="right"/>
    </xf>
    <xf xfId="26" quotePrefix="0" pivotButton="0" numFmtId="3" applyNumberFormat="1" fontId="11" applyFont="1" applyAlignment="1">
      <alignment vertical="center"/>
    </xf>
    <xf xfId="17" quotePrefix="0" pivotButton="0" numFmtId="3" applyNumberFormat="1" fontId="8" applyFont="1" borderId="3" applyBorder="1" applyAlignment="1">
      <alignment vertical="top" wrapText="1"/>
    </xf>
    <xf xfId="20" quotePrefix="0" pivotButton="0" numFmtId="2" applyNumberFormat="1" fontId="2" applyFont="1" fillId="3" applyFill="1" borderId="3" applyBorder="1" applyAlignment="1">
      <alignment vertical="top" horizontal="right" wrapText="1"/>
    </xf>
    <xf xfId="12" quotePrefix="0" pivotButton="0" numFmtId="1" applyNumberFormat="1" fontId="7" applyFont="1" fillId="4" applyFill="1" borderId="2" applyBorder="1" applyAlignment="1">
      <alignment vertical="center" horizontal="center"/>
    </xf>
    <xf xfId="30" quotePrefix="0" pivotButton="0" numFmtId="1" applyNumberFormat="1" fontId="7" applyFont="1" fillId="4" applyFill="1" applyAlignment="1">
      <alignment vertical="center" horizontal="center"/>
    </xf>
    <xf xfId="3" quotePrefix="0" pivotButton="0" numFmtId="1" applyNumberFormat="1" fontId="1" applyFont="1" fillId="2" applyFill="1" borderId="2" applyBorder="1" applyAlignment="1">
      <alignment vertical="center" horizontal="center"/>
    </xf>
    <xf xfId="19" quotePrefix="0" pivotButton="0" numFmtId="1" applyNumberFormat="1" fontId="1" applyFont="1" fillId="2" applyFill="1" applyAlignment="1">
      <alignment vertical="center" horizontal="center"/>
    </xf>
    <xf xfId="13" quotePrefix="0" pivotButton="0" numFmtId="3" applyNumberFormat="1" fontId="2" applyFont="1" fillId="3" applyFill="1" borderId="2" applyBorder="1" applyAlignment="1">
      <alignment vertical="top" horizontal="center" wrapText="1"/>
    </xf>
    <xf xfId="8" quotePrefix="0" pivotButton="0" numFmtId="3" applyNumberFormat="1" fontId="2" applyFont="1" fillId="3" applyFill="1" applyAlignment="1">
      <alignment vertical="top" horizontal="center" wrapText="1"/>
    </xf>
  </cellXfs>
  <cellStyles count="1">
    <cellStyle name="normal" xfId="0" builtinId="0"/>
  </cellStyles>
  <dxfs count="9">
    <dxf>
      <font>
        <color rgb="FFbfbfbf"/>
        <family val="2"/>
        <rFont val="Arial"/>
      </font>
      <alignment/>
    </dxf>
    <dxf>
      <font>
        <color rgb="FFbfbfbf"/>
        <family val="2"/>
        <rFont val="Arial"/>
      </font>
      <alignment/>
    </dxf>
    <dxf>
      <font>
        <color rgb="FFbfbfbf"/>
        <family val="2"/>
        <rFont val="Arial"/>
      </font>
      <alignment/>
    </dxf>
    <dxf>
      <font>
        <color rgb="FFbfbfbf"/>
        <family val="2"/>
        <rFont val="Arial"/>
      </font>
      <alignment/>
    </dxf>
    <dxf>
      <font>
        <color rgb="FFbfbfbf"/>
        <family val="2"/>
        <rFont val="Arial"/>
      </font>
      <alignment/>
    </dxf>
    <dxf>
      <font>
        <color rgb="FFbfbfbf"/>
        <family val="2"/>
        <rFont val="Arial"/>
      </font>
      <alignment/>
    </dxf>
    <dxf>
      <font>
        <color rgb="FFbfbfbf"/>
        <family val="2"/>
        <rFont val="Arial"/>
      </font>
      <alignment/>
    </dxf>
    <dxf>
      <font>
        <color rgb="FFbfbfbf"/>
        <family val="2"/>
        <rFont val="Arial"/>
      </font>
      <alignment/>
    </dxf>
    <dxf>
      <font>
        <color rgb="FFbfbfbf"/>
        <family val="2"/>
        <rFont val="Arial"/>
      </font>
      <alignment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
<Relationship Id="rId1" Type="http://schemas.openxmlformats.org/officeDocument/2006/relationships/worksheet" Target="worksheets/sheet1.xml"/>
<Relationship Id="rId2" Type="http://schemas.openxmlformats.org/officeDocument/2006/relationships/theme" Target="theme/theme1.xml"/>
<Relationship Id="rId3" Type="http://schemas.openxmlformats.org/officeDocument/2006/relationships/sharedStrings" Target="sharedStrings.xml"/>
<Relationship Id="rId4" Type="http://schemas.openxmlformats.org/officeDocument/2006/relationships/styles" Target="styles.xml"/>
<Relationship Id="rId5" Type="http://schemas.openxmlformats.org/officeDocument/2006/relationships/calcChain" Target="calcChain.xml"/>
<Relationship Id="rId6" Type="http://schemas.openxmlformats.org/officeDocument/2006/relationships/sheetMetadata" Target="metadata.xml"/>
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lumMod val="102000"/>
                <a:satMod val="103000"/>
                <a:tint val="94000"/>
              </a:schemeClr>
            </a:gs>
            <a:gs pos="50000">
              <a:schemeClr val="phClr">
                <a:lumMod val="100000"/>
                <a:satMod val="11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satMod val="170000"/>
            <a:tint val="95000"/>
          </a:schemeClr>
        </a:solidFill>
        <a:gradFill rotWithShape="1">
          <a:gsLst>
            <a:gs pos="0">
              <a:schemeClr val="phClr">
                <a:lumMod val="102000"/>
                <a:satMod val="150000"/>
                <a:tint val="93000"/>
                <a:shade val="98000"/>
              </a:schemeClr>
            </a:gs>
            <a:gs pos="50000">
              <a:schemeClr val="phClr">
                <a:lumMod val="103000"/>
                <a:satMod val="130000"/>
                <a:tint val="98000"/>
                <a:shade val="90000"/>
              </a:schemeClr>
            </a:gs>
            <a:gs pos="100000">
              <a:schemeClr val="phClr">
                <a:satMod val="120000"/>
                <a:shade val="63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sheetPr>
    <tabColor rgb="FF24535b"/>
  </sheetPr>
  <dimension ref="A1"/>
  <sheetViews>
    <sheetView showGridLines="0" tabSelected="0" workbookViewId="0">
      <selection activeCell="A1" sqref="A1"/>
    </sheetView>
  </sheetViews>
  <sheetFormatPr defaultRowHeight="15.00" customHeight="1" defaultColWidth="7.93"/>
  <cols>
    <col min="1" max="1" width="2.25" customWidth="1" hidden="0"/>
    <col min="2" max="8" width="18.55" customWidth="1" hidden="0"/>
    <col min="10" max="10" width="16.86" customWidth="1" hidden="0"/>
    <col min="11" max="11" width="10.12" customWidth="1" hidden="0"/>
    <col min="12" max="12" width="9.44" customWidth="1" hidden="0"/>
    <col min="13" max="13" width="9.78" customWidth="1" hidden="0"/>
    <col min="14" max="14" width="10.46" customWidth="1" hidden="0"/>
    <col min="15" max="15" width="9.33" customWidth="1" hidden="0"/>
  </cols>
  <sheetData>
    <row r="1" ht="45.00" customHeight="true">
      <c r="B1" s="1">
        <v>2022</v>
      </c>
      <c r="C1" t="s" s="2">
        <v>0</v>
      </c>
      <c r="D1" s="2"/>
      <c r="E1" t="s" s="3">
        <v>1</v>
      </c>
    </row>
    <row r="2" ht="30.00" customHeight="true">
      <c r="B2" t="s" s="4">
        <v>2</v>
      </c>
      <c r="C2" t="s" s="5">
        <v>3</v>
      </c>
      <c r="D2" s="5"/>
      <c r="E2" t="s" s="6">
        <v>4</v>
      </c>
    </row>
    <row r="3" ht="19.50" customHeight="true">
      <c r="B3" cm="1" s="7" t="s">
        <f t="array" ref="B3">calendar</f>
        <v>5</v>
      </c>
      <c r="C3" s="7"/>
      <c r="D3" s="7"/>
      <c r="E3" s="7"/>
      <c r="F3" s="7"/>
      <c r="G3" s="7"/>
      <c r="H3" s="7"/>
    </row>
    <row r="4" ht="24.00" customHeight="true">
      <c r="B4" cm="1" s="8" t="s">
        <f t="array" ref="B4">INDEX(calendar,ndx+0)</f>
        <v>5</v>
      </c>
      <c r="C4" s="8"/>
      <c r="D4" s="8"/>
      <c r="E4" s="8"/>
      <c r="F4" s="8"/>
      <c r="G4" s="8"/>
      <c r="H4" s="8"/>
      <c r="J4" s="9"/>
      <c r="K4" s="9"/>
      <c r="L4" s="9"/>
      <c r="M4" s="9"/>
      <c r="N4" s="9"/>
    </row>
    <row r="5" ht="24.00" customHeight="true">
      <c r="B5" s="10" t="s">
        <f>_xlfn.TEXTJOIN("-",,TEXT(WORKDAY(B4,10,K14:K20),"mm/dd/yyyy"),TEXT(WORKDAY(B4,12,K14:K20),"mm/dd/yyyy"))</f>
        <v>5</v>
      </c>
      <c r="C5" s="10">
        <f ref="C5:F5" t="shared" si="6">WORKDAY(C4,10,L14:L20)</f>
        <v>13</v>
      </c>
      <c r="D5" s="10">
        <f t="shared" si="6"/>
        <v>44574</v>
      </c>
      <c r="E5" s="10">
        <f t="shared" si="6"/>
        <v>44575</v>
      </c>
      <c r="F5" s="10">
        <f t="shared" si="6"/>
        <v>44575</v>
      </c>
      <c r="G5" s="11"/>
      <c r="H5" s="11"/>
      <c r="J5" t="s" s="12">
        <v>6</v>
      </c>
      <c r="K5" s="13">
        <v>44868</v>
      </c>
      <c r="L5" s="9"/>
      <c r="M5" s="9"/>
      <c r="N5" s="9"/>
    </row>
    <row r="6" ht="24.00" customHeight="true">
      <c r="B6" s="14" t="s">
        <f>WORKDAY(B4,18,K14:K21)</f>
        <v>5</v>
      </c>
      <c r="C6" s="14">
        <f ref="C6:F6" t="shared" si="1">WORKDAY(C4,18,L15:L21)</f>
        <v>25</v>
      </c>
      <c r="D6" s="14">
        <f t="shared" si="1"/>
        <v>44585</v>
      </c>
      <c r="E6" s="14">
        <f t="shared" si="1"/>
        <v>44586</v>
      </c>
      <c r="F6" s="14">
        <f t="shared" si="1"/>
        <v>44587</v>
      </c>
      <c r="G6" s="11"/>
      <c r="H6" s="11"/>
      <c r="J6" s="12"/>
      <c r="K6" s="9"/>
      <c r="L6" s="9"/>
      <c r="M6" s="9"/>
      <c r="N6" s="9"/>
    </row>
    <row r="7" ht="27.00" customHeight="true">
      <c r="B7" t="s" s="15">
        <v>7</v>
      </c>
      <c r="C7" t="s" s="15">
        <v>8</v>
      </c>
      <c r="D7" t="s" s="15">
        <v>9</v>
      </c>
      <c r="E7" t="s" s="15">
        <v>10</v>
      </c>
      <c r="F7" s="15"/>
      <c r="G7" s="16"/>
      <c r="H7" s="16"/>
      <c r="J7" t="s" s="12">
        <v>11</v>
      </c>
      <c r="K7" s="17">
        <f>WORKDAY(K5,10,K15:K20)</f>
        <v>44882</v>
      </c>
      <c r="L7" t="s" s="9">
        <v>12</v>
      </c>
      <c r="M7" s="17">
        <f>WORKDAY(K5,10,K15:K20)</f>
        <v>44882</v>
      </c>
      <c r="N7" s="9"/>
    </row>
    <row r="8" ht="24.00" customHeight="true">
      <c r="B8" cm="1" s="18" t="s">
        <f t="array" ref="B8">INDEX(calendar,ndx+1)</f>
        <v>5</v>
      </c>
      <c r="C8" s="18"/>
      <c r="D8" s="18"/>
      <c r="E8" s="18"/>
      <c r="F8" s="18"/>
      <c r="G8" s="19"/>
      <c r="H8" s="19"/>
      <c r="J8" t="s" s="12">
        <v>13</v>
      </c>
      <c r="K8" s="17">
        <f>WORKDAY(K5,18,K15:K20)</f>
        <v>44896</v>
      </c>
      <c r="L8" t="s" s="9">
        <v>12</v>
      </c>
      <c r="M8" s="17">
        <f>WORKDAY(K5,18,K15:K20)</f>
        <v>44896</v>
      </c>
      <c r="N8" s="20"/>
    </row>
    <row r="9" ht="24.00" customHeight="true">
      <c r="B9" s="10" t="s">
        <f>WORKDAY(B8,10,K14:K24)</f>
        <v>5</v>
      </c>
      <c r="C9" s="10">
        <f>WORKDAY(C8,10,L18:L24)</f>
        <v>13</v>
      </c>
      <c r="D9" s="10">
        <f>WORKDAY(D8,10,M18:M24)</f>
        <v>13</v>
      </c>
      <c r="E9" s="10">
        <f>WORKDAY(E8,10,N18:N24)</f>
        <v>13</v>
      </c>
      <c r="F9" s="10">
        <f>WORKDAY(F8,10,O18:O24)</f>
        <v>13</v>
      </c>
      <c r="G9" s="11"/>
      <c r="H9" s="11"/>
      <c r="J9" t="s" s="12">
        <v>14</v>
      </c>
      <c r="K9" s="17">
        <f>WORKDAY(K5,3,K15:K20)</f>
        <v>44873</v>
      </c>
      <c r="L9" t="s" s="9">
        <v>12</v>
      </c>
      <c r="M9" s="17">
        <f>WORKDAY(K5,5,K15:K20)</f>
        <v>44875</v>
      </c>
      <c r="N9" s="9"/>
    </row>
    <row r="10" ht="24.00" customHeight="true">
      <c r="B10" s="14" t="s">
        <f>WORKDAY(B8,18,K19:K25)</f>
        <v>5</v>
      </c>
      <c r="C10" s="14">
        <f ref="C10:F10" t="shared" si="0">WORKDAY(C8,18,L19:L25)</f>
        <v>25</v>
      </c>
      <c r="D10" s="14">
        <f t="shared" si="0"/>
        <v>44592</v>
      </c>
      <c r="E10" s="14">
        <f t="shared" si="0"/>
        <v>44593</v>
      </c>
      <c r="F10" s="14">
        <f t="shared" si="0"/>
        <v>44594</v>
      </c>
      <c r="G10" s="11"/>
      <c r="H10" s="11"/>
      <c r="N10" s="9"/>
    </row>
    <row r="11" ht="27.00" customHeight="true">
      <c r="B11" t="s" s="15">
        <v>15</v>
      </c>
      <c r="C11" t="s" s="15">
        <v>16</v>
      </c>
      <c r="D11" t="s" s="15">
        <v>17</v>
      </c>
      <c r="E11" t="s" s="15">
        <v>18</v>
      </c>
      <c r="F11" t="s" s="15">
        <v>19</v>
      </c>
      <c r="G11" s="16"/>
      <c r="H11" s="16"/>
      <c r="J11" s="9"/>
      <c r="K11" s="9"/>
      <c r="L11" s="9"/>
      <c r="M11" s="9"/>
      <c r="N11" s="9"/>
    </row>
    <row r="12" ht="24.00" customHeight="true">
      <c r="B12" cm="1" s="21" t="s">
        <f t="array" ref="B12">INDEX(calendar,ndx+2)</f>
        <v>5</v>
      </c>
      <c r="C12" s="21"/>
      <c r="D12" s="21"/>
      <c r="E12" s="21"/>
      <c r="F12" s="21"/>
      <c r="G12" s="19"/>
      <c r="H12" s="19"/>
      <c r="J12" s="9"/>
      <c r="K12" s="17"/>
      <c r="L12" s="9"/>
      <c r="M12" s="9"/>
      <c r="N12" s="9"/>
    </row>
    <row r="13" ht="24.00" customHeight="true">
      <c r="B13" s="10" t="s">
        <f>WORKDAY(B12,10,K22:K28)</f>
        <v>5</v>
      </c>
      <c r="C13" s="10">
        <f>WORKDAY(C12,10,L22:L28)</f>
        <v>13</v>
      </c>
      <c r="D13" s="10">
        <f>WORKDAY(D12,10,M22:M28)</f>
        <v>13</v>
      </c>
      <c r="E13" s="10">
        <f>WORKDAY(E12,10,N22:N28)</f>
        <v>13</v>
      </c>
      <c r="F13" s="10">
        <f>WORKDAY(F12,10,O22:O28)</f>
        <v>13</v>
      </c>
      <c r="G13" s="11"/>
      <c r="H13" s="11"/>
      <c r="J13" t="s" s="12">
        <v>20</v>
      </c>
      <c r="K13" s="17"/>
      <c r="L13" s="9"/>
      <c r="M13" s="9"/>
      <c r="N13" s="9"/>
    </row>
    <row r="14" ht="27.00" customHeight="true">
      <c r="B14" s="14" t="s">
        <f>WORKDAY(B12,18,K23:K29)</f>
        <v>5</v>
      </c>
      <c r="C14" s="14">
        <f ref="C14:F14" t="shared" si="2">WORKDAY(C12,18,L23:L29)</f>
        <v>25</v>
      </c>
      <c r="D14" s="14">
        <f t="shared" si="2"/>
        <v>44599</v>
      </c>
      <c r="E14" s="14">
        <f t="shared" si="2"/>
        <v>44600</v>
      </c>
      <c r="F14" s="14">
        <f t="shared" si="2"/>
        <v>44601</v>
      </c>
      <c r="G14" s="16"/>
      <c r="H14" s="16"/>
      <c r="J14" t="s" s="22">
        <v>21</v>
      </c>
      <c r="K14" s="17">
        <v>44561</v>
      </c>
      <c r="L14" s="17">
        <v>44561</v>
      </c>
      <c r="M14" s="17">
        <v>44561</v>
      </c>
      <c r="N14" s="17">
        <v>44561</v>
      </c>
      <c r="O14" s="17">
        <v>44561</v>
      </c>
    </row>
    <row r="15" ht="27.00" customHeight="true">
      <c r="B15" t="s" s="15">
        <v>22</v>
      </c>
      <c r="C15" t="s" s="15">
        <v>23</v>
      </c>
      <c r="D15" t="s" s="15">
        <v>24</v>
      </c>
      <c r="E15" t="s" s="15">
        <v>25</v>
      </c>
      <c r="F15" t="s" s="15">
        <v>26</v>
      </c>
      <c r="G15" s="23"/>
      <c r="H15" s="23"/>
      <c r="J15" s="9"/>
      <c r="K15" s="17">
        <v>44711</v>
      </c>
      <c r="L15" s="17">
        <v>44711</v>
      </c>
      <c r="M15" s="17">
        <v>44711</v>
      </c>
      <c r="N15" s="17">
        <v>44711</v>
      </c>
      <c r="O15" s="17">
        <v>44711</v>
      </c>
    </row>
    <row r="16" ht="24.00" customHeight="true">
      <c r="B16" cm="1" s="21" t="s">
        <f t="array" ref="B16">INDEX(calendar,ndx+3)</f>
        <v>5</v>
      </c>
      <c r="C16" s="21"/>
      <c r="D16" s="21"/>
      <c r="E16" s="21"/>
      <c r="F16" s="21"/>
      <c r="G16" s="19"/>
      <c r="H16" s="19"/>
      <c r="J16" s="9"/>
      <c r="K16" s="17">
        <v>44746</v>
      </c>
      <c r="L16" s="17">
        <v>44746</v>
      </c>
      <c r="M16" s="17">
        <v>44746</v>
      </c>
      <c r="N16" s="17">
        <v>44746</v>
      </c>
      <c r="O16" s="17">
        <v>44746</v>
      </c>
    </row>
    <row r="17" ht="24.00" customHeight="true">
      <c r="B17" s="10" t="s">
        <f>WORKDAY(B16,10,K26:K32)</f>
        <v>5</v>
      </c>
      <c r="C17" s="10">
        <f>WORKDAY(C16,10,L26:L32)</f>
        <v>13</v>
      </c>
      <c r="D17" s="10">
        <f>WORKDAY(D16,10,M26:M32)</f>
        <v>13</v>
      </c>
      <c r="E17" s="10">
        <f>WORKDAY(E16,10,N26:N32)</f>
        <v>13</v>
      </c>
      <c r="F17" s="10">
        <f>WORKDAY(F16,10,O26:O32)</f>
        <v>13</v>
      </c>
      <c r="G17" s="11"/>
      <c r="H17" s="11"/>
      <c r="J17" s="9"/>
      <c r="K17" s="17">
        <v>44809</v>
      </c>
      <c r="L17" s="17">
        <v>44809</v>
      </c>
      <c r="M17" s="17">
        <v>44809</v>
      </c>
      <c r="N17" s="17">
        <v>44809</v>
      </c>
      <c r="O17" s="17">
        <v>44809</v>
      </c>
    </row>
    <row r="18" ht="24.00" customHeight="true">
      <c r="B18" s="14" t="s">
        <f>WORKDAY(B16,18,K27:K33)</f>
        <v>5</v>
      </c>
      <c r="C18" s="14">
        <f ref="C18:F18" t="shared" si="5">WORKDAY(C16,18,L27:L33)</f>
        <v>25</v>
      </c>
      <c r="D18" s="14">
        <f t="shared" si="5"/>
        <v>44606</v>
      </c>
      <c r="E18" s="14">
        <f t="shared" si="5"/>
        <v>44607</v>
      </c>
      <c r="F18" s="14">
        <f t="shared" si="5"/>
        <v>44608</v>
      </c>
      <c r="G18" s="11"/>
      <c r="H18" s="11"/>
      <c r="J18" s="9"/>
      <c r="K18" s="17">
        <v>44889</v>
      </c>
      <c r="L18" s="17">
        <v>44889</v>
      </c>
      <c r="M18" s="17">
        <v>44889</v>
      </c>
      <c r="N18" s="17">
        <v>44889</v>
      </c>
      <c r="O18" s="17">
        <v>44889</v>
      </c>
    </row>
    <row r="19" ht="25.50" customHeight="true">
      <c r="B19" t="s" s="15">
        <v>27</v>
      </c>
      <c r="C19" t="s" s="15">
        <v>28</v>
      </c>
      <c r="D19" t="s" s="15">
        <v>29</v>
      </c>
      <c r="E19" t="s" s="15">
        <v>30</v>
      </c>
      <c r="F19" t="s" s="15">
        <v>31</v>
      </c>
      <c r="G19" s="23"/>
      <c r="H19" s="23"/>
      <c r="J19" s="9"/>
      <c r="K19" s="17">
        <v>44890</v>
      </c>
      <c r="L19" s="17">
        <v>44890</v>
      </c>
      <c r="M19" s="17">
        <v>44890</v>
      </c>
      <c r="N19" s="17">
        <v>44890</v>
      </c>
      <c r="O19" s="17">
        <v>44890</v>
      </c>
    </row>
    <row r="20" ht="24.00" customHeight="true">
      <c r="B20" cm="1" s="18" t="s">
        <f t="array" ref="B20">INDEX(calendar,ndx+4)</f>
        <v>5</v>
      </c>
      <c r="C20" s="18"/>
      <c r="D20" s="18"/>
      <c r="E20" s="18"/>
      <c r="F20" s="18"/>
      <c r="G20" s="19"/>
      <c r="H20" s="19"/>
      <c r="J20" s="20"/>
      <c r="K20" s="17">
        <v>44921</v>
      </c>
      <c r="L20" s="17">
        <v>44921</v>
      </c>
      <c r="M20" s="17">
        <v>44921</v>
      </c>
      <c r="N20" s="17">
        <v>44921</v>
      </c>
      <c r="O20" s="17">
        <v>44921</v>
      </c>
    </row>
    <row r="21" ht="24.00" customHeight="true">
      <c r="B21" s="10" t="s">
        <f>WORKDAY(B20,10,K30:K36)</f>
        <v>5</v>
      </c>
      <c r="C21" s="10">
        <f>WORKDAY(C20,10,L30:L36)</f>
        <v>13</v>
      </c>
      <c r="D21" s="10">
        <f>WORKDAY(D20,10,M30:M36)</f>
        <v>13</v>
      </c>
      <c r="E21" s="10">
        <f>WORKDAY(E20,10,N30:N36)</f>
        <v>13</v>
      </c>
      <c r="F21" s="10">
        <f>WORKDAY(F20,10,O30:O36)</f>
        <v>13</v>
      </c>
      <c r="G21" s="11"/>
      <c r="H21" s="11"/>
      <c r="J21" s="9"/>
      <c r="L21" s="20"/>
      <c r="M21" s="20"/>
      <c r="N21" s="20"/>
    </row>
    <row r="22" ht="24.00" customHeight="true">
      <c r="B22" s="14" t="s">
        <f>WORKDAY(B20,18,K31:K37)</f>
        <v>5</v>
      </c>
      <c r="C22" s="14">
        <f ref="C22:F22" t="shared" si="4">WORKDAY(C20,18,L31:L37)</f>
        <v>25</v>
      </c>
      <c r="D22" s="14">
        <f t="shared" si="4"/>
        <v>44613</v>
      </c>
      <c r="E22" s="14">
        <f t="shared" si="4"/>
        <v>44614</v>
      </c>
      <c r="F22" s="14">
        <f t="shared" si="4"/>
        <v>44615</v>
      </c>
      <c r="G22" s="11"/>
      <c r="H22" s="11"/>
      <c r="J22" s="9"/>
      <c r="L22" s="9"/>
      <c r="M22" s="9"/>
      <c r="N22" s="9"/>
    </row>
    <row r="23" ht="25.50" customHeight="true">
      <c r="B23" t="s" s="24">
        <v>32</v>
      </c>
      <c r="C23" t="s" s="24">
        <v>33</v>
      </c>
      <c r="D23" t="s" s="24">
        <v>34</v>
      </c>
      <c r="E23" t="s" s="24">
        <v>35</v>
      </c>
      <c r="F23" t="s" s="24">
        <v>36</v>
      </c>
      <c r="G23" s="23"/>
      <c r="H23" s="23"/>
      <c r="K23" s="9"/>
      <c r="L23" s="9"/>
      <c r="M23" s="9"/>
      <c r="N23" s="9"/>
    </row>
    <row r="24" ht="23.25" customHeight="true">
      <c r="B24" cm="1" s="18" t="s">
        <f t="array" ref="B24">INDEX(calendar,ndx+5)</f>
        <v>5</v>
      </c>
      <c r="C24" s="18"/>
      <c r="D24" s="18"/>
      <c r="E24" s="18"/>
      <c r="F24" s="18"/>
      <c r="G24" s="19"/>
      <c r="H24" s="19"/>
    </row>
    <row r="25" ht="23.25" customHeight="true">
      <c r="B25" s="10" t="s">
        <f>WORKDAY(B24,10,K34:K40)</f>
        <v>5</v>
      </c>
      <c r="C25" s="10">
        <f>WORKDAY(C24,10,L34:L40)</f>
        <v>13</v>
      </c>
      <c r="D25" s="10">
        <f>WORKDAY(D24,10,M34:M40)</f>
        <v>13</v>
      </c>
      <c r="E25" s="10">
        <f>WORKDAY(E24,10,N34:N40)</f>
        <v>13</v>
      </c>
      <c r="F25" s="10">
        <f>WORKDAY(F24,10,O34:O40)</f>
        <v>13</v>
      </c>
      <c r="G25" s="11"/>
      <c r="H25" s="11"/>
    </row>
    <row r="26" ht="23.25" customHeight="true">
      <c r="B26" s="14" t="s">
        <f>WORKDAY(B24,18,K35:K41)</f>
        <v>5</v>
      </c>
      <c r="C26" s="14">
        <f ref="C26:F26" t="shared" si="3">WORKDAY(C24,18,L35:L41)</f>
        <v>25</v>
      </c>
      <c r="D26" s="14">
        <f t="shared" si="3"/>
        <v>44620</v>
      </c>
      <c r="E26" s="14">
        <f t="shared" si="3"/>
        <v>44621</v>
      </c>
      <c r="F26" s="14">
        <f t="shared" si="3"/>
        <v>44622</v>
      </c>
      <c r="G26" s="11"/>
      <c r="H26" s="11"/>
    </row>
    <row r="27" ht="25.50" customHeight="true">
      <c r="B27" t="s" s="24">
        <v>37</v>
      </c>
      <c r="C27" t="s" s="24">
        <v>38</v>
      </c>
      <c r="D27" t="s" s="24">
        <v>39</v>
      </c>
      <c r="E27" t="s" s="24">
        <v>40</v>
      </c>
      <c r="F27" t="s" s="24">
        <v>41</v>
      </c>
      <c r="G27" s="23"/>
      <c r="H27" s="23"/>
    </row>
    <row r="29" ht="15.00" customHeight="true">
      <c r="B29" t="s" s="25">
        <v>42</v>
      </c>
      <c r="C29" s="26"/>
      <c r="D29" s="26"/>
      <c r="E29" s="26"/>
      <c r="F29" s="26"/>
    </row>
    <row r="30" ht="15.00" customHeight="true">
      <c r="B30" t="s" s="27">
        <v>43</v>
      </c>
      <c r="C30" s="28"/>
      <c r="D30" s="28"/>
      <c r="E30" s="28"/>
      <c r="F30" s="28"/>
    </row>
    <row r="31" ht="15.00" customHeight="true">
      <c r="B31" t="s" s="29">
        <v>44</v>
      </c>
      <c r="C31" s="30"/>
      <c r="D31" s="30"/>
      <c r="E31" s="30"/>
      <c r="F31" s="30"/>
    </row>
  </sheetData>
  <mergeCells count="5">
    <mergeCell ref="C1:D1"/>
    <mergeCell ref="C2:D2"/>
    <mergeCell ref="B29:F29"/>
    <mergeCell ref="B30:F30"/>
    <mergeCell ref="B31:F31"/>
  </mergeCells>
  <phoneticPr fontId="0" type="noConversion"/>
  <conditionalFormatting sqref="B29:B30">
    <cfRule priority="1" type="expression" dxfId="0">
      <formula>MonthToDisplayNumber&lt;&gt;MONTH(B29)</formula>
    </cfRule>
  </conditionalFormatting>
  <conditionalFormatting sqref="G13:H13">
    <cfRule priority="2" type="expression" dxfId="1">
      <formula>MonthToDisplayNumber&lt;&gt;MONTH(G13)</formula>
    </cfRule>
  </conditionalFormatting>
  <conditionalFormatting sqref="G9:H10">
    <cfRule priority="3" type="expression" dxfId="2">
      <formula>MonthToDisplayNumber&lt;&gt;MONTH(G9)</formula>
    </cfRule>
  </conditionalFormatting>
  <conditionalFormatting sqref="B4:H4 G5:H6">
    <cfRule priority="4" type="expression" dxfId="3">
      <formula>MonthToDisplayNumber&lt;&gt;MONTH(B4)</formula>
    </cfRule>
  </conditionalFormatting>
  <conditionalFormatting sqref="B24:H24 G25:H26">
    <cfRule priority="5" type="expression" dxfId="4">
      <formula>MonthToDisplayNumber&lt;&gt;MONTH(B24)</formula>
    </cfRule>
  </conditionalFormatting>
  <conditionalFormatting sqref="B20:H20 G21:H22">
    <cfRule priority="6" type="expression" dxfId="5">
      <formula>MonthToDisplayNumber&lt;&gt;MONTH(B20)</formula>
    </cfRule>
  </conditionalFormatting>
  <conditionalFormatting sqref="B16:H16 G17:H18">
    <cfRule priority="7" type="expression" dxfId="6">
      <formula>MonthToDisplayNumber&lt;&gt;MONTH(B16)</formula>
    </cfRule>
  </conditionalFormatting>
  <conditionalFormatting sqref="B12:H12">
    <cfRule priority="8" type="expression" dxfId="7">
      <formula>MonthToDisplayNumber&lt;&gt;MONTH(B12)</formula>
    </cfRule>
  </conditionalFormatting>
  <conditionalFormatting sqref="B8:H8">
    <cfRule priority="9" type="expression" dxfId="8">
      <formula>MonthToDisplayNumber&lt;&gt;MONTH(B8)</formula>
    </cfRule>
  </conditionalFormatting>
  <dataValidations count="8">
    <dataValidation type="list" allowBlank="true" error="Only valid weekday names will work for this calendar. Either select RETRY and type the full weekday name or  select RETRY and press ALT+DOWN ARROW and ENTER to pick from the list. Select CANCEL to exit the cell " prompt="Only valid weekday names will work for this calendar. Either select RETRY and type the full weekday name or  select RETRY and press ALT+DOWN ARROW and ENTER to pick from the list. Select CANCEL to exit the cell " showInputMessage="1" showErrorMessage="1" sqref="E1">
      <formula1>"MONDAY,TUESDAY,WEDNESDAY,THURSDAY,FRIDAY,SATURDAY,SUNDAY"</formula1>
    </dataValidation>
    <dataValidation type="list" allowBlank="true" error="Only valid month names will work for this calendar. Either type the full month name or select from the list. Select RETRY then ALT+DOWN ARROW and ENTER to pick from the list. Select CANCEL to exit the cell " prompt="Only valid month names will work for this calendar. Either type the full month name or select from the list. Select RETRY then ALT+DOWN ARROW and ENTER to pick from the list. Select CANCEL to exit the cell " showInputMessage="1" showErrorMessage="1" sqref="C1:D1">
      <formula1>"JANUARY,FEBRUARY,MARCH,APRIL,MAY,JUNE,JULY,AUGUST,SEPTEMBER,OCTOBER,NOVEMBER,DECEMBER"</formula1>
    </dataValidation>
    <dataValidation allowBlank="true" showInputMessage="1" showErrorMessage="1" sqref="A1"/>
    <dataValidation allowBlank="true" showInputMessage="1" showErrorMessage="1" sqref="B1"/>
    <dataValidation allowBlank="true" showInputMessage="1" showErrorMessage="1" sqref="B3"/>
    <dataValidation allowBlank="true" showInputMessage="1" showErrorMessage="1" sqref="B4 B29:B30"/>
    <dataValidation allowBlank="true" showInputMessage="1" showErrorMessage="1" sqref="B7 B31 B15 B19 B23 B27"/>
    <dataValidation allowBlank="true" showInputMessage="1" showErrorMessage="1" sqref="B20"/>
  </dataValidations>
  <pageMargins left="0.75" right="0.75" top="0.75" bottom="0.75" header="0.25" footer="0.25"/>
  <pageSetup orientation="portrait" paperSize="9" scale="100"/>
  <headerFooter alignWithMargins="1"/>
  <extLst>
    <ext xmlns:x14="http://schemas.microsoft.com/office/spreadsheetml/2009/9/main" uri="{78C0D931-6437-407d-A8EE-F0AAD7539E65}"/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Workbook</vt:lpstr>
      </vt:variant>
      <vt:variant>
        <vt:i4>1</vt:i4>
      </vt:variant>
    </vt:vector>
  </HeadingPairs>
  <TitlesOfParts>
    <vt:vector size="1" baseType="lpstr">
      <vt:lpstr>Lead Times</vt:lpstr>
    </vt:vector>
  </TitlesOfParts>
  <Company>Univer.ai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Univer.ai</dc:creator>
  <cp:lastModifiedBy>Univer.ai</cp:lastModifiedBy>
  <dcterms:created xsi:type="dcterms:W3CDTF">2026-06-01T01:18:20Z</dcterms:created>
  <dcterms:modified xsi:type="dcterms:W3CDTF">2026-06-01T01:18:20Z</dcterms:modified>
</cp:coreProperties>
</file>