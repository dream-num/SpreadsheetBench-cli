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1CC628-B643-4DB6-A6A4-2283B46F6B1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/>
  <c r="D6" i="1"/>
  <c r="E6" i="1"/>
  <c r="F6" i="1"/>
  <c r="B10" i="1"/>
  <c r="C10" i="1"/>
  <c r="D10" i="1"/>
  <c r="E10" i="1"/>
  <c r="F10" i="1"/>
  <c r="E7" i="1"/>
  <c r="F7" i="1"/>
  <c r="C7" i="1"/>
  <c r="D7" i="1"/>
  <c r="C8" i="1"/>
  <c r="D8" i="1"/>
  <c r="E8" i="1"/>
  <c r="F8" i="1"/>
  <c r="D9" i="1"/>
  <c r="E9" i="1"/>
  <c r="C9" i="1"/>
  <c r="F9" i="1"/>
</calcChain>
</file>

<file path=xl/sharedStrings.xml><?xml version="1.0" encoding="utf-8"?>
<sst xmlns="http://schemas.openxmlformats.org/spreadsheetml/2006/main" count="15" uniqueCount="14">
  <si>
    <t>Bonus Structure</t>
  </si>
  <si>
    <t>&gt;$60,000   $.15</t>
  </si>
  <si>
    <t>&gt;$90,000   $.25</t>
  </si>
  <si>
    <t>&gt;$120,000   $.35</t>
  </si>
  <si>
    <t>Quarter</t>
  </si>
  <si>
    <t>Income</t>
  </si>
  <si>
    <t>Tier 1</t>
  </si>
  <si>
    <t> Tier 2</t>
  </si>
  <si>
    <t>Tier 3</t>
  </si>
  <si>
    <t>Total</t>
  </si>
  <si>
    <t>1st</t>
  </si>
  <si>
    <t>2nd</t>
  </si>
  <si>
    <t>3rd</t>
  </si>
  <si>
    <t>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</si>
</sst>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&quot;$&quot;#,##0_);\(&quot;$&quot;#,##0\)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/>
    </xf>
    <xf numFmtId="2" applyNumberFormat="1" fontId="1" applyFont="1" borderId="1" applyBorder="1" applyAlignment="1">
      <alignment/>
    </xf>
    <xf numFmtId="1" applyNumberFormat="1" fontId="1" applyFont="1" borderId="1" applyBorder="1" applyAlignment="1">
      <alignment/>
    </xf>
    <xf numFmtId="2" applyNumberFormat="1" fontId="1" applyFont="1" applyAlignment="1">
      <alignment/>
    </xf>
    <xf numFmtId="2" applyNumberFormat="1" fontId="1" applyFont="1" applyAlignment="1">
      <alignment horizontal="center"/>
    </xf>
    <xf numFmtId="2" applyNumberFormat="1" fontId="1" applyFont="1" borderId="1" applyBorder="1" applyAlignment="1">
      <alignment horizontal="center"/>
    </xf>
  </cellStyleXfs>
  <cellXfs count="7">
    <xf numFmtId="0" fontId="0" fillId="0" borderId="0" xfId="0"/>
    <xf xfId="4" quotePrefix="0" pivotButton="0" numFmtId="2" applyNumberFormat="1" fontId="1" applyFont="1" applyAlignment="1">
      <alignment/>
    </xf>
    <xf xfId="5" quotePrefix="0" pivotButton="0" numFmtId="2" applyNumberFormat="1" fontId="1" applyFont="1" applyAlignment="1">
      <alignment horizontal="center"/>
    </xf>
    <xf xfId="6" quotePrefix="0" pivotButton="0" numFmtId="2" applyNumberFormat="1" fontId="1" applyFont="1" borderId="1" applyBorder="1" applyAlignment="1">
      <alignment horizontal="center"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borderId="1" applyBorder="1" applyAlignment="1">
      <alignment/>
    </xf>
    <xf xfId="3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6" width="14.43" customWidth="1" hidden="0"/>
  </cols>
  <sheetData>
    <row r="1" ht="14.00" customHeight="true">
      <c r="A1" t="s" s="1">
        <v>0</v>
      </c>
    </row>
    <row r="4" ht="14.00" customHeight="true">
      <c r="C4" t="s" s="2">
        <v>1</v>
      </c>
      <c r="D4" t="s" s="2">
        <v>2</v>
      </c>
      <c r="E4" t="s" s="2">
        <v>3</v>
      </c>
    </row>
    <row r="5" ht="14.00" customHeight="true">
      <c r="A5" t="s" s="3">
        <v>4</v>
      </c>
      <c r="B5" t="s" s="3">
        <v>5</v>
      </c>
      <c r="C5" t="s" s="3">
        <v>6</v>
      </c>
      <c r="D5" t="s" s="3">
        <v>7</v>
      </c>
      <c r="E5" t="s" s="3">
        <v>8</v>
      </c>
      <c r="F5" t="s" s="3">
        <v>9</v>
      </c>
    </row>
    <row r="6" ht="14.00" customHeight="true">
      <c r="A6" t="s" s="1">
        <v>10</v>
      </c>
      <c r="B6" s="4">
        <v>65819</v>
      </c>
      <c r="C6" s="1">
        <f>MAX(0,MIN(B6,90000)-60000)*0.15</f>
        <v>872.85</v>
      </c>
      <c r="D6" s="1">
        <f>MAX(0,MIN(B6,120000)-90000)*0.25</f>
        <v>0</v>
      </c>
      <c r="E6" s="1">
        <f>MAX(0,B6-120000)*0.35</f>
        <v>0</v>
      </c>
      <c r="F6" s="4">
        <f>SUM(C6:E6)</f>
        <v>872.85</v>
      </c>
    </row>
    <row r="7" ht="14.00" customHeight="true">
      <c r="A7" t="s" s="1">
        <v>11</v>
      </c>
      <c r="B7" s="4">
        <v>30665</v>
      </c>
      <c r="C7" s="1">
        <f>MAX(0,MIN(B7,90000)-60000)*0.15</f>
        <v>0</v>
      </c>
      <c r="D7" s="1">
        <f>MAX(0,MIN(B7,120000)-90000)*0.25</f>
        <v>0</v>
      </c>
      <c r="E7" s="1">
        <f>MAX(0,B7-120000)*0.35</f>
        <v>0</v>
      </c>
      <c r="F7" s="4">
        <f ref="F7:F10" t="shared" si="0">SUM(C7:E7)</f>
        <v>0</v>
      </c>
    </row>
    <row r="8" ht="14.00" customHeight="true">
      <c r="A8" t="s" s="1">
        <v>12</v>
      </c>
      <c r="B8" s="4">
        <v>131885</v>
      </c>
      <c r="C8" s="4">
        <f>MAX(0,MIN(B8,90000)-60000)*0.15</f>
        <v>4500</v>
      </c>
      <c r="D8" s="4">
        <f>MAX(0,MIN(B8,120000)-90000)*0.25</f>
        <v>7500</v>
      </c>
      <c r="E8" s="4">
        <f>MAX(0,B8-120000)*0.35</f>
        <v>4159.75</v>
      </c>
      <c r="F8" s="4">
        <f t="shared" si="0"/>
        <v>16159.75</v>
      </c>
    </row>
    <row r="9" ht="14.00" customHeight="true">
      <c r="A9" t="s" s="5">
        <v>13</v>
      </c>
      <c r="B9" s="6">
        <v>25065</v>
      </c>
      <c r="C9" s="5">
        <f>MAX(0,MIN(B9,90000)-60000)*0.15</f>
        <v>0</v>
      </c>
      <c r="D9" s="6">
        <f>MAX(0,MIN(B9,120000)-90000)*0.25</f>
        <v>0</v>
      </c>
      <c r="E9" s="6">
        <f>MAX(0,B9-120000)*0.35</f>
        <v>0</v>
      </c>
      <c r="F9" s="6">
        <f t="shared" si="0"/>
        <v>0</v>
      </c>
    </row>
    <row r="10" ht="14.00" customHeight="true">
      <c r="A10" t="s" s="1">
        <v>9</v>
      </c>
      <c r="B10" s="4">
        <f>SUM(B6:B9)</f>
        <v>253434</v>
      </c>
      <c r="C10" s="4">
        <f>SUM(C6:C9)</f>
        <v>5372.85</v>
      </c>
      <c r="D10" s="4">
        <f>SUM(D6:D9)</f>
        <v>7500</v>
      </c>
      <c r="E10" s="4">
        <f>SUM(E6:E9)</f>
        <v>4159.75</v>
      </c>
      <c r="F10" s="4">
        <f t="shared" si="0"/>
        <v>17032.6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2026-05-31T22:16:13Z</dcterms:created>
  <dcterms:modified xsi:type="dcterms:W3CDTF">2026-05-31T22:16:13Z</dcterms:modified>
</cp:coreProperties>
</file>