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8B5F804-D9FD-4F9A-B7BB-396DD06F628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Print_Area" localSheetId="0">Sheet1!$A$1:$B$17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/>
  <c r="E4" i="1"/>
  <c r="E5" i="1"/>
  <c r="E20" i="1"/>
  <c r="E14" i="1"/>
  <c r="F6" i="1"/>
  <c r="E6" i="1"/>
  <c r="E9" i="1"/>
  <c r="E11" i="1"/>
  <c r="F10" i="1"/>
  <c r="E18" i="1"/>
  <c r="F7" i="1"/>
  <c r="E7" i="1"/>
  <c r="E19" i="1"/>
  <c r="F8" i="1"/>
  <c r="B1" i="1"/>
  <c r="B13" i="1"/>
  <c r="E13" i="1"/>
  <c r="E12" i="1"/>
</calcChain>
</file>

<file path=xl/sharedStrings.xml><?xml version="1.0" encoding="utf-8"?>
<sst xmlns="http://schemas.openxmlformats.org/spreadsheetml/2006/main" count="50" uniqueCount="44">
  <si>
    <r>
      <rPr>
        <rFont val="Times New Roman"/>
        <sz val="12.00"/>
        <color rgb="FF000000"/>
        <family val="2"/>
      </rPr>
      <t>SSN</t>
    </r>
  </si>
  <si>
    <r>
      <rPr>
        <rFont val="Times New Roman"/>
        <sz val="25.00"/>
        <b/>
        <color rgb="FF000000"/>
        <family val="2"/>
      </rPr>
      <t>Open AEW</t>
    </r>
  </si>
  <si>
    <r>
      <rPr>
        <rFont val="Times New Roman"/>
        <sz val="12.00"/>
        <color rgb="FF000000"/>
        <family val="2"/>
      </rPr>
      <t>Address</t>
    </r>
  </si>
  <si>
    <r>
      <rPr>
        <rFont val="Times New Roman"/>
        <sz val="12.00"/>
        <color rgb="FF000000"/>
        <family val="2"/>
      </rPr>
      <t>Joe George Vetera</t>
    </r>
  </si>
  <si>
    <r>
      <rPr>
        <rFont val="Times New Roman"/>
        <sz val="12.00"/>
        <color rgb="FF000000"/>
        <family val="2"/>
      </rPr>
      <t>Date</t>
    </r>
  </si>
  <si>
    <r>
      <rPr>
        <rFont val="Times New Roman"/>
        <sz val="25.00"/>
        <b/>
        <color rgb="FF000000"/>
        <family val="2"/>
      </rPr>
      <t>Download AEW/FY2021</t>
    </r>
  </si>
  <si>
    <r>
      <rPr>
        <rFont val="Times New Roman"/>
        <sz val="12.00"/>
        <color rgb="FF000000"/>
        <family val="2"/>
      </rPr>
      <t>Date</t>
    </r>
  </si>
  <si>
    <t>Joe</t>
  </si>
  <si>
    <r>
      <rPr>
        <rFont val="Times New Roman"/>
        <sz val="12.00"/>
        <color rgb="FF000000"/>
        <family val="2"/>
      </rPr>
      <t>Award</t>
    </r>
  </si>
  <si>
    <t>Geor</t>
  </si>
  <si>
    <r>
      <rPr>
        <rFont val="Times New Roman"/>
        <sz val="25.00"/>
        <b/>
        <color rgb="FF000000"/>
        <family val="2"/>
      </rPr>
      <t>Reopen AEW</t>
    </r>
  </si>
  <si>
    <r>
      <rPr>
        <rFont val="Times New Roman"/>
        <sz val="12.00"/>
        <color rgb="FF000000"/>
        <family val="2"/>
      </rPr>
      <t>AEW Date (Use DOC)</t>
    </r>
  </si>
  <si>
    <t>Veteran</t>
  </si>
  <si>
    <t>G.</t>
  </si>
  <si>
    <r>
      <rPr>
        <rFont val="Times New Roman"/>
        <sz val="12.00"/>
        <color rgb="FF000000"/>
        <family val="2"/>
      </rPr>
      <t>POA</t>
    </r>
  </si>
  <si>
    <r>
      <rPr>
        <rFont val="Times New Roman"/>
        <sz val="25.00"/>
        <b/>
        <color rgb="FF000000"/>
        <family val="2"/>
      </rPr>
      <t>21-22, 214</t>
    </r>
  </si>
  <si>
    <r>
      <rPr>
        <rFont val="Times New Roman"/>
        <sz val="12.00"/>
        <color rgb="FF000000"/>
        <family val="2"/>
      </rPr>
      <t>Type</t>
    </r>
  </si>
  <si>
    <t>George</t>
  </si>
  <si>
    <r>
      <rPr>
        <rFont val="Times New Roman"/>
        <sz val="12.00"/>
        <color rgb="FF000000"/>
        <family val="2"/>
      </rPr>
      <t>Contention</t>
    </r>
  </si>
  <si>
    <r>
      <rPr>
        <rFont val="Times New Roman"/>
        <sz val="25.00"/>
        <b/>
        <color rgb="FF000000"/>
        <family val="2"/>
      </rPr>
      <t>Letter Data</t>
    </r>
  </si>
  <si>
    <r>
      <rPr>
        <rFont val="Times New Roman"/>
        <sz val="12.00"/>
        <color rgb="FF000000"/>
        <family val="2"/>
      </rPr>
      <t>Letter Name</t>
    </r>
  </si>
  <si>
    <t>Joe George Veteran</t>
  </si>
  <si>
    <r>
      <rPr>
        <rFont val="Times New Roman"/>
        <sz val="12.00"/>
        <color rgb="FF000000"/>
        <family val="2"/>
      </rPr>
      <t>VBMS-A Remarks</t>
    </r>
  </si>
  <si>
    <t>Veteran, Joe George</t>
  </si>
  <si>
    <r>
      <rPr>
        <rFont val="Times New Roman"/>
        <sz val="25.00"/>
        <b/>
        <color rgb="FF000000"/>
        <family val="2"/>
      </rPr>
      <t>Do Calculator</t>
    </r>
  </si>
  <si>
    <r>
      <rPr>
        <rFont val="Times New Roman"/>
        <sz val="12.00"/>
        <color rgb="FF000000"/>
        <family val="2"/>
      </rPr>
      <t>Letter Dates</t>
    </r>
  </si>
  <si>
    <t>#REF!</t>
  </si>
  <si>
    <t>JGV</t>
  </si>
  <si>
    <r>
      <rPr>
        <rFont val="Times New Roman"/>
        <sz val="12.00"/>
        <color rgb="FF000000"/>
        <family val="2"/>
      </rPr>
      <t>Letter Dates</t>
    </r>
  </si>
  <si>
    <t>6789</t>
  </si>
  <si>
    <r>
      <rPr>
        <rFont val="Times New Roman"/>
        <sz val="25.00"/>
        <b/>
        <color rgb="FF000000"/>
        <family val="2"/>
      </rPr>
      <t xml:space="preserve"> Do Letter</t>
    </r>
  </si>
  <si>
    <r>
      <rPr>
        <rFont val="Times New Roman"/>
        <sz val="12.00"/>
        <color rgb="FF000000"/>
        <family val="2"/>
      </rPr>
      <t>Calculator Name</t>
    </r>
  </si>
  <si>
    <r>
      <rPr>
        <rFont val="Times New Roman"/>
        <sz val="12.00"/>
        <family val="2"/>
      </rPr>
      <t xml:space="preserve">AEW Dated </t>
    </r>
  </si>
  <si>
    <r>
      <rPr>
        <rFont val="Times New Roman"/>
        <sz val="12.00"/>
        <color rgb="FF000000"/>
        <family val="2"/>
      </rPr>
      <t>Letter Creator Name</t>
    </r>
  </si>
  <si>
    <r>
      <rPr>
        <rFont val="Times New Roman"/>
        <sz val="12.00"/>
        <family val="2"/>
      </rPr>
      <t xml:space="preserve">Grant, BEST PCLTRS </t>
    </r>
  </si>
  <si>
    <r>
      <rPr>
        <rFont val="Times New Roman"/>
        <sz val="25.00"/>
        <b/>
        <color rgb="FF000000"/>
        <family val="2"/>
      </rPr>
      <t>Save Letter/FY2021/PCLTR/Break</t>
    </r>
  </si>
  <si>
    <r>
      <rPr>
        <rFont val="Times New Roman"/>
        <sz val="12.00"/>
        <color rgb="FF000000"/>
        <family val="2"/>
      </rPr>
      <t>Second AEW</t>
    </r>
  </si>
  <si>
    <r>
      <rPr>
        <rFont val="Times New Roman"/>
        <sz val="12.00"/>
        <color rgb="FF000000"/>
        <family val="2"/>
      </rPr>
      <t>Contention</t>
    </r>
  </si>
  <si>
    <r>
      <rPr>
        <rFont val="Times New Roman"/>
        <sz val="25.00"/>
        <b/>
        <color rgb="FF000000"/>
        <family val="2"/>
      </rPr>
      <t>Print Calculator/FY2021</t>
    </r>
  </si>
  <si>
    <r>
      <rPr>
        <rFont val="Times New Roman"/>
        <sz val="12.00"/>
        <color rgb="FF000000"/>
        <family val="2"/>
      </rPr>
      <t>VBMS-A Remarks</t>
    </r>
  </si>
  <si>
    <r>
      <rPr>
        <rFont val="Times New Roman"/>
        <sz val="25.00"/>
        <b/>
        <color rgb="FF000000"/>
        <family val="2"/>
      </rPr>
      <t>Upload Calculator</t>
    </r>
  </si>
  <si>
    <r>
      <rPr>
        <rFont val="Times New Roman"/>
        <sz val="25.00"/>
        <b/>
        <color rgb="FF000000"/>
        <family val="2"/>
      </rPr>
      <t>Save Letter Creator/FY2021</t>
    </r>
  </si>
  <si>
    <r>
      <rPr>
        <rFont val="Times New Roman"/>
        <sz val="25.00"/>
        <b/>
        <color rgb="FF000000"/>
        <family val="2"/>
      </rPr>
      <t>CEST Claim</t>
    </r>
  </si>
  <si>
    <r>
      <rPr>
        <rFont val="Times New Roman"/>
        <sz val="25.00"/>
        <b/>
        <color rgb="FF000000"/>
        <family val="2"/>
      </rPr>
      <t>VBMS-A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</si>
</sst>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9">
    <numFmt numFmtId="1" formatCode="mmmm"/>
    <numFmt numFmtId="2" formatCode="General"/>
    <numFmt numFmtId="3" formatCode="&quot;$&quot;#,##0.00"/>
    <numFmt numFmtId="4" formatCode="mmmm\ dd\,\ yyyy"/>
    <numFmt numFmtId="5" formatCode="[$-409]mmmm\ d\,\ yyyy;@"/>
    <numFmt numFmtId="6" formatCode="yyyy"/>
    <numFmt numFmtId="7" formatCode="mmmmm\ dd\,\ yyyy"/>
    <numFmt numFmtId="8" formatCode="@"/>
    <numFmt numFmtId="9" formatCode="0"/>
  </numFmts>
  <fonts count="5">
    <font>
      <sz val="11"/>
      <color theme="1"/>
      <name val="Arial"/>
      <family val="2"/>
      <scheme val="minor"/>
    </font>
    <font>
      <name val="Times New Roman"/>
      <sz val="12.00"/>
      <family val="2"/>
    </font>
    <font>
      <name val="Times New Roman"/>
      <sz val="40.00"/>
      <b/>
      <color rgb="FF000000"/>
      <family val="2"/>
    </font>
    <font>
      <name val="Times New Roman"/>
      <sz val="25.00"/>
      <b/>
      <color rgb="FF000000"/>
      <family val="2"/>
    </font>
    <font>
      <name val="Times New Roman"/>
      <sz val="12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32">
    <xf numFmtId="0" fontId="0" fillId="0" borderId="0"/>
    <xf numFmtId="1" applyNumberFormat="1" fontId="1" applyFont="1" applyAlignment="1">
      <alignment horizontal="left"/>
    </xf>
    <xf numFmtId="2" applyNumberFormat="1" fontId="2" applyFont="1" borderId="1" applyBorder="1" applyAlignment="1">
      <alignment vertical="center"/>
    </xf>
    <xf numFmtId="2" applyNumberFormat="1" fontId="2" applyFont="1" borderId="2" applyBorder="1" applyAlignment="1">
      <alignment vertical="center"/>
    </xf>
    <xf numFmtId="2" applyNumberFormat="1" fontId="3" applyFont="1" borderId="3" applyBorder="1" applyAlignment="1">
      <alignment vertical="center" horizontal="center"/>
    </xf>
    <xf numFmtId="2" applyNumberFormat="1" fontId="2" applyFont="1" borderId="1" applyBorder="1" applyAlignment="1">
      <alignment vertical="center"/>
    </xf>
    <xf numFmtId="3" applyNumberFormat="1" fontId="4" applyFont="1" fillId="2" applyFill="1" applyAlignment="1">
      <alignment horizontal="left"/>
    </xf>
    <xf numFmtId="2" applyNumberFormat="1" fontId="1" applyFont="1" applyAlignment="1">
      <alignment horizontal="left" wrapText="1"/>
    </xf>
    <xf numFmtId="2" applyNumberFormat="1" fontId="4" applyFont="1" fillId="3" applyFill="1" applyAlignment="1">
      <alignment horizontal="left" wrapText="1"/>
    </xf>
    <xf numFmtId="4" applyNumberFormat="1" fontId="4" applyFont="1" fillId="4" applyFill="1" applyAlignment="1">
      <alignment horizontal="left"/>
    </xf>
    <xf numFmtId="5" applyNumberFormat="1" fontId="1" applyFont="1" applyAlignment="1">
      <alignment horizontal="left"/>
    </xf>
    <xf numFmtId="6" applyNumberFormat="1" fontId="1" applyFont="1" applyAlignment="1">
      <alignment horizontal="left"/>
    </xf>
    <xf numFmtId="2" applyNumberFormat="1" fontId="3" applyFont="1" borderId="3" applyBorder="1" applyAlignment="1">
      <alignment vertical="center" horizontal="center"/>
    </xf>
    <xf numFmtId="2" applyNumberFormat="1" fontId="4" applyFont="1" applyAlignment="1">
      <alignment horizontal="left"/>
    </xf>
    <xf numFmtId="2" applyNumberFormat="1" fontId="1" applyFont="1" applyAlignment="1">
      <alignment horizontal="left" wrapText="1"/>
    </xf>
    <xf numFmtId="2" applyNumberFormat="1" fontId="4" applyFont="1" fillId="2" applyFill="1" applyAlignment="1">
      <alignment horizontal="left"/>
    </xf>
    <xf numFmtId="2" applyNumberFormat="1" fontId="4" applyFont="1" fillId="3" applyFill="1" applyAlignment="1">
      <alignment horizontal="left"/>
    </xf>
    <xf numFmtId="7" applyNumberFormat="1" fontId="4" applyFont="1" applyAlignment="1">
      <alignment horizontal="left"/>
    </xf>
    <xf numFmtId="8" applyNumberFormat="1" fontId="1" applyFont="1" applyAlignment="1">
      <alignment horizontal="left"/>
    </xf>
    <xf numFmtId="2" applyNumberFormat="1" fontId="3" applyFont="1" borderId="4" applyBorder="1" applyAlignment="1">
      <alignment vertical="center" horizontal="center" wrapText="1"/>
    </xf>
    <xf numFmtId="2" applyNumberFormat="1" fontId="4" applyFont="1" fillId="2" applyFill="1" applyAlignment="1">
      <alignment/>
    </xf>
    <xf numFmtId="2" applyNumberFormat="1" fontId="4" applyFont="1" applyAlignment="1">
      <alignment vertical="center" horizontal="left" wrapText="1"/>
    </xf>
    <xf numFmtId="5" applyNumberFormat="1" fontId="4" applyFont="1" fillId="3" applyFill="1" applyAlignment="1">
      <alignment horizontal="left"/>
    </xf>
    <xf numFmtId="2" applyNumberFormat="1" fontId="4" applyFont="1" fillId="4" applyFill="1" applyAlignment="1">
      <alignment horizontal="left" wrapText="1"/>
    </xf>
    <xf numFmtId="2" applyNumberFormat="1" fontId="3" applyFont="1" borderId="5" applyBorder="1" applyAlignment="1">
      <alignment vertical="center" horizontal="center"/>
    </xf>
    <xf numFmtId="4" applyNumberFormat="1" fontId="4" applyFont="1" fillId="2" applyFill="1" applyAlignment="1">
      <alignment horizontal="left"/>
    </xf>
    <xf numFmtId="2" applyNumberFormat="1" fontId="4" applyFont="1" applyAlignment="1">
      <alignment horizontal="left" wrapText="1"/>
    </xf>
    <xf numFmtId="4" applyNumberFormat="1" fontId="1" applyFont="1" applyAlignment="1">
      <alignment horizontal="left"/>
    </xf>
    <xf numFmtId="2" applyNumberFormat="1" fontId="1" applyFont="1" applyAlignment="1">
      <alignment vertical="center" horizontal="left" wrapText="1"/>
    </xf>
    <xf numFmtId="9" applyNumberFormat="1" fontId="1" applyFont="1" applyAlignment="1">
      <alignment horizontal="left"/>
    </xf>
    <xf numFmtId="2" applyNumberFormat="1" fontId="3" applyFont="1" borderId="5" applyBorder="1" applyAlignment="1">
      <alignment vertical="center" horizontal="center"/>
    </xf>
    <xf numFmtId="5" applyNumberFormat="1" fontId="4" applyFont="1" fillId="2" applyFill="1" applyAlignment="1">
      <alignment horizontal="left"/>
    </xf>
  </cellStyleXfs>
  <cellXfs count="35">
    <xf numFmtId="0" fontId="0" fillId="0" borderId="0" xfId="0"/>
    <xf xfId="25" quotePrefix="0" pivotButton="0" numFmtId="4" applyNumberFormat="1" fontId="4" applyFont="1" fillId="2" applyFill="1" applyAlignment="1">
      <alignment horizontal="left"/>
    </xf>
    <xf xfId="23" quotePrefix="0" pivotButton="0" numFmtId="2" applyNumberFormat="1" fontId="4" applyFont="1" fillId="4" applyFill="1" applyAlignment="1">
      <alignment horizontal="left" wrapText="1"/>
    </xf>
    <xf xfId="5" quotePrefix="0" pivotButton="0" numFmtId="2" applyNumberFormat="1" fontId="2" applyFont="1" borderId="1" applyBorder="1" applyAlignment="1">
      <alignment vertical="center"/>
    </xf>
    <xf xfId="2" quotePrefix="0" pivotButton="0" numFmtId="2" applyNumberFormat="1" fontId="2" applyFont="1" borderId="1" applyBorder="1" applyAlignment="1">
      <alignment vertical="center"/>
    </xf>
    <xf xfId="3" quotePrefix="0" pivotButton="0" numFmtId="2" applyNumberFormat="1" fontId="2" applyFont="1" borderId="2" applyBorder="1" applyAlignment="1">
      <alignment vertical="center"/>
    </xf>
    <xf xfId="26" quotePrefix="0" pivotButton="0" numFmtId="2" applyNumberFormat="1" fontId="4" applyFont="1" applyAlignment="1">
      <alignment horizontal="left" wrapText="1"/>
    </xf>
    <xf xfId="16" quotePrefix="0" pivotButton="0" numFmtId="2" applyNumberFormat="1" fontId="4" applyFont="1" fillId="3" applyFill="1" applyAlignment="1">
      <alignment horizontal="left"/>
    </xf>
    <xf xfId="14" quotePrefix="0" pivotButton="0" numFmtId="2" applyNumberFormat="1" fontId="1" applyFont="1" applyAlignment="1">
      <alignment horizontal="left" wrapText="1"/>
    </xf>
    <xf xfId="10" quotePrefix="0" pivotButton="0" numFmtId="5" applyNumberFormat="1" fontId="1" applyFont="1" applyAlignment="1">
      <alignment horizontal="left"/>
    </xf>
    <xf xfId="19" quotePrefix="0" pivotButton="0" numFmtId="2" applyNumberFormat="1" fontId="3" applyFont="1" borderId="4" applyBorder="1" applyAlignment="1">
      <alignment vertical="center" horizontal="center" wrapText="1"/>
    </xf>
    <xf xfId="12" quotePrefix="0" pivotButton="0" numFmtId="2" applyNumberFormat="1" fontId="3" applyFont="1" borderId="3" applyBorder="1" applyAlignment="1">
      <alignment vertical="center" horizontal="center"/>
    </xf>
    <xf xfId="4" quotePrefix="0" pivotButton="0" numFmtId="2" applyNumberFormat="1" fontId="3" applyFont="1" borderId="3" applyBorder="1" applyAlignment="1">
      <alignment vertical="center" horizontal="center"/>
    </xf>
    <xf xfId="30" quotePrefix="0" pivotButton="0" numFmtId="2" applyNumberFormat="1" fontId="3" applyFont="1" borderId="5" applyBorder="1" applyAlignment="1">
      <alignment vertical="center" horizontal="center"/>
    </xf>
    <xf xfId="21" quotePrefix="0" pivotButton="0" numFmtId="2" applyNumberFormat="1" fontId="4" applyFont="1" applyAlignment="1">
      <alignment vertical="center" horizontal="left" wrapText="1"/>
    </xf>
    <xf xfId="8" quotePrefix="0" pivotButton="0" numFmtId="2" applyNumberFormat="1" fontId="4" applyFont="1" fillId="3" applyFill="1" applyAlignment="1">
      <alignment horizontal="left" wrapText="1"/>
    </xf>
    <xf xfId="27" quotePrefix="0" pivotButton="0" numFmtId="4" applyNumberFormat="1" fontId="1" applyFont="1" applyAlignment="1">
      <alignment horizontal="left"/>
    </xf>
    <xf xfId="19" quotePrefix="0" pivotButton="0" numFmtId="2" applyNumberFormat="1" fontId="3" applyFont="1" borderId="4" applyBorder="1" applyAlignment="1">
      <alignment vertical="center" horizontal="center" wrapText="1"/>
    </xf>
    <xf xfId="31" quotePrefix="0" pivotButton="0" numFmtId="5" applyNumberFormat="1" fontId="4" applyFont="1" fillId="2" applyFill="1" applyAlignment="1">
      <alignment horizontal="left"/>
    </xf>
    <xf xfId="6" quotePrefix="0" pivotButton="0" numFmtId="3" applyNumberFormat="1" fontId="4" applyFont="1" fillId="2" applyFill="1" applyAlignment="1">
      <alignment horizontal="left"/>
    </xf>
    <xf xfId="26" quotePrefix="0" pivotButton="0" numFmtId="2" applyNumberFormat="1" fontId="4" applyFont="1" applyAlignment="1">
      <alignment horizontal="left" wrapText="1"/>
    </xf>
    <xf xfId="22" quotePrefix="0" pivotButton="0" numFmtId="5" applyNumberFormat="1" fontId="4" applyFont="1" fillId="3" applyFill="1" applyAlignment="1">
      <alignment horizontal="left"/>
    </xf>
    <xf xfId="20" quotePrefix="0" pivotButton="0" numFmtId="2" applyNumberFormat="1" fontId="4" applyFont="1" fillId="2" applyFill="1" applyAlignment="1">
      <alignment/>
    </xf>
    <xf xfId="15" quotePrefix="0" pivotButton="0" numFmtId="2" applyNumberFormat="1" fontId="4" applyFont="1" fillId="2" applyFill="1" applyAlignment="1">
      <alignment horizontal="left"/>
    </xf>
    <xf xfId="18" quotePrefix="0" pivotButton="0" numFmtId="8" applyNumberFormat="1" fontId="1" applyFont="1" applyAlignment="1">
      <alignment horizontal="left"/>
    </xf>
    <xf xfId="23" quotePrefix="0" pivotButton="0" numFmtId="2" applyNumberFormat="1" fontId="4" applyFont="1" fillId="4" applyFill="1" applyAlignment="1">
      <alignment horizontal="left" wrapText="1"/>
    </xf>
    <xf xfId="9" quotePrefix="0" pivotButton="0" numFmtId="4" applyNumberFormat="1" fontId="4" applyFont="1" fillId="4" applyFill="1" applyAlignment="1">
      <alignment horizontal="left"/>
    </xf>
    <xf xfId="7" quotePrefix="0" pivotButton="0" numFmtId="2" applyNumberFormat="1" fontId="1" applyFont="1" applyAlignment="1">
      <alignment horizontal="left" wrapText="1"/>
    </xf>
    <xf xfId="11" quotePrefix="0" pivotButton="0" numFmtId="6" applyNumberFormat="1" fontId="1" applyFont="1" applyAlignment="1">
      <alignment horizontal="left"/>
    </xf>
    <xf xfId="28" quotePrefix="0" pivotButton="0" numFmtId="2" applyNumberFormat="1" fontId="1" applyFont="1" applyAlignment="1">
      <alignment vertical="center" horizontal="left" wrapText="1"/>
    </xf>
    <xf xfId="14" quotePrefix="0" pivotButton="0" numFmtId="2" applyNumberFormat="1" fontId="1" applyFont="1" applyAlignment="1">
      <alignment horizontal="left" wrapText="1"/>
    </xf>
    <xf xfId="1" quotePrefix="0" pivotButton="0" numFmtId="1" applyNumberFormat="1" fontId="1" applyFont="1" applyAlignment="1">
      <alignment horizontal="left"/>
    </xf>
    <xf xfId="29" quotePrefix="0" pivotButton="0" numFmtId="9" applyNumberFormat="1" fontId="1" applyFont="1" applyAlignment="1">
      <alignment horizontal="left"/>
    </xf>
    <xf xfId="24" quotePrefix="0" pivotButton="0" numFmtId="2" applyNumberFormat="1" fontId="3" applyFont="1" borderId="5" applyBorder="1" applyAlignment="1">
      <alignment vertical="center" horizontal="center"/>
    </xf>
    <xf xfId="17" quotePrefix="0" pivotButton="0" numFmtId="7" applyNumberFormat="1" fontId="4" applyFont="1" applyAlignment="1">
      <alignment horizontal="left"/>
    </xf>
  </cellXfs>
  <cellStyles count="1">
    <cellStyle name="normal" xfId="0" builtinId="0"/>
  </cellStyles>
  <dxfs count="2">
    <dxf>
      <font/>
      <alignment/>
    </dxf>
    <dxf>
      <font/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60" customHeight="1" defaultColWidth="8.61"/>
  <cols>
    <col min="1" max="1" width="20.82" customWidth="1" hidden="0"/>
    <col min="2" max="2" width="72.82" customWidth="1" hidden="0"/>
    <col min="3" max="4" width="2.07" customWidth="1" hidden="0"/>
    <col min="5" max="5" width="27.80" customWidth="1" hidden="0"/>
    <col min="6" max="6" width="16.90" customWidth="1" hidden="0"/>
    <col min="7" max="7" width="18.86" customWidth="1" hidden="0"/>
    <col min="8" max="8" width="16.79" customWidth="1" hidden="0"/>
  </cols>
  <sheetData>
    <row r="1" hidden="1" ht="15.45" customHeight="true">
      <c r="B1" s="1">
        <f>TODAY()</f>
        <v>46173</v>
      </c>
      <c r="C1" s="2"/>
      <c r="D1" s="2"/>
      <c r="E1" s="2"/>
      <c r="F1" s="2"/>
      <c r="H1" s="3"/>
      <c r="I1" s="3"/>
      <c r="J1" s="3"/>
      <c r="K1" s="4"/>
      <c r="L1" s="5"/>
    </row>
    <row r="2" ht="15.45" customHeight="true">
      <c r="A2" t="s" s="6">
        <v>0</v>
      </c>
      <c r="B2" s="7">
        <v>123456789</v>
      </c>
      <c r="C2" s="8"/>
      <c r="D2" s="8"/>
      <c r="E2" s="9"/>
      <c r="F2" s="8"/>
      <c r="G2" t="s" s="10">
        <v>1</v>
      </c>
      <c r="H2" s="11"/>
      <c r="I2" s="12"/>
      <c r="J2" s="12"/>
      <c r="K2" s="12"/>
      <c r="L2" s="13"/>
    </row>
    <row r="3" ht="46.05" customHeight="true">
      <c r="A3" t="s" s="14">
        <v>2</v>
      </c>
      <c r="B3" t="s" s="15">
        <v>3</v>
      </c>
      <c r="C3" s="8"/>
      <c r="D3" s="8"/>
      <c r="E3" s="16"/>
      <c r="F3" s="8"/>
      <c r="G3" s="17"/>
      <c r="H3" s="11"/>
      <c r="I3" s="12"/>
      <c r="J3" s="12"/>
      <c r="K3" s="12"/>
      <c r="L3" s="13"/>
    </row>
    <row r="4" ht="15.45" customHeight="true">
      <c r="A4" t="s" s="6">
        <v>4</v>
      </c>
      <c r="B4" s="18"/>
      <c r="C4" s="8"/>
      <c r="D4" s="8"/>
      <c r="E4" s="9">
        <f>B7</f>
        <v>0</v>
      </c>
      <c r="F4" s="9">
        <f>B7</f>
        <v>0</v>
      </c>
      <c r="G4" t="s" s="10">
        <v>5</v>
      </c>
      <c r="H4" s="11"/>
      <c r="I4" s="12"/>
      <c r="J4" s="12"/>
      <c r="K4" s="12"/>
      <c r="L4" s="13"/>
    </row>
    <row r="5" ht="15.45" customHeight="true">
      <c r="A5" t="s" s="6">
        <v>6</v>
      </c>
      <c r="B5" s="18"/>
      <c r="C5" s="8"/>
      <c r="D5" s="8"/>
      <c r="E5" s="8" t="s">
        <f>LEFT(E19,FIND(" ",E19)-1)</f>
        <v>7</v>
      </c>
      <c r="F5" s="8"/>
      <c r="G5" s="17"/>
      <c r="H5" s="11"/>
      <c r="I5" s="12"/>
      <c r="J5" s="12"/>
      <c r="K5" s="12"/>
      <c r="L5" s="13"/>
    </row>
    <row r="6" ht="15.45" customHeight="true">
      <c r="A6" t="s" s="6">
        <v>8</v>
      </c>
      <c r="B6" s="19"/>
      <c r="C6" s="8"/>
      <c r="D6" s="8"/>
      <c r="E6" s="20" t="s">
        <f>LEFT(MID(E9,1,1)&amp;MID(E9,2,1)&amp;MID(E9,3,1)&amp;MID(E9,4,1),2*LEN(E9))</f>
        <v>9</v>
      </c>
      <c r="F6" s="8" t="s">
        <f>PROPER(E5)</f>
        <v>7</v>
      </c>
      <c r="G6" t="s" s="10">
        <v>10</v>
      </c>
      <c r="H6" s="11"/>
      <c r="I6" s="12"/>
      <c r="J6" s="12"/>
      <c r="K6" s="12"/>
      <c r="L6" s="13"/>
    </row>
    <row r="7" ht="15.45" customHeight="true">
      <c r="A7" t="s" s="6">
        <v>11</v>
      </c>
      <c r="B7" s="21"/>
      <c r="C7" s="8"/>
      <c r="D7" s="8"/>
      <c r="E7" s="8" t="s">
        <f>RIGHT(E19,LEN(E19)-FIND("*",SUBSTITUTE(E19," ","*",LEN(E19)-LEN(SUBSTITUTE(E19," ","")))))</f>
        <v>12</v>
      </c>
      <c r="F7" s="20" t="s">
        <f>IF(F10="","",LEFT(F10)&amp;".")</f>
        <v>13</v>
      </c>
      <c r="G7" s="17"/>
      <c r="H7" s="11"/>
      <c r="I7" s="12"/>
      <c r="J7" s="12"/>
      <c r="K7" s="12"/>
      <c r="L7" s="13"/>
    </row>
    <row r="8" ht="15.45" customHeight="true">
      <c r="A8" t="s" s="6">
        <v>14</v>
      </c>
      <c r="B8" s="15"/>
      <c r="C8" s="8"/>
      <c r="D8" s="8"/>
      <c r="F8" s="8" t="s">
        <f>PROPER(E7)</f>
        <v>12</v>
      </c>
      <c r="G8" t="s" s="10">
        <v>15</v>
      </c>
      <c r="H8" s="11"/>
      <c r="I8" s="11"/>
      <c r="J8" s="12"/>
      <c r="K8" s="12"/>
      <c r="L8" s="13"/>
    </row>
    <row r="9" ht="15.45" customHeight="true">
      <c r="A9" t="s" s="6">
        <v>16</v>
      </c>
      <c r="B9" s="22"/>
      <c r="C9" s="8"/>
      <c r="D9" s="8"/>
      <c r="E9" s="8" t="s">
        <f>TRIM(MID(E19,LEN(E5)+1,LEN(E19)-LEN(E5&amp;E7)))</f>
        <v>17</v>
      </c>
      <c r="F9" s="8"/>
      <c r="G9" s="17"/>
      <c r="H9" s="11"/>
      <c r="I9" s="12"/>
      <c r="J9" s="12"/>
      <c r="K9" s="12"/>
      <c r="L9" s="13"/>
    </row>
    <row r="10" ht="15.45" customHeight="true">
      <c r="A10" t="s" s="6">
        <v>18</v>
      </c>
      <c r="B10" s="18"/>
      <c r="C10" s="8"/>
      <c r="D10" s="8"/>
      <c r="E10" s="16"/>
      <c r="F10" s="20" t="s">
        <f>PROPER(E9)</f>
        <v>17</v>
      </c>
      <c r="G10" t="s" s="10">
        <v>19</v>
      </c>
      <c r="H10" s="11"/>
      <c r="I10" s="12"/>
      <c r="J10" s="12"/>
      <c r="K10" s="12"/>
      <c r="L10" s="13"/>
    </row>
    <row r="11" ht="15.45" customHeight="true">
      <c r="A11" t="s" s="6">
        <v>20</v>
      </c>
      <c r="B11" s="23"/>
      <c r="C11" s="8"/>
      <c r="D11" s="8"/>
      <c r="E11" s="20" t="s">
        <f>TRIM(E20)</f>
        <v>21</v>
      </c>
      <c r="G11" s="17"/>
      <c r="H11" s="11"/>
      <c r="I11" s="11"/>
      <c r="J11" s="12"/>
      <c r="K11" s="12"/>
      <c r="L11" s="13"/>
    </row>
    <row r="12" ht="15.45" customHeight="true">
      <c r="A12" t="s" s="6">
        <v>22</v>
      </c>
      <c r="B12" s="23"/>
      <c r="C12" s="8"/>
      <c r="D12" s="8"/>
      <c r="E12" s="8" t="s">
        <f>F8&amp;", "&amp;F6&amp;" "&amp;F10</f>
        <v>23</v>
      </c>
      <c r="F12" s="24"/>
      <c r="G12" t="s" s="10">
        <v>24</v>
      </c>
      <c r="H12" s="11"/>
      <c r="I12" s="12"/>
      <c r="J12" s="12"/>
      <c r="K12" s="12"/>
      <c r="L12" s="13"/>
    </row>
    <row r="13" ht="15.45" customHeight="true">
      <c r="A13" t="s" s="25">
        <v>25</v>
      </c>
      <c r="B13" s="26" t="s">
        <f>#REF!</f>
        <v>26</v>
      </c>
      <c r="C13" s="8"/>
      <c r="D13" s="8"/>
      <c r="E13" s="8" t="s">
        <f>LEFT(E19)&amp;IF(ISNUMBER(FIND(" ",E19)),MID(E19,FIND(" ",E19)+1,1),"")&amp;IF(ISNUMBER(FIND(" ",E19,FIND(" ",E19)+1)),MID(E19,FIND(" ",E19,FIND(" ",E19)+1)+1,1),"")</f>
        <v>27</v>
      </c>
      <c r="F13" s="8"/>
      <c r="G13" s="17"/>
      <c r="H13" s="11"/>
      <c r="I13" s="12"/>
      <c r="J13" s="12"/>
      <c r="K13" s="12"/>
      <c r="L13" s="13"/>
    </row>
    <row r="14" ht="15.45" customHeight="true">
      <c r="A14" t="s" s="6">
        <v>28</v>
      </c>
      <c r="B14" s="1"/>
      <c r="C14" s="8"/>
      <c r="D14" s="24"/>
      <c r="E14" s="27" t="s">
        <f>RIGHT(B2,4)</f>
        <v>29</v>
      </c>
      <c r="F14" s="8"/>
      <c r="G14" t="s" s="10">
        <v>30</v>
      </c>
      <c r="H14" s="11"/>
      <c r="I14" s="12"/>
      <c r="J14" s="12"/>
      <c r="K14" s="12"/>
      <c r="L14" s="13"/>
    </row>
    <row r="15" ht="15.45" customHeight="true">
      <c r="A15" t="s" s="6">
        <v>31</v>
      </c>
      <c r="B15" s="23"/>
      <c r="C15" s="8"/>
      <c r="D15" s="28"/>
      <c r="E15" t="s" s="29">
        <v>32</v>
      </c>
      <c r="F15" s="8"/>
      <c r="G15" s="17"/>
      <c r="H15" s="11"/>
      <c r="I15" s="12"/>
      <c r="J15" s="12"/>
      <c r="K15" s="12"/>
      <c r="L15" s="13"/>
    </row>
    <row r="16" ht="15.45" customHeight="true">
      <c r="A16" t="s" s="6">
        <v>33</v>
      </c>
      <c r="B16" s="23"/>
      <c r="C16" s="8"/>
      <c r="D16" s="8"/>
      <c r="E16" t="s" s="30">
        <v>34</v>
      </c>
      <c r="F16" s="16"/>
      <c r="G16" t="s" s="10">
        <v>35</v>
      </c>
      <c r="H16" s="11"/>
      <c r="I16" s="12"/>
      <c r="J16" s="12"/>
      <c r="K16" s="12"/>
      <c r="L16" s="13"/>
    </row>
    <row r="17" ht="15.45" customHeight="true">
      <c r="A17" t="s" s="6">
        <v>36</v>
      </c>
      <c r="B17" s="21"/>
      <c r="C17" s="8"/>
      <c r="D17" s="8"/>
      <c r="F17" s="8"/>
      <c r="G17" s="17"/>
      <c r="H17" s="11"/>
      <c r="I17" s="11"/>
      <c r="J17" s="12"/>
      <c r="K17" s="12"/>
      <c r="L17" s="13"/>
    </row>
    <row r="18" ht="15.45" customHeight="true">
      <c r="A18" t="s" s="6">
        <v>37</v>
      </c>
      <c r="B18" s="23"/>
      <c r="C18" s="8"/>
      <c r="D18" s="8"/>
      <c r="E18" s="8" t="s">
        <f>LEFT(B3, SEARCH(CHAR(10), B3)-1)</f>
        <v>21</v>
      </c>
      <c r="F18" s="8"/>
      <c r="G18" t="s" s="10">
        <v>38</v>
      </c>
      <c r="H18" s="11"/>
      <c r="I18" s="12"/>
      <c r="J18" s="12"/>
      <c r="K18" s="12"/>
      <c r="L18" s="13"/>
    </row>
    <row r="19" ht="15.45" customHeight="true">
      <c r="A19" t="s" s="6">
        <v>39</v>
      </c>
      <c r="B19" s="23"/>
      <c r="C19" s="8"/>
      <c r="D19" s="8"/>
      <c r="E19" s="31" t="s">
        <f>E18</f>
        <v>21</v>
      </c>
      <c r="F19" s="32"/>
      <c r="G19" s="17"/>
      <c r="H19" s="11"/>
      <c r="I19" s="12"/>
      <c r="J19" s="12"/>
      <c r="K19" s="12"/>
      <c r="L19" s="13"/>
    </row>
    <row r="20" ht="15.45" customHeight="true">
      <c r="A20" s="2"/>
      <c r="B20" s="2"/>
      <c r="C20" s="8"/>
      <c r="D20" s="8"/>
      <c r="E20" s="8" t="s">
        <f>F6&amp;" "&amp;F10&amp;" "&amp;F8</f>
        <v>21</v>
      </c>
      <c r="F20" s="8"/>
      <c r="G20" t="s" s="10">
        <v>40</v>
      </c>
      <c r="H20" s="11"/>
      <c r="I20" s="12"/>
      <c r="J20" s="12"/>
      <c r="K20" s="12"/>
      <c r="L20" s="13"/>
    </row>
    <row r="21" ht="15.45" customHeight="true">
      <c r="G21" s="17"/>
      <c r="H21" s="11"/>
      <c r="I21" s="11"/>
      <c r="J21" s="11"/>
      <c r="K21" s="11"/>
      <c r="L21" s="33"/>
    </row>
    <row r="22" ht="15.45" customHeight="true">
      <c r="G22" t="s" s="10">
        <v>41</v>
      </c>
      <c r="H22" s="11"/>
      <c r="I22" s="11"/>
      <c r="J22" s="11"/>
      <c r="K22" s="11"/>
      <c r="L22" s="33"/>
    </row>
    <row r="23" ht="15.45" customHeight="true">
      <c r="G23" s="17"/>
      <c r="H23" s="11"/>
      <c r="I23" s="11"/>
      <c r="J23" s="11"/>
      <c r="K23" s="11"/>
      <c r="L23" s="33"/>
    </row>
    <row r="24" ht="21.45" customHeight="true">
      <c r="G24" t="s" s="10">
        <v>42</v>
      </c>
      <c r="H24" s="11"/>
      <c r="I24" s="11"/>
      <c r="J24" s="11"/>
      <c r="K24" s="11"/>
      <c r="L24" s="33"/>
    </row>
    <row r="25" ht="15.45" customHeight="true">
      <c r="E25" s="34"/>
      <c r="G25" s="17"/>
      <c r="H25" s="11"/>
      <c r="I25" s="11"/>
      <c r="J25" s="11"/>
      <c r="K25" s="11"/>
      <c r="L25" s="33"/>
    </row>
    <row r="26" ht="15.45" customHeight="true">
      <c r="G26" t="s" s="10">
        <v>43</v>
      </c>
      <c r="H26" s="11"/>
      <c r="I26" s="11"/>
      <c r="J26" s="11"/>
      <c r="K26" s="11"/>
      <c r="L26" s="33"/>
    </row>
    <row r="27" ht="16.05" customHeight="true">
      <c r="G27" s="17"/>
      <c r="H27" s="11"/>
      <c r="I27" s="11"/>
      <c r="J27" s="11"/>
      <c r="K27" s="11"/>
      <c r="L27" s="33"/>
    </row>
  </sheetData>
  <mergeCells count="13">
    <mergeCell ref="G2:L3"/>
    <mergeCell ref="G8:L9"/>
    <mergeCell ref="G22:L23"/>
    <mergeCell ref="G24:L25"/>
    <mergeCell ref="G26:L27"/>
    <mergeCell ref="G4:L5"/>
    <mergeCell ref="G6:L7"/>
    <mergeCell ref="G16:L17"/>
    <mergeCell ref="G10:L11"/>
    <mergeCell ref="G12:L13"/>
    <mergeCell ref="G14:L15"/>
    <mergeCell ref="G18:L19"/>
    <mergeCell ref="G20:L21"/>
  </mergeCells>
  <phoneticPr fontId="0" type="noConversion"/>
  <conditionalFormatting sqref="F11">
    <cfRule priority="1" type="notContainsBlanks" dxfId="0">
      <formula>LEN(TRIM(F11))&lt;&gt;0</formula>
    </cfRule>
  </conditionalFormatting>
  <conditionalFormatting sqref="E9">
    <cfRule priority="2" type="notContainsBlanks" dxfId="1">
      <formula>LEN(TRIM(E9))&lt;&gt;0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2026-05-31T20:18:58Z</dcterms:created>
  <dcterms:modified xsi:type="dcterms:W3CDTF">2026-05-31T20:18:58Z</dcterms:modified>
</cp:coreProperties>
</file>