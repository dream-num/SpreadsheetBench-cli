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7C3952-BDC7-4F55-8A91-2BD3A28553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/>
  <c r="B20" i="1"/>
  <c r="B13" i="1"/>
  <c r="B15" i="1"/>
  <c r="B3" i="1"/>
  <c r="B2" i="1"/>
  <c r="B16" i="1"/>
  <c r="B23" i="1"/>
  <c r="B6" i="1"/>
  <c r="B7" i="1"/>
  <c r="B4" i="1"/>
  <c r="B8" i="1"/>
  <c r="B19" i="1"/>
  <c r="B9" i="1"/>
  <c r="B5" i="1"/>
  <c r="B12" i="1"/>
  <c r="B22" i="1"/>
  <c r="B21" i="1"/>
  <c r="B14" i="1"/>
  <c r="B18" i="1"/>
  <c r="B10" i="1"/>
  <c r="B11" i="1"/>
</calcChain>
</file>

<file path=xl/sharedStrings.xml><?xml version="1.0" encoding="utf-8"?>
<sst xmlns="http://schemas.openxmlformats.org/spreadsheetml/2006/main" count="55" uniqueCount="33">
  <si>
    <t>Employees</t>
  </si>
  <si>
    <t>Eligibility</t>
  </si>
  <si>
    <t>Achieved</t>
  </si>
  <si>
    <t>Goal</t>
  </si>
  <si>
    <t>Varince to Goal</t>
  </si>
  <si>
    <t>Metric2</t>
  </si>
  <si>
    <t>Incentive</t>
  </si>
  <si>
    <t>Goal Buckets</t>
  </si>
  <si>
    <t>Pay out Grid</t>
  </si>
  <si>
    <t>Emp1</t>
  </si>
  <si>
    <t>Eligible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</si>
  <si>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</si>
  <si>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</si>
  <si>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</si>
  <si>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</si>
  <si>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</si>
  <si>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</si>
  <si>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</si>
  <si>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</si>
  <si>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</si>
  <si>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</si>
  <si>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</si>
  <si>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</si>
  <si>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</si>
  <si>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</si>
  <si>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</si>
  <si>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</si>
  <si>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</si>
  <si>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</si>
  <si>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Not Eligible</t>
  </si>
  <si>
    <t>Emp20</t>
  </si>
  <si>
    <t>Emp21</t>
  </si>
  <si>
    <t>Emp22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</si>
</sst>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0.0%"/>
    <numFmt numFmtId="2" formatCode="0%"/>
    <numFmt numFmtId="3" formatCode="General"/>
    <numFmt numFmtId="4" formatCode="0.000000000000000%"/>
    <numFmt numFmtId="5" formatCode="0.00%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1" applyFont="1" borderId="1" applyBorder="1" applyAlignment="1">
      <alignment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2" applyFont="1" fillId="3" applyFill="1" borderId="2" applyBorder="1" applyAlignment="1">
      <alignment vertical="center" horizontal="center"/>
    </xf>
    <xf numFmtId="3" applyNumberFormat="1" fontId="1" applyFont="1" applyAlignment="1">
      <alignment/>
    </xf>
    <xf numFmtId="3" applyNumberFormat="1" fontId="2" applyFont="1" fillId="3" applyFill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4" applyNumberFormat="1" fontId="1" applyFont="1" applyAlignment="1">
      <alignment/>
    </xf>
    <xf numFmtId="3" applyNumberFormat="1" fontId="2" applyFont="1" fillId="4" applyFill="1" borderId="1" applyBorder="1" applyAlignment="1">
      <alignment vertical="center" horizontal="center"/>
    </xf>
    <xf numFmtId="2" applyNumberFormat="1" fontId="1" applyFont="1" fillId="5" applyFill="1" borderId="1" applyBorder="1" applyAlignment="1">
      <alignment vertical="center" horizontal="center"/>
    </xf>
    <xf numFmtId="3" applyNumberFormat="1" fontId="1" applyFont="1" applyAlignment="1">
      <alignment vertical="center" wrapText="1"/>
    </xf>
    <xf numFmtId="3" applyNumberFormat="1" fontId="1" applyFont="1" applyAlignment="1">
      <alignment/>
    </xf>
    <xf numFmtId="3" applyNumberFormat="1" fontId="1" applyFont="1" applyAlignment="1">
      <alignment vertical="center" horizontal="center"/>
    </xf>
    <xf numFmtId="3" applyNumberFormat="1" fontId="2" applyFont="1" fillId="4" applyFill="1" borderId="1" applyBorder="1" applyAlignment="1">
      <alignment vertical="center" horizontal="center" wrapText="1"/>
    </xf>
    <xf numFmtId="3" applyNumberFormat="1" fontId="2" applyFont="1" fillId="3" applyFill="1" borderId="3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5" applyNumberFormat="1" fontId="1" applyFont="1" borderId="1" applyBorder="1" applyAlignment="1">
      <alignment vertical="center" horizontal="center"/>
    </xf>
    <xf numFmtId="5" applyNumberFormat="1" fontId="1" applyFont="1" borderId="1" applyBorder="1" applyAlignment="1">
      <alignment horizontal="center"/>
    </xf>
    <xf numFmtId="3" applyNumberFormat="1" fontId="1" applyFont="1" borderId="1" applyBorder="1" applyAlignment="1">
      <alignment horizontal="center"/>
    </xf>
    <xf numFmtId="3" applyNumberFormat="1" fontId="2" applyFont="1" fillId="3" applyFill="1" borderId="4" applyBorder="1" applyAlignment="1">
      <alignment vertical="center" horizontal="center"/>
    </xf>
  </cellStyleXfs>
  <cellXfs count="21">
    <xf numFmtId="0" fontId="0" fillId="0" borderId="0" xfId="0"/>
    <xf xfId="9" quotePrefix="0" pivotButton="0" numFmtId="3" applyNumberFormat="1" fontId="2" applyFont="1" fillId="4" applyFill="1" borderId="1" applyBorder="1" applyAlignment="1">
      <alignment vertical="center" horizontal="center"/>
    </xf>
    <xf xfId="14" quotePrefix="0" pivotButton="0" numFmtId="3" applyNumberFormat="1" fontId="2" applyFont="1" fillId="4" applyFill="1" borderId="1" applyBorder="1" applyAlignment="1">
      <alignment vertical="center" horizontal="center" wrapText="1"/>
    </xf>
    <xf xfId="20" quotePrefix="0" pivotButton="0" numFmtId="3" applyNumberFormat="1" fontId="2" applyFont="1" fillId="3" applyFill="1" borderId="4" applyBorder="1" applyAlignment="1">
      <alignment vertical="center" horizontal="center"/>
    </xf>
    <xf xfId="15" quotePrefix="0" pivotButton="0" numFmtId="3" applyNumberFormat="1" fontId="2" applyFont="1" fillId="3" applyFill="1" borderId="3" applyBorder="1" applyAlignment="1">
      <alignment vertical="center" horizontal="center"/>
    </xf>
    <xf xfId="4" quotePrefix="0" pivotButton="0" numFmtId="3" applyNumberFormat="1" fontId="2" applyFont="1" fillId="3" applyFill="1" borderId="2" applyBorder="1" applyAlignment="1">
      <alignment vertical="center" horizontal="center"/>
    </xf>
    <xf xfId="5" quotePrefix="0" pivotButton="0" numFmtId="3" applyNumberFormat="1" fontId="1" applyFont="1" applyAlignment="1">
      <alignment/>
    </xf>
    <xf xfId="6" quotePrefix="0" pivotButton="0" numFmtId="3" applyNumberFormat="1" fontId="2" applyFont="1" fillId="3" applyFill="1" borderId="1" applyBorder="1" applyAlignment="1">
      <alignment vertical="center" horizontal="center"/>
    </xf>
    <xf xfId="16" quotePrefix="0" pivotButton="0" numFmtId="3" applyNumberFormat="1" fontId="1" applyFont="1" borderId="1" applyBorder="1" applyAlignment="1">
      <alignment vertical="center" horizontal="center"/>
    </xf>
    <xf xfId="7" quotePrefix="0" pivotButton="0" numFmtId="2" applyNumberFormat="1" fontId="1" applyFont="1" borderId="1" applyBorder="1" applyAlignment="1">
      <alignment vertical="center" horizontal="center"/>
    </xf>
    <xf xfId="17" quotePrefix="0" pivotButton="0" numFmtId="5" applyNumberFormat="1" fontId="1" applyFont="1" borderId="1" applyBorder="1" applyAlignment="1">
      <alignment vertical="center" horizontal="center"/>
    </xf>
    <xf xfId="18" quotePrefix="0" pivotButton="0" numFmtId="5" applyNumberFormat="1" fontId="1" applyFont="1" borderId="1" applyBorder="1" applyAlignment="1">
      <alignment horizontal="center"/>
    </xf>
    <xf xfId="2" quotePrefix="0" pivotButton="0" numFmtId="2" applyNumberFormat="1" fontId="1" applyFont="1" borderId="1" applyBorder="1" applyAlignment="1">
      <alignment horizontal="center"/>
    </xf>
    <xf xfId="8" quotePrefix="0" pivotButton="0" numFmtId="4" applyNumberFormat="1" fontId="1" applyFont="1" applyAlignment="1">
      <alignment/>
    </xf>
    <xf xfId="10" quotePrefix="0" pivotButton="0" numFmtId="2" applyNumberFormat="1" fontId="1" applyFont="1" fillId="5" applyFill="1" borderId="1" applyBorder="1" applyAlignment="1">
      <alignment vertical="center" horizontal="center"/>
    </xf>
    <xf xfId="3" quotePrefix="0" pivotButton="0" numFmtId="2" applyNumberFormat="1" fontId="1" applyFont="1" fillId="2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1" quotePrefix="0" pivotButton="0" numFmtId="3" applyNumberFormat="1" fontId="1" applyFont="1" applyAlignment="1">
      <alignment vertical="center" wrapText="1"/>
    </xf>
    <xf xfId="12" quotePrefix="0" pivotButton="0" numFmtId="3" applyNumberFormat="1" fontId="1" applyFont="1" applyAlignment="1">
      <alignment/>
    </xf>
    <xf xfId="19" quotePrefix="0" pivotButton="0" numFmtId="3" applyNumberFormat="1" fontId="1" applyFont="1" borderId="1" applyBorder="1" applyAlignment="1">
      <alignment horizontal="center"/>
    </xf>
    <xf xfId="13" quotePrefix="0" pivotButton="0" numFmtId="3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6.80" customHeight="1" defaultColWidth="8.83"/>
  <cols>
    <col min="2" max="2" width="10.03" customWidth="1" hidden="0"/>
    <col min="3" max="3" width="10.57" customWidth="1" hidden="0"/>
    <col min="5" max="5" width="15.37" customWidth="1" hidden="0"/>
    <col min="7" max="7" width="15.48" customWidth="1" hidden="0"/>
    <col min="8" max="8" width="20.49" customWidth="1" hidden="0"/>
  </cols>
  <sheetData>
    <row r="1" ht="16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I1" t="s" s="2">
        <v>4</v>
      </c>
      <c r="J1" t="s" s="3">
        <v>7</v>
      </c>
      <c r="K1" s="4"/>
      <c r="L1" s="4"/>
      <c r="M1" s="5"/>
      <c r="N1" s="6"/>
      <c r="O1" t="s" s="1">
        <v>5</v>
      </c>
      <c r="P1" t="s" s="7">
        <v>8</v>
      </c>
      <c r="Q1" s="7"/>
      <c r="R1" s="7"/>
      <c r="S1" s="7"/>
      <c r="T1" s="7"/>
    </row>
    <row r="2" ht="16.80" customHeight="true">
      <c r="A2" t="s" s="8">
        <v>9</v>
      </c>
      <c r="B2" s="8" t="s">
        <f>IF(E2&lt;0,"Not Eligible","Eligible")</f>
        <v>10</v>
      </c>
      <c r="C2" s="9">
        <v>0.9365</v>
      </c>
      <c r="D2" s="9">
        <v>0.8427</v>
      </c>
      <c r="E2" s="10">
        <v>0.1113</v>
      </c>
      <c r="F2" s="11">
        <v>0.0712624848068487</v>
      </c>
      <c r="G2" s="12">
        <v>0.08</v>
      </c>
      <c r="H2" s="13"/>
      <c r="I2" s="2"/>
      <c r="J2" s="14">
        <v>0.65</v>
      </c>
      <c r="K2" s="14">
        <v>0.75</v>
      </c>
      <c r="L2" s="14">
        <v>0.85</v>
      </c>
      <c r="M2" s="14">
        <v>0.95</v>
      </c>
      <c r="N2" s="6"/>
      <c r="O2" s="1"/>
      <c r="P2" s="14">
        <v>-0.2</v>
      </c>
      <c r="Q2" s="14">
        <v>-0.1</v>
      </c>
      <c r="R2" s="14">
        <v>0</v>
      </c>
      <c r="S2" s="14">
        <v>0.1</v>
      </c>
      <c r="T2" s="14">
        <v>0.2</v>
      </c>
    </row>
    <row r="3" ht="16.80" customHeight="true">
      <c r="A3" t="s" s="8">
        <v>11</v>
      </c>
      <c r="B3" s="8" t="s">
        <f ref="B3:B23" t="shared" si="0">IF(E3&lt;0,"Not Eligible","Eligible")</f>
        <v>10</v>
      </c>
      <c r="C3" s="9">
        <v>0.9315</v>
      </c>
      <c r="D3" s="9">
        <v>0.8487</v>
      </c>
      <c r="E3" s="10">
        <v>0.0976</v>
      </c>
      <c r="F3" s="11">
        <v>0.0178712964710324</v>
      </c>
      <c r="G3" s="12">
        <v>0.08</v>
      </c>
      <c r="I3" s="2"/>
      <c r="J3" s="15">
        <v>0</v>
      </c>
      <c r="K3" s="15">
        <v>0</v>
      </c>
      <c r="L3" s="15">
        <v>0</v>
      </c>
      <c r="M3" s="15">
        <v>0</v>
      </c>
      <c r="N3" s="6"/>
      <c r="O3" s="1"/>
      <c r="P3" s="15">
        <v>0.03</v>
      </c>
      <c r="Q3" s="15">
        <v>0.04</v>
      </c>
      <c r="R3" s="15">
        <v>0.05</v>
      </c>
      <c r="S3" s="15">
        <v>0.06</v>
      </c>
      <c r="T3" s="15">
        <v>0.07</v>
      </c>
    </row>
    <row r="4" ht="16.80" customHeight="true">
      <c r="A4" t="s" s="8">
        <v>12</v>
      </c>
      <c r="B4" s="8" t="s">
        <f t="shared" si="0"/>
        <v>10</v>
      </c>
      <c r="C4" s="9">
        <v>0.9333</v>
      </c>
      <c r="D4" s="9">
        <v>0.8529</v>
      </c>
      <c r="E4" s="10">
        <v>0.0943</v>
      </c>
      <c r="F4" s="11">
        <v>-0.144124217073277</v>
      </c>
      <c r="G4" s="12">
        <v>0.06</v>
      </c>
      <c r="I4" s="2"/>
      <c r="J4" s="15">
        <v>0.03</v>
      </c>
      <c r="K4" s="15">
        <v>0.02</v>
      </c>
      <c r="L4" s="16">
        <v>0.015</v>
      </c>
      <c r="M4" s="15">
        <v>0.01</v>
      </c>
      <c r="N4" s="6"/>
      <c r="O4" s="1"/>
      <c r="P4" s="15">
        <v>0.04</v>
      </c>
      <c r="Q4" s="15">
        <v>0.05</v>
      </c>
      <c r="R4" s="15">
        <v>0.06</v>
      </c>
      <c r="S4" s="15">
        <v>0.07</v>
      </c>
      <c r="T4" s="15">
        <v>0.08</v>
      </c>
    </row>
    <row r="5" ht="16.80" customHeight="true">
      <c r="A5" t="s" s="8">
        <v>13</v>
      </c>
      <c r="B5" s="8" t="s">
        <f t="shared" si="0"/>
        <v>10</v>
      </c>
      <c r="C5" s="9">
        <v>0.9157</v>
      </c>
      <c r="D5" s="9">
        <v>0.8384</v>
      </c>
      <c r="E5" s="10">
        <v>0.0922</v>
      </c>
      <c r="F5" s="11">
        <v>0.403309770983937</v>
      </c>
      <c r="G5" s="12">
        <v>0.18</v>
      </c>
      <c r="I5" s="2"/>
      <c r="J5" s="15">
        <v>0.05</v>
      </c>
      <c r="K5" s="15">
        <v>0.04</v>
      </c>
      <c r="L5" s="15">
        <v>0.03</v>
      </c>
      <c r="M5" s="15">
        <v>0.02</v>
      </c>
      <c r="N5" s="6"/>
      <c r="O5" s="1"/>
      <c r="P5" s="15">
        <v>0.05</v>
      </c>
      <c r="Q5" s="15">
        <v>0.06</v>
      </c>
      <c r="R5" s="15">
        <v>0.07</v>
      </c>
      <c r="S5" s="15">
        <v>0.08</v>
      </c>
      <c r="T5" s="15">
        <v>0.12</v>
      </c>
    </row>
    <row r="6" ht="16.80" customHeight="true">
      <c r="A6" t="s" s="8">
        <v>14</v>
      </c>
      <c r="B6" s="8" t="s">
        <f t="shared" si="0"/>
        <v>10</v>
      </c>
      <c r="C6" s="9">
        <v>0.8889</v>
      </c>
      <c r="D6" s="9">
        <v>0.8356</v>
      </c>
      <c r="E6" s="10">
        <v>0.0638</v>
      </c>
      <c r="F6" s="11">
        <v>-0.074366833360219</v>
      </c>
      <c r="G6" s="12">
        <v>0.07</v>
      </c>
      <c r="I6" s="2"/>
      <c r="J6" s="15">
        <v>0.07</v>
      </c>
      <c r="K6" s="15">
        <v>0.06</v>
      </c>
      <c r="L6" s="16">
        <v>0.045</v>
      </c>
      <c r="M6" s="15">
        <v>0.04</v>
      </c>
      <c r="N6" s="6"/>
      <c r="O6" s="1"/>
      <c r="P6" s="15">
        <v>0.06</v>
      </c>
      <c r="Q6" s="15">
        <v>0.07</v>
      </c>
      <c r="R6" s="15">
        <v>0.08</v>
      </c>
      <c r="S6" s="15">
        <v>0.12</v>
      </c>
      <c r="T6" s="15">
        <v>0.18</v>
      </c>
    </row>
    <row r="7" ht="16.80" customHeight="true">
      <c r="A7" t="s" s="8">
        <v>15</v>
      </c>
      <c r="B7" s="8" t="s">
        <f t="shared" si="0"/>
        <v>10</v>
      </c>
      <c r="C7" s="9">
        <v>0.9213</v>
      </c>
      <c r="D7" s="9">
        <v>0.8674</v>
      </c>
      <c r="E7" s="10">
        <v>0.0622</v>
      </c>
      <c r="F7" s="11">
        <v>0.10819339660907</v>
      </c>
      <c r="G7" s="12">
        <v>0.12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ht="16.80" customHeight="true">
      <c r="A8" t="s" s="8">
        <v>16</v>
      </c>
      <c r="B8" s="8" t="s">
        <f t="shared" si="0"/>
        <v>10</v>
      </c>
      <c r="C8" s="9">
        <v>0.8981</v>
      </c>
      <c r="D8" s="9">
        <v>0.8504</v>
      </c>
      <c r="E8" s="10">
        <v>0.0561</v>
      </c>
      <c r="F8" s="11">
        <v>0.107746551902935</v>
      </c>
      <c r="G8" s="12">
        <v>0.12</v>
      </c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ht="16.80" customHeight="true">
      <c r="A9" t="s" s="8">
        <v>17</v>
      </c>
      <c r="B9" s="8" t="s">
        <f t="shared" si="0"/>
        <v>10</v>
      </c>
      <c r="C9" s="9">
        <v>0.8915</v>
      </c>
      <c r="D9" s="9">
        <v>0.8509</v>
      </c>
      <c r="E9" s="10">
        <v>0.0477</v>
      </c>
      <c r="F9" s="11">
        <v>-0.152563215740527</v>
      </c>
      <c r="G9" s="12">
        <v>0.06</v>
      </c>
    </row>
    <row r="10" ht="16.80" customHeight="true">
      <c r="A10" t="s" s="8">
        <v>18</v>
      </c>
      <c r="B10" s="8" t="s">
        <f t="shared" si="0"/>
        <v>10</v>
      </c>
      <c r="C10" s="9">
        <v>0.8431</v>
      </c>
      <c r="D10" s="9">
        <v>0.8103</v>
      </c>
      <c r="E10" s="10">
        <v>0.0405</v>
      </c>
      <c r="F10" s="11">
        <v>0.0349309260634985</v>
      </c>
      <c r="G10" s="12">
        <v>0.07</v>
      </c>
    </row>
    <row r="11" ht="16.80" customHeight="true">
      <c r="A11" t="s" s="8">
        <v>19</v>
      </c>
      <c r="B11" s="8" t="s">
        <f t="shared" si="0"/>
        <v>10</v>
      </c>
      <c r="C11" s="9">
        <v>0.881</v>
      </c>
      <c r="D11" s="9">
        <v>0.8479</v>
      </c>
      <c r="E11" s="10">
        <v>0.0389</v>
      </c>
      <c r="F11" s="11">
        <v>0.392375603061643</v>
      </c>
      <c r="G11" s="12">
        <v>0.12</v>
      </c>
    </row>
    <row r="12" ht="16.80" customHeight="true">
      <c r="A12" t="s" s="8">
        <v>20</v>
      </c>
      <c r="B12" s="8" t="s">
        <f t="shared" si="0"/>
        <v>10</v>
      </c>
      <c r="C12" s="9">
        <v>0.8652</v>
      </c>
      <c r="D12" s="9">
        <v>0.8414</v>
      </c>
      <c r="E12" s="10">
        <v>0.0283</v>
      </c>
      <c r="F12" s="11">
        <v>-0.121320936197499</v>
      </c>
      <c r="G12" s="12">
        <v>0.04</v>
      </c>
    </row>
    <row r="13" ht="16.80" customHeight="true">
      <c r="A13" t="s" s="8">
        <v>21</v>
      </c>
      <c r="B13" s="8" t="s">
        <f t="shared" si="0"/>
        <v>10</v>
      </c>
      <c r="C13" s="9">
        <v>0.8864</v>
      </c>
      <c r="D13" s="9">
        <v>0.8492</v>
      </c>
      <c r="E13" s="10">
        <v>0.0437</v>
      </c>
      <c r="F13" s="11">
        <v>-0.17513850941105</v>
      </c>
      <c r="G13" s="12">
        <v>0.05</v>
      </c>
    </row>
    <row r="14" ht="16.80" customHeight="true">
      <c r="A14" t="s" s="8">
        <v>22</v>
      </c>
      <c r="B14" s="8" t="s">
        <f t="shared" si="0"/>
        <v>10</v>
      </c>
      <c r="C14" s="9">
        <v>0.8559</v>
      </c>
      <c r="D14" s="9">
        <v>0.8346</v>
      </c>
      <c r="E14" s="10">
        <v>0.0254</v>
      </c>
      <c r="F14" s="11">
        <v>0.0500554696167127</v>
      </c>
      <c r="G14" s="12">
        <v>0.06</v>
      </c>
    </row>
    <row r="15" ht="16.80" customHeight="true">
      <c r="A15" t="s" s="8">
        <v>23</v>
      </c>
      <c r="B15" s="8" t="s">
        <f t="shared" si="0"/>
        <v>10</v>
      </c>
      <c r="C15" s="9">
        <v>0.8679</v>
      </c>
      <c r="D15" s="9">
        <v>0.8494</v>
      </c>
      <c r="E15" s="10">
        <v>0.0218</v>
      </c>
      <c r="F15" s="11">
        <v>0.348295270489148</v>
      </c>
      <c r="G15" s="12">
        <v>0.08</v>
      </c>
    </row>
    <row r="16" ht="16.80" customHeight="true">
      <c r="A16" t="s" s="8">
        <v>24</v>
      </c>
      <c r="B16" s="8" t="s">
        <f t="shared" si="0"/>
        <v>10</v>
      </c>
      <c r="C16" s="9">
        <v>0.8378</v>
      </c>
      <c r="D16" s="9">
        <v>0.827</v>
      </c>
      <c r="E16" s="10">
        <v>0.0131</v>
      </c>
      <c r="F16" s="11">
        <v>0.282376636455186</v>
      </c>
      <c r="G16" s="12">
        <v>0.07</v>
      </c>
    </row>
    <row r="17" ht="16.80" customHeight="true">
      <c r="A17" t="s" s="8">
        <v>25</v>
      </c>
      <c r="B17" s="8" t="s">
        <f t="shared" si="0"/>
        <v>10</v>
      </c>
      <c r="C17" s="9">
        <v>0.8588</v>
      </c>
      <c r="D17" s="9">
        <v>0.8464</v>
      </c>
      <c r="E17" s="10">
        <v>0.0147</v>
      </c>
      <c r="F17" s="11">
        <v>0.325177826833456</v>
      </c>
      <c r="G17" s="12">
        <v>0.07</v>
      </c>
    </row>
    <row r="18" ht="16.80" customHeight="true">
      <c r="A18" t="s" s="8">
        <v>26</v>
      </c>
      <c r="B18" s="8" t="s">
        <f t="shared" si="0"/>
        <v>10</v>
      </c>
      <c r="C18" s="9">
        <v>0.8438</v>
      </c>
      <c r="D18" s="9">
        <v>0.8367</v>
      </c>
      <c r="E18" s="10">
        <v>0.0085</v>
      </c>
      <c r="F18" s="11">
        <v>0.00734399599255753</v>
      </c>
      <c r="G18" s="12">
        <v>0.05</v>
      </c>
    </row>
    <row r="19" ht="16.80" customHeight="true">
      <c r="A19" t="s" s="8">
        <v>27</v>
      </c>
      <c r="B19" s="8" t="s">
        <f t="shared" si="0"/>
        <v>10</v>
      </c>
      <c r="C19" s="9">
        <v>0.8535</v>
      </c>
      <c r="D19" s="9">
        <v>0.8463</v>
      </c>
      <c r="E19" s="10">
        <v>0.0085</v>
      </c>
      <c r="F19" s="11">
        <v>0.32375368816339</v>
      </c>
      <c r="G19" s="12">
        <v>0.07</v>
      </c>
    </row>
    <row r="20" ht="16.80" customHeight="true">
      <c r="A20" t="s" s="8">
        <v>28</v>
      </c>
      <c r="B20" s="8" t="s">
        <f t="shared" si="0"/>
        <v>29</v>
      </c>
      <c r="C20" s="9">
        <v>0.8148</v>
      </c>
      <c r="D20" s="9">
        <v>0.8434</v>
      </c>
      <c r="E20" s="10">
        <v>-0.0339</v>
      </c>
      <c r="F20" s="11">
        <v>0.0623149575472851</v>
      </c>
      <c r="G20" s="19"/>
    </row>
    <row r="21" ht="16.80" customHeight="true">
      <c r="A21" t="s" s="8">
        <v>30</v>
      </c>
      <c r="B21" s="8" t="s">
        <f t="shared" si="0"/>
        <v>29</v>
      </c>
      <c r="C21" s="9">
        <v>0.8019</v>
      </c>
      <c r="D21" s="9">
        <v>0.8417</v>
      </c>
      <c r="E21" s="10">
        <v>-0.0473</v>
      </c>
      <c r="F21" s="11">
        <v>0.0804248828170168</v>
      </c>
      <c r="G21" s="19"/>
    </row>
    <row r="22" ht="16.80" customHeight="true">
      <c r="A22" t="s" s="8">
        <v>31</v>
      </c>
      <c r="B22" s="8" t="s">
        <f t="shared" si="0"/>
        <v>29</v>
      </c>
      <c r="C22" s="9">
        <v>0.8125</v>
      </c>
      <c r="D22" s="9">
        <v>0.8455</v>
      </c>
      <c r="E22" s="10">
        <v>-0.039</v>
      </c>
      <c r="F22" s="11">
        <v>-0.20792741165234</v>
      </c>
      <c r="G22" s="19"/>
    </row>
    <row r="23" ht="16.80" customHeight="true">
      <c r="A23" t="s" s="8">
        <v>32</v>
      </c>
      <c r="B23" s="8" t="s">
        <f t="shared" si="0"/>
        <v>29</v>
      </c>
      <c r="C23" s="9">
        <v>0.7436</v>
      </c>
      <c r="D23" s="9">
        <v>0.8228</v>
      </c>
      <c r="E23" s="10">
        <v>-0.0963</v>
      </c>
      <c r="F23" s="11">
        <v>0.276389070182309</v>
      </c>
      <c r="G23" s="19"/>
    </row>
    <row r="24" ht="16.80" customHeight="true">
      <c r="A24" s="20"/>
      <c r="B24" s="20"/>
      <c r="C24" s="20"/>
      <c r="D24" s="20"/>
      <c r="E24" s="20"/>
    </row>
    <row r="25" ht="16.80" customHeight="true">
      <c r="A25" s="20"/>
      <c r="B25" s="20"/>
      <c r="C25" s="20"/>
      <c r="D25" s="20"/>
      <c r="E25" s="20"/>
    </row>
  </sheetData>
  <mergeCells count="4">
    <mergeCell ref="J1:M1"/>
    <mergeCell ref="P1:T1"/>
    <mergeCell ref="I1:I6"/>
    <mergeCell ref="O1:O6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2026-05-31T21:30:55Z</dcterms:created>
  <dcterms:modified xsi:type="dcterms:W3CDTF">2026-05-31T21:30:55Z</dcterms:modified>
</cp:coreProperties>
</file>