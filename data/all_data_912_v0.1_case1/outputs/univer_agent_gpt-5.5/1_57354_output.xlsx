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A797D19-2C73-4848-BEF6-2F7331F4E42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/>
  <c r="I3" i="1"/>
  <c r="Q3" i="1"/>
  <c r="U3" i="1"/>
  <c r="K11" i="1"/>
  <c r="M11" i="1"/>
  <c r="B11" i="1"/>
  <c r="U11" i="1"/>
  <c r="N11" i="1"/>
  <c r="T11" i="1"/>
  <c r="J11" i="1"/>
  <c r="R11" i="1"/>
  <c r="H11" i="1"/>
  <c r="L11" i="1"/>
  <c r="P11" i="1"/>
  <c r="Q11" i="1"/>
  <c r="S11" i="1"/>
  <c r="E11" i="1"/>
  <c r="F11" i="1"/>
  <c r="C11" i="1"/>
  <c r="I11" i="1"/>
  <c r="G11" i="1"/>
  <c r="O11" i="1"/>
  <c r="D11" i="1"/>
</calcChain>
</file>

<file path=xl/sharedStrings.xml><?xml version="1.0" encoding="utf-8"?>
<sst xmlns="http://schemas.openxmlformats.org/spreadsheetml/2006/main" count="30" uniqueCount="13">
  <si>
    <t>TOTAL</t>
  </si>
  <si>
    <t>SPEND</t>
  </si>
  <si>
    <t>SALES</t>
  </si>
  <si>
    <t>REVENUE</t>
  </si>
  <si>
    <t>GP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</si>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</sst>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MMM-YY"/>
    <numFmt numFmtId="3" formatCode="&quot;£&quot;#,##0.00;[Red]\-&quot;£&quot;#,##0.00"/>
    <numFmt numFmtId="4" formatCode="0"/>
  </numFmts>
  <fonts count="5">
    <font>
      <sz val="11"/>
      <color theme="1"/>
      <name val="Arial"/>
      <family val="2"/>
      <scheme val="minor"/>
    </font>
    <font>
      <name val="Arial"/>
      <sz val="10.00"/>
      <b/>
      <color rgb="FF000000"/>
      <family val="2"/>
    </font>
    <font>
      <name val="Arial"/>
      <sz val="10.00"/>
      <color rgb="FF000000"/>
      <family val="2"/>
    </font>
    <font>
      <name val="Arial"/>
      <sz val="9.00"/>
      <b/>
      <color rgb="FF666666"/>
      <family val="2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8">
    <xf numFmtId="0" fontId="0" fillId="0" borderId="0"/>
    <xf numFmtId="1" applyNumberFormat="1" fontId="1" applyFont="1" borderId="1" applyBorder="1" applyAlignment="1">
      <alignment vertical="center" horizontal="center" wrapText="1"/>
    </xf>
    <xf numFmtId="2" applyNumberFormat="1" fontId="1" applyFont="1" borderId="2" applyBorder="1" applyAlignment="1">
      <alignment vertical="center" horizontal="center" wrapText="1"/>
    </xf>
    <xf numFmtId="1" applyNumberFormat="1" fontId="2" applyFont="1" applyAlignment="1">
      <alignment vertical="center" wrapText="1"/>
    </xf>
    <xf numFmtId="1" applyNumberFormat="1" fontId="1" applyFont="1" borderId="3" applyBorder="1" applyAlignment="1">
      <alignment wrapText="1"/>
    </xf>
    <xf numFmtId="3" applyNumberFormat="1" fontId="2" applyFont="1" borderId="2" applyBorder="1" applyAlignment="1">
      <alignment horizontal="right" wrapText="1"/>
    </xf>
    <xf numFmtId="3" applyNumberFormat="1" fontId="2" applyFont="1" borderId="4" applyBorder="1" applyAlignment="1">
      <alignment horizontal="right" wrapText="1"/>
    </xf>
    <xf numFmtId="1" applyNumberFormat="1" fontId="2" applyFont="1" borderId="5" applyBorder="1" applyAlignment="1">
      <alignment wrapText="1"/>
    </xf>
    <xf numFmtId="1" applyNumberFormat="1" fontId="1" applyFont="1" borderId="2" applyBorder="1" applyAlignment="1">
      <alignment vertical="center" horizontal="center" wrapText="1"/>
    </xf>
    <xf numFmtId="3" applyNumberFormat="1" fontId="2" applyFont="1" borderId="3" applyBorder="1" applyAlignment="1">
      <alignment horizontal="right" wrapText="1"/>
    </xf>
    <xf numFmtId="3" applyNumberFormat="1" fontId="2" applyFont="1" borderId="1" applyBorder="1" applyAlignment="1">
      <alignment horizontal="right" wrapText="1"/>
    </xf>
    <xf numFmtId="4" applyNumberFormat="1" fontId="2" applyFont="1" applyAlignment="1">
      <alignment horizontal="right" wrapText="1"/>
    </xf>
    <xf numFmtId="1" applyNumberFormat="1" fontId="3" applyFont="1" borderId="5" applyBorder="1" applyAlignment="1">
      <alignment vertical="center" horizontal="center" wrapText="1"/>
    </xf>
    <xf numFmtId="1" applyNumberFormat="1" fontId="4" applyFont="1" applyAlignment="1">
      <alignment/>
    </xf>
    <xf numFmtId="1" applyNumberFormat="1" fontId="2" applyFont="1" borderId="3" applyBorder="1" applyAlignment="1">
      <alignment wrapText="1"/>
    </xf>
    <xf numFmtId="1" applyNumberFormat="1" fontId="2" applyFont="1" borderId="6" applyBorder="1" applyAlignment="1">
      <alignment wrapText="1"/>
    </xf>
    <xf numFmtId="4" applyNumberFormat="1" fontId="2" applyFont="1" borderId="2" applyBorder="1" applyAlignment="1">
      <alignment horizontal="right" wrapText="1"/>
    </xf>
    <xf numFmtId="2" applyNumberFormat="1" fontId="1" applyFont="1" borderId="7" applyBorder="1" applyAlignment="1">
      <alignment vertical="center" horizontal="center" wrapText="1"/>
    </xf>
    <xf numFmtId="3" applyNumberFormat="1" fontId="2" applyFont="1" borderId="7" applyBorder="1" applyAlignment="1">
      <alignment horizontal="right" wrapText="1"/>
    </xf>
    <xf numFmtId="1" applyNumberFormat="1" fontId="1" applyFont="1" borderId="7" applyBorder="1" applyAlignment="1">
      <alignment vertical="center" horizontal="center" wrapText="1"/>
    </xf>
    <xf numFmtId="2" applyNumberFormat="1" fontId="1" applyFont="1" borderId="1" applyBorder="1" applyAlignment="1">
      <alignment vertical="center" horizontal="center" wrapText="1"/>
    </xf>
    <xf numFmtId="1" applyNumberFormat="1" fontId="3" applyFont="1" borderId="8" applyBorder="1" applyAlignment="1">
      <alignment vertical="center" horizontal="center" wrapText="1"/>
    </xf>
    <xf numFmtId="1" applyNumberFormat="1" fontId="2" applyFont="1" applyAlignment="1">
      <alignment horizontal="right" wrapText="1"/>
    </xf>
    <xf numFmtId="1" applyNumberFormat="1" fontId="3" applyFont="1" borderId="6" applyBorder="1" applyAlignment="1">
      <alignment vertical="center" horizontal="center" wrapText="1"/>
    </xf>
    <xf numFmtId="1" applyNumberFormat="1" fontId="2" applyFont="1" borderId="4" applyBorder="1" applyAlignment="1">
      <alignment wrapText="1"/>
    </xf>
    <xf numFmtId="1" applyNumberFormat="1" fontId="2" applyFont="1" borderId="8" applyBorder="1" applyAlignment="1">
      <alignment wrapText="1"/>
    </xf>
    <xf numFmtId="1" applyNumberFormat="1" fontId="2" applyFont="1" applyAlignment="1">
      <alignment wrapText="1"/>
    </xf>
    <xf numFmtId="3" applyNumberFormat="1" fontId="2" applyFont="1" applyAlignment="1">
      <alignment horizontal="right" wrapText="1"/>
    </xf>
  </cellStyleXfs>
  <cellXfs count="27">
    <xf numFmtId="0" fontId="0" fillId="0" borderId="0" xfId="0"/>
    <xf xfId="3" quotePrefix="0" pivotButton="0" numFmtId="1" applyNumberFormat="1" fontId="2" applyFont="1" applyAlignment="1">
      <alignment vertical="center" wrapText="1"/>
    </xf>
    <xf xfId="1" quotePrefix="0" pivotButton="0" numFmtId="1" applyNumberFormat="1" fontId="1" applyFont="1" borderId="1" applyBorder="1" applyAlignment="1">
      <alignment vertical="center" horizontal="center" wrapText="1"/>
    </xf>
    <xf xfId="8" quotePrefix="0" pivotButton="0" numFmtId="1" applyNumberFormat="1" fontId="1" applyFont="1" borderId="2" applyBorder="1" applyAlignment="1">
      <alignment vertical="center" horizontal="center" wrapText="1"/>
    </xf>
    <xf xfId="19" quotePrefix="0" pivotButton="0" numFmtId="1" applyNumberFormat="1" fontId="1" applyFont="1" borderId="7" applyBorder="1" applyAlignment="1">
      <alignment vertical="center" horizontal="center" wrapText="1"/>
    </xf>
    <xf xfId="20" quotePrefix="0" pivotButton="0" numFmtId="2" applyNumberFormat="1" fontId="1" applyFont="1" borderId="1" applyBorder="1" applyAlignment="1">
      <alignment vertical="center" horizontal="center" wrapText="1"/>
    </xf>
    <xf xfId="2" quotePrefix="0" pivotButton="0" numFmtId="2" applyNumberFormat="1" fontId="1" applyFont="1" borderId="2" applyBorder="1" applyAlignment="1">
      <alignment vertical="center" horizontal="center" wrapText="1"/>
    </xf>
    <xf xfId="17" quotePrefix="0" pivotButton="0" numFmtId="2" applyNumberFormat="1" fontId="1" applyFont="1" borderId="7" applyBorder="1" applyAlignment="1">
      <alignment vertical="center" horizontal="center" wrapText="1"/>
    </xf>
    <xf xfId="12" quotePrefix="0" pivotButton="0" numFmtId="1" applyNumberFormat="1" fontId="3" applyFont="1" borderId="5" applyBorder="1" applyAlignment="1">
      <alignment vertical="center" horizontal="center" wrapText="1"/>
    </xf>
    <xf xfId="23" quotePrefix="0" pivotButton="0" numFmtId="1" applyNumberFormat="1" fontId="3" applyFont="1" borderId="6" applyBorder="1" applyAlignment="1">
      <alignment vertical="center" horizontal="center" wrapText="1"/>
    </xf>
    <xf xfId="21" quotePrefix="0" pivotButton="0" numFmtId="1" applyNumberFormat="1" fontId="3" applyFont="1" borderId="8" applyBorder="1" applyAlignment="1">
      <alignment vertical="center" horizontal="center" wrapText="1"/>
    </xf>
    <xf xfId="26" quotePrefix="0" pivotButton="0" numFmtId="1" applyNumberFormat="1" fontId="2" applyFont="1" applyAlignment="1">
      <alignment wrapText="1"/>
    </xf>
    <xf xfId="6" quotePrefix="0" pivotButton="0" numFmtId="3" applyNumberFormat="1" fontId="2" applyFont="1" borderId="4" applyBorder="1" applyAlignment="1">
      <alignment horizontal="right" wrapText="1"/>
    </xf>
    <xf xfId="22" quotePrefix="0" pivotButton="0" numFmtId="1" applyNumberFormat="1" fontId="2" applyFont="1" applyAlignment="1">
      <alignment horizontal="right" wrapText="1"/>
    </xf>
    <xf xfId="27" quotePrefix="0" pivotButton="0" numFmtId="3" applyNumberFormat="1" fontId="2" applyFont="1" applyAlignment="1">
      <alignment horizontal="right" wrapText="1"/>
    </xf>
    <xf xfId="9" quotePrefix="0" pivotButton="0" numFmtId="3" applyNumberFormat="1" fontId="2" applyFont="1" borderId="3" applyBorder="1" applyAlignment="1">
      <alignment horizontal="right" wrapText="1"/>
    </xf>
    <xf xfId="24" quotePrefix="0" pivotButton="0" numFmtId="1" applyNumberFormat="1" fontId="2" applyFont="1" borderId="4" applyBorder="1" applyAlignment="1">
      <alignment wrapText="1"/>
    </xf>
    <xf xfId="14" quotePrefix="0" pivotButton="0" numFmtId="1" applyNumberFormat="1" fontId="2" applyFont="1" borderId="3" applyBorder="1" applyAlignment="1">
      <alignment wrapText="1"/>
    </xf>
    <xf xfId="7" quotePrefix="0" pivotButton="0" numFmtId="1" applyNumberFormat="1" fontId="2" applyFont="1" borderId="5" applyBorder="1" applyAlignment="1">
      <alignment wrapText="1"/>
    </xf>
    <xf xfId="15" quotePrefix="0" pivotButton="0" numFmtId="1" applyNumberFormat="1" fontId="2" applyFont="1" borderId="6" applyBorder="1" applyAlignment="1">
      <alignment wrapText="1"/>
    </xf>
    <xf xfId="25" quotePrefix="0" pivotButton="0" numFmtId="1" applyNumberFormat="1" fontId="2" applyFont="1" borderId="8" applyBorder="1" applyAlignment="1">
      <alignment wrapText="1"/>
    </xf>
    <xf xfId="4" quotePrefix="0" pivotButton="0" numFmtId="1" applyNumberFormat="1" fontId="1" applyFont="1" borderId="3" applyBorder="1" applyAlignment="1">
      <alignment wrapText="1"/>
    </xf>
    <xf xfId="11" quotePrefix="0" pivotButton="0" numFmtId="4" applyNumberFormat="1" fontId="2" applyFont="1" applyAlignment="1">
      <alignment horizontal="right" wrapText="1"/>
    </xf>
    <xf xfId="10" quotePrefix="0" pivotButton="0" numFmtId="3" applyNumberFormat="1" fontId="2" applyFont="1" borderId="1" applyBorder="1" applyAlignment="1">
      <alignment horizontal="right" wrapText="1"/>
    </xf>
    <xf xfId="16" quotePrefix="0" pivotButton="0" numFmtId="4" applyNumberFormat="1" fontId="2" applyFont="1" borderId="2" applyBorder="1" applyAlignment="1">
      <alignment horizontal="right" wrapText="1"/>
    </xf>
    <xf xfId="5" quotePrefix="0" pivotButton="0" numFmtId="3" applyNumberFormat="1" fontId="2" applyFont="1" borderId="2" applyBorder="1" applyAlignment="1">
      <alignment horizontal="right" wrapText="1"/>
    </xf>
    <xf xfId="18" quotePrefix="0" pivotButton="0" numFmtId="3" applyNumberFormat="1" fontId="2" applyFont="1" borderId="7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5.56" customWidth="1" hidden="0"/>
    <col min="2" max="13" width="11.49" customWidth="1" hidden="0"/>
    <col min="14" max="21" width="10.79" customWidth="1" hidden="0"/>
  </cols>
  <sheetData>
    <row r="1" ht="14.00" customHeight="true">
      <c r="A1" s="1"/>
      <c r="B1" t="s" s="2">
        <v>0</v>
      </c>
      <c r="C1" s="3"/>
      <c r="D1" s="3"/>
      <c r="E1" s="4"/>
      <c r="F1" s="5">
        <v>43952</v>
      </c>
      <c r="G1" s="6"/>
      <c r="H1" s="6"/>
      <c r="I1" s="7"/>
      <c r="J1" s="5">
        <v>43983</v>
      </c>
      <c r="K1" s="6"/>
      <c r="L1" s="6"/>
      <c r="M1" s="7"/>
      <c r="N1" s="5">
        <v>43983</v>
      </c>
      <c r="O1" s="6"/>
      <c r="P1" s="6"/>
      <c r="Q1" s="7"/>
      <c r="R1" s="5">
        <v>43983</v>
      </c>
      <c r="S1" s="6"/>
      <c r="T1" s="6"/>
      <c r="U1" s="7"/>
    </row>
    <row r="2" ht="14.00" customHeight="true">
      <c r="A2" s="1"/>
      <c r="B2" t="s" s="8">
        <v>1</v>
      </c>
      <c r="C2" t="s" s="9">
        <v>2</v>
      </c>
      <c r="D2" t="s" s="9">
        <v>3</v>
      </c>
      <c r="E2" t="s" s="10">
        <v>4</v>
      </c>
      <c r="F2" t="s" s="8">
        <v>1</v>
      </c>
      <c r="G2" t="s" s="9">
        <v>2</v>
      </c>
      <c r="H2" t="s" s="9">
        <v>3</v>
      </c>
      <c r="I2" t="s" s="10">
        <v>4</v>
      </c>
      <c r="J2" t="s" s="8">
        <v>1</v>
      </c>
      <c r="K2" t="s" s="9">
        <v>2</v>
      </c>
      <c r="L2" t="s" s="9">
        <v>3</v>
      </c>
      <c r="M2" t="s" s="10">
        <v>4</v>
      </c>
      <c r="N2" t="s" s="8">
        <v>1</v>
      </c>
      <c r="O2" t="s" s="9">
        <v>2</v>
      </c>
      <c r="P2" t="s" s="9">
        <v>3</v>
      </c>
      <c r="Q2" t="s" s="10">
        <v>4</v>
      </c>
      <c r="R2" t="s" s="8">
        <v>1</v>
      </c>
      <c r="S2" t="s" s="9">
        <v>2</v>
      </c>
      <c r="T2" t="s" s="9">
        <v>3</v>
      </c>
      <c r="U2" t="s" s="10">
        <v>4</v>
      </c>
    </row>
    <row r="3" ht="14.00" customHeight="true">
      <c r="A3" t="s" s="11">
        <v>5</v>
      </c>
      <c r="B3" s="12">
        <f>SUMIF($F$2:$U$2,"*sales*",$F3:$U3)</f>
        <v>2145</v>
      </c>
      <c r="C3" s="12">
        <v>2145</v>
      </c>
      <c r="D3" s="12"/>
      <c r="E3" s="12"/>
      <c r="F3" s="12">
        <v>17505.51</v>
      </c>
      <c r="G3" s="13">
        <v>500</v>
      </c>
      <c r="H3" s="14">
        <v>28568</v>
      </c>
      <c r="I3" s="15">
        <f>H3-F3</f>
        <v>11062.49</v>
      </c>
      <c r="J3" s="12">
        <v>23225.96</v>
      </c>
      <c r="K3" s="13">
        <v>528</v>
      </c>
      <c r="L3" s="14">
        <v>29868</v>
      </c>
      <c r="M3" s="15">
        <v>6642.04</v>
      </c>
      <c r="N3" s="12">
        <v>26859</v>
      </c>
      <c r="O3" s="13">
        <v>589</v>
      </c>
      <c r="P3" s="14">
        <v>33265</v>
      </c>
      <c r="Q3" s="15">
        <f>P3-N3</f>
        <v>6406</v>
      </c>
      <c r="R3" s="12">
        <v>23225.96</v>
      </c>
      <c r="S3" s="13">
        <v>528</v>
      </c>
      <c r="T3" s="14">
        <v>29868</v>
      </c>
      <c r="U3" s="15">
        <f>T3-R3</f>
        <v>6642.04</v>
      </c>
    </row>
    <row r="4" ht="14.00" customHeight="true">
      <c r="A4" t="s" s="11">
        <v>6</v>
      </c>
      <c r="B4" s="16"/>
      <c r="C4" s="11"/>
      <c r="D4" s="11"/>
      <c r="E4" s="17"/>
      <c r="F4" s="16"/>
      <c r="G4" s="11"/>
      <c r="H4" s="11"/>
      <c r="I4" s="17"/>
      <c r="J4" s="16"/>
      <c r="K4" s="11"/>
      <c r="L4" s="11"/>
      <c r="M4" s="17"/>
      <c r="N4" s="16"/>
      <c r="O4" s="11"/>
      <c r="P4" s="11"/>
      <c r="Q4" s="17"/>
      <c r="R4" s="16"/>
      <c r="S4" s="11"/>
      <c r="T4" s="11"/>
      <c r="U4" s="17"/>
    </row>
    <row r="5" ht="14.00" customHeight="true">
      <c r="A5" t="s" s="11">
        <v>7</v>
      </c>
      <c r="B5" s="16"/>
      <c r="C5" s="11"/>
      <c r="D5" s="11"/>
      <c r="E5" s="17"/>
      <c r="F5" s="16"/>
      <c r="G5" s="11"/>
      <c r="H5" s="11"/>
      <c r="I5" s="17"/>
      <c r="J5" s="16"/>
      <c r="K5" s="11"/>
      <c r="L5" s="11"/>
      <c r="M5" s="17"/>
      <c r="N5" s="16"/>
      <c r="O5" s="11"/>
      <c r="P5" s="11"/>
      <c r="Q5" s="17"/>
      <c r="R5" s="16"/>
      <c r="S5" s="11"/>
      <c r="T5" s="11"/>
      <c r="U5" s="17"/>
    </row>
    <row r="6" ht="14.00" customHeight="true">
      <c r="A6" t="s" s="11">
        <v>8</v>
      </c>
      <c r="B6" s="16"/>
      <c r="C6" s="11"/>
      <c r="D6" s="11"/>
      <c r="E6" s="17"/>
      <c r="F6" s="16"/>
      <c r="G6" s="11"/>
      <c r="H6" s="11"/>
      <c r="I6" s="17"/>
      <c r="J6" s="16"/>
      <c r="K6" s="11"/>
      <c r="L6" s="11"/>
      <c r="M6" s="17"/>
      <c r="N6" s="16"/>
      <c r="O6" s="11"/>
      <c r="P6" s="11"/>
      <c r="Q6" s="17"/>
      <c r="R6" s="16"/>
      <c r="S6" s="11"/>
      <c r="T6" s="11"/>
      <c r="U6" s="17"/>
    </row>
    <row r="7" ht="14.00" customHeight="true">
      <c r="A7" t="s" s="11">
        <v>9</v>
      </c>
      <c r="B7" s="16"/>
      <c r="C7" s="11"/>
      <c r="D7" s="11"/>
      <c r="E7" s="17"/>
      <c r="F7" s="16"/>
      <c r="G7" s="11"/>
      <c r="H7" s="11"/>
      <c r="I7" s="17"/>
      <c r="J7" s="16"/>
      <c r="K7" s="11"/>
      <c r="L7" s="11"/>
      <c r="M7" s="17"/>
      <c r="N7" s="16"/>
      <c r="O7" s="11"/>
      <c r="P7" s="11"/>
      <c r="Q7" s="17"/>
      <c r="R7" s="16"/>
      <c r="S7" s="11"/>
      <c r="T7" s="11"/>
      <c r="U7" s="17"/>
    </row>
    <row r="8" ht="14.00" customHeight="true">
      <c r="A8" t="s" s="11">
        <v>10</v>
      </c>
      <c r="B8" s="16"/>
      <c r="C8" s="11"/>
      <c r="D8" s="11"/>
      <c r="E8" s="17"/>
      <c r="F8" s="16"/>
      <c r="G8" s="11"/>
      <c r="H8" s="11"/>
      <c r="I8" s="17"/>
      <c r="J8" s="16"/>
      <c r="K8" s="11"/>
      <c r="L8" s="11"/>
      <c r="M8" s="17"/>
      <c r="N8" s="16"/>
      <c r="O8" s="11"/>
      <c r="P8" s="11"/>
      <c r="Q8" s="17"/>
      <c r="R8" s="16"/>
      <c r="S8" s="11"/>
      <c r="T8" s="11"/>
      <c r="U8" s="17"/>
    </row>
    <row r="9" ht="14.00" customHeight="true">
      <c r="A9" t="s" s="11">
        <v>11</v>
      </c>
      <c r="B9" s="16"/>
      <c r="C9" s="11"/>
      <c r="D9" s="11"/>
      <c r="E9" s="17"/>
      <c r="F9" s="16"/>
      <c r="G9" s="11"/>
      <c r="H9" s="11"/>
      <c r="I9" s="17"/>
      <c r="J9" s="16"/>
      <c r="K9" s="11"/>
      <c r="L9" s="11"/>
      <c r="M9" s="17"/>
      <c r="N9" s="16"/>
      <c r="O9" s="11"/>
      <c r="P9" s="11"/>
      <c r="Q9" s="17"/>
      <c r="R9" s="16"/>
      <c r="S9" s="11"/>
      <c r="T9" s="11"/>
      <c r="U9" s="17"/>
    </row>
    <row r="10" ht="14.00" customHeight="true">
      <c r="A10" t="s" s="11">
        <v>12</v>
      </c>
      <c r="B10" s="18"/>
      <c r="C10" s="19"/>
      <c r="D10" s="19"/>
      <c r="E10" s="20"/>
      <c r="F10" s="18"/>
      <c r="G10" s="19"/>
      <c r="H10" s="19"/>
      <c r="I10" s="20"/>
      <c r="J10" s="18"/>
      <c r="K10" s="19"/>
      <c r="L10" s="19"/>
      <c r="M10" s="20"/>
      <c r="N10" s="18"/>
      <c r="O10" s="19"/>
      <c r="P10" s="19"/>
      <c r="Q10" s="20"/>
      <c r="R10" s="18"/>
      <c r="S10" s="19"/>
      <c r="T10" s="19"/>
      <c r="U10" s="20"/>
    </row>
    <row r="11" ht="14.00" customHeight="true">
      <c r="A11" t="s" s="21">
        <v>0</v>
      </c>
      <c r="B11" s="14">
        <f>SUM(B3:B10)</f>
        <v>2145</v>
      </c>
      <c r="C11" s="22">
        <f ref="C11:F11" t="shared" si="0">SUM(C3:C10)</f>
        <v>2145</v>
      </c>
      <c r="D11" s="14">
        <f t="shared" si="0"/>
        <v>0</v>
      </c>
      <c r="E11" s="14">
        <f t="shared" si="0"/>
        <v>0</v>
      </c>
      <c r="F11" s="23">
        <f t="shared" si="0"/>
        <v>17505.51</v>
      </c>
      <c r="G11" s="24">
        <f>SUM(G3:G10)</f>
        <v>500</v>
      </c>
      <c r="H11" s="25">
        <f>SUM(H3:H10)</f>
        <v>28568</v>
      </c>
      <c r="I11" s="26">
        <f ref="I11:J11" t="shared" si="1">SUM(I3:I10)</f>
        <v>11062.49</v>
      </c>
      <c r="J11" s="14">
        <f t="shared" si="1"/>
        <v>23225.96</v>
      </c>
      <c r="K11" s="22">
        <f>SUM(K3:K10)</f>
        <v>528</v>
      </c>
      <c r="L11" s="14">
        <f>SUM(L3:L10)</f>
        <v>29868</v>
      </c>
      <c r="M11" s="14">
        <f ref="M11:N11" t="shared" si="2">SUM(M3:M10)</f>
        <v>6642.04</v>
      </c>
      <c r="N11" s="23">
        <f t="shared" si="2"/>
        <v>26859</v>
      </c>
      <c r="O11" s="24">
        <f>SUM(O3:O10)</f>
        <v>589</v>
      </c>
      <c r="P11" s="25">
        <f>SUM(P3:P10)</f>
        <v>33265</v>
      </c>
      <c r="Q11" s="26">
        <f ref="Q11:R11" t="shared" si="3">SUM(Q3:Q10)</f>
        <v>6406</v>
      </c>
      <c r="R11" s="14">
        <f t="shared" si="3"/>
        <v>23225.96</v>
      </c>
      <c r="S11" s="22">
        <f>SUM(S3:S10)</f>
        <v>528</v>
      </c>
      <c r="T11" s="14">
        <f>SUM(T3:T10)</f>
        <v>29868</v>
      </c>
      <c r="U11" s="14">
        <f>SUM(U3:U10)</f>
        <v>6642.04</v>
      </c>
    </row>
  </sheetData>
  <mergeCells count="5">
    <mergeCell ref="B1:E1"/>
    <mergeCell ref="F1:I1"/>
    <mergeCell ref="J1:M1"/>
    <mergeCell ref="N1:Q1"/>
    <mergeCell ref="R1:U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2026-06-01T02:32:31Z</dcterms:created>
  <dcterms:modified xsi:type="dcterms:W3CDTF">2026-06-01T02:32:31Z</dcterms:modified>
</cp:coreProperties>
</file>