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48F42A1-266C-4348-BDFA-C1ED23C82B4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verview" sheetId="1" r:id="rId1"/>
    <sheet name="Pay 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/>
  <c r="A5" i="1"/>
  <c r="B5" i="1"/>
  <c r="B2" i="1"/>
  <c r="C2" i="1"/>
</calcChain>
</file>

<file path=xl/sharedStrings.xml><?xml version="1.0" encoding="utf-8"?>
<sst xmlns="http://schemas.openxmlformats.org/spreadsheetml/2006/main" count="8" uniqueCount="6">
  <si>
    <t>Date</t>
  </si>
  <si>
    <t>Paycheck 1</t>
  </si>
  <si>
    <t>Pay check 2</t>
  </si>
  <si>
    <t>Total Bi Weekly …</t>
  </si>
  <si>
    <t>Total Monthly January</t>
  </si>
  <si>
    <t>Paycheck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</si>
</sst>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[$-409]mmmm\ d\,\ yyyy;@"/>
    <numFmt numFmtId="3" formatCode="&quot;$&quot;#,##0.00"/>
    <numFmt numFmtId="4" formatCode="D-MMM"/>
    <numFmt numFmtId="5" formatCode="YYYY-M-D"/>
  </numFmts>
  <fonts count="3">
    <font>
      <sz val="11"/>
      <color theme="1"/>
      <name val="Arial"/>
      <family val="2"/>
      <scheme val="minor"/>
    </font>
    <font>
      <name val="DengXian"/>
      <sz val="12.00"/>
      <b/>
      <color rgb="FF000000"/>
      <family val="2"/>
    </font>
    <font>
      <name val="DengXian"/>
      <sz val="12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deebf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applyAlignment="1">
      <alignment horizontal="left"/>
    </xf>
    <xf numFmtId="3" applyNumberFormat="1" fontId="2" applyFont="1" fillId="3" applyFill="1" borderId="1" applyBorder="1" applyAlignment="1">
      <alignment horizontal="center"/>
    </xf>
    <xf numFmtId="3" applyNumberFormat="1" fontId="2" applyFont="1" fillId="3" applyFill="1" borderId="2" applyBorder="1" applyAlignment="1">
      <alignment horizontal="center"/>
    </xf>
    <xf numFmtId="1" applyNumberFormat="1" fontId="2" applyFont="1" applyAlignment="1">
      <alignment/>
    </xf>
    <xf numFmtId="3" applyNumberFormat="1" fontId="2" applyFont="1" fillId="3" applyFill="1" borderId="3" applyBorder="1" applyAlignment="1">
      <alignment horizontal="center"/>
    </xf>
    <xf numFmtId="1" applyNumberFormat="1" fontId="1" applyFont="1" fillId="2" applyFill="1" borderId="1" applyBorder="1" applyAlignment="1">
      <alignment horizontal="left"/>
    </xf>
    <xf numFmtId="3" applyNumberFormat="1" fontId="2" applyFont="1" fillId="3" applyFill="1" borderId="1" applyBorder="1" applyAlignment="1">
      <alignment/>
    </xf>
    <xf numFmtId="4" applyNumberFormat="1" fontId="2" applyFont="1" applyAlignment="1">
      <alignment/>
    </xf>
    <xf numFmtId="5" applyNumberFormat="1" fontId="2" applyFont="1" applyAlignment="1">
      <alignment/>
    </xf>
    <xf numFmtId="2" applyNumberFormat="1" fontId="1" applyFont="1" fillId="2" applyFill="1" borderId="1" applyBorder="1" applyAlignment="1">
      <alignment horizontal="left"/>
    </xf>
  </cellStyleXfs>
  <cellXfs count="12">
    <xf numFmtId="0" fontId="0" fillId="0" borderId="0" xfId="0"/>
    <xf xfId="7" quotePrefix="0" pivotButton="0" numFmtId="1" applyNumberFormat="1" fontId="1" applyFont="1" fillId="2" applyFill="1" borderId="1" applyBorder="1" applyAlignment="1">
      <alignment horizontal="left"/>
    </xf>
    <xf xfId="11" quotePrefix="0" pivotButton="0" numFmtId="2" applyNumberFormat="1" fontId="1" applyFont="1" fillId="2" applyFill="1" borderId="1" applyBorder="1" applyAlignment="1">
      <alignment horizontal="left"/>
    </xf>
    <xf xfId="8" quotePrefix="0" pivotButton="0" numFmtId="3" applyNumberFormat="1" fontId="2" applyFont="1" fillId="3" applyFill="1" borderId="1" applyBorder="1" applyAlignment="1">
      <alignment/>
    </xf>
    <xf xfId="2" quotePrefix="0" pivotButton="0" numFmtId="2" applyNumberFormat="1" fontId="1" applyFont="1" applyAlignment="1">
      <alignment horizontal="left"/>
    </xf>
    <xf xfId="3" quotePrefix="0" pivotButton="0" numFmtId="3" applyNumberFormat="1" fontId="2" applyFont="1" fillId="3" applyFill="1" borderId="1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/>
    </xf>
    <xf xfId="4" quotePrefix="0" pivotButton="0" numFmtId="3" applyNumberFormat="1" fontId="2" applyFont="1" fillId="3" applyFill="1" borderId="2" applyBorder="1" applyAlignment="1">
      <alignment horizontal="center"/>
    </xf>
    <xf xfId="6" quotePrefix="0" pivotButton="0" numFmtId="3" applyNumberFormat="1" fontId="2" applyFont="1" fillId="3" applyFill="1" borderId="3" applyBorder="1" applyAlignment="1">
      <alignment horizontal="center"/>
    </xf>
    <xf xfId="10" quotePrefix="0" pivotButton="0" numFmtId="5" applyNumberFormat="1" fontId="2" applyFont="1" applyAlignment="1">
      <alignment/>
    </xf>
    <xf xfId="5" quotePrefix="0" pivotButton="0" numFmtId="1" applyNumberFormat="1" fontId="2" applyFont="1" applyAlignment="1">
      <alignment/>
    </xf>
    <xf xfId="9" quotePrefix="0" pivotButton="0" numFmtId="4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9.38"/>
  <cols>
    <col min="1" max="1" width="40.39" customWidth="1" hidden="0"/>
    <col min="2" max="2" width="12.05" customWidth="1" hidden="0"/>
    <col min="3" max="3" width="13.11" customWidth="1" hidden="0"/>
  </cols>
  <sheetData>
    <row r="1" ht="16.00" customHeight="true">
      <c r="A1" t="s" s="1">
        <v>0</v>
      </c>
      <c r="B1" t="s" s="1">
        <v>1</v>
      </c>
      <c r="C1" t="s" s="1">
        <v>2</v>
      </c>
    </row>
    <row r="2" ht="16.00" customHeight="true">
      <c r="A2" s="2">
        <v>42398</v>
      </c>
      <c r="B2" s="3">
        <f>INDEX('Pay Dates'!$B:$B,MATCH(Overview!$A2,'Pay Dates'!$A:$A,0))</f>
        <v>1000</v>
      </c>
      <c r="C2" s="3">
        <f>INDEX('Pay Dates'!$C:$C,MATCH(Overview!$A2,'Pay Dates'!$A:$A,0))</f>
        <v>1000</v>
      </c>
    </row>
    <row r="3" ht="16.00" customHeight="true">
      <c r="A3" s="4"/>
    </row>
    <row r="4" ht="16.00" customHeight="true">
      <c r="A4" t="s" s="2">
        <v>3</v>
      </c>
      <c r="B4" s="5">
        <f>SUM(B2:C2)</f>
        <v>2000</v>
      </c>
      <c r="C4" s="5"/>
    </row>
    <row r="5" ht="16.00" customHeight="true">
      <c r="A5" s="6" t="s">
        <f>"Total Monthly "&amp;TEXT($A$2,"mmmm")</f>
        <v>4</v>
      </c>
      <c r="B5" s="7">
        <f>SUMIFS('Pay Dates'!$B:$B,'Pay Dates'!$A:$A,"&gt;="&amp;DATE(YEAR($A$2),MONTH($A$2),1),'Pay Dates'!$A:$A,"&lt;"&amp;EDATE(DATE(YEAR($A$2),MONTH($A$2),1),1))+SUMIFS('Pay Dates'!$C:$C,'Pay Dates'!$A:$A,"&gt;="&amp;DATE(YEAR($A$2),MONTH($A$2),1),'Pay Dates'!$A:$A,"&lt;"&amp;EDATE(DATE(YEAR($A$2),MONTH($A$2),1),1))</f>
        <v>4800</v>
      </c>
      <c r="C5" s="8"/>
    </row>
    <row r="6" ht="16.00" customHeight="true">
      <c r="A6" s="9"/>
    </row>
    <row r="7" ht="16.00" customHeight="true">
      <c r="A7" s="9"/>
    </row>
    <row r="8" ht="16.00" customHeight="true">
      <c r="A8" s="9"/>
    </row>
    <row r="11" ht="16.00" customHeight="true">
      <c r="A11" s="9"/>
    </row>
    <row r="12" ht="16.00" customHeight="true">
      <c r="A12" s="9"/>
    </row>
    <row r="13" ht="16.00" customHeight="true">
      <c r="A13" s="9"/>
    </row>
    <row r="14" ht="16.00" customHeight="true">
      <c r="A14" s="9"/>
    </row>
    <row r="15" ht="16.00" customHeight="true">
      <c r="A15" s="9"/>
    </row>
    <row r="16" ht="16.00" customHeight="true">
      <c r="A16" s="9"/>
    </row>
    <row r="17" ht="16.00" customHeight="true">
      <c r="A17" s="9"/>
    </row>
    <row r="18" ht="16.00" customHeight="true">
      <c r="A18" s="9"/>
    </row>
    <row r="19" ht="16.00" customHeight="true">
      <c r="A19" s="9"/>
    </row>
    <row r="20" ht="16.00" customHeight="true">
      <c r="A20" s="9"/>
    </row>
    <row r="21" ht="16.00" customHeight="true">
      <c r="A21" s="9"/>
    </row>
    <row r="22" ht="16.00" customHeight="true">
      <c r="A22" s="9"/>
    </row>
    <row r="23" ht="16.00" customHeight="true">
      <c r="A23" s="9"/>
    </row>
    <row r="24" ht="16.00" customHeight="true">
      <c r="A24" s="9"/>
    </row>
    <row r="25" ht="16.00" customHeight="true">
      <c r="A25" s="9"/>
    </row>
    <row r="26" ht="16.00" customHeight="true">
      <c r="A26" s="9"/>
    </row>
    <row r="27" ht="16.00" customHeight="true">
      <c r="A27" s="9"/>
    </row>
  </sheetData>
  <mergeCells count="2">
    <mergeCell ref="B4:C4"/>
    <mergeCell ref="B5:C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9.38"/>
  <sheetData>
    <row r="1" ht="16.00" customHeight="true">
      <c r="A1" t="s" s="10">
        <v>0</v>
      </c>
      <c r="B1" t="s" s="10">
        <v>1</v>
      </c>
      <c r="C1" t="s" s="10">
        <v>5</v>
      </c>
    </row>
    <row r="2" ht="16.00" customHeight="true">
      <c r="A2" s="11">
        <v>42370</v>
      </c>
      <c r="B2" s="10">
        <v>800</v>
      </c>
      <c r="C2" s="10">
        <v>500</v>
      </c>
    </row>
    <row r="3" ht="16.00" customHeight="true">
      <c r="A3" s="11">
        <v>42384</v>
      </c>
      <c r="B3" s="10">
        <v>900</v>
      </c>
      <c r="C3" s="10">
        <v>600</v>
      </c>
    </row>
    <row r="4" ht="16.00" customHeight="true">
      <c r="A4" s="11">
        <v>42398</v>
      </c>
      <c r="B4" s="10">
        <v>1000</v>
      </c>
      <c r="C4" s="10">
        <v>1000</v>
      </c>
    </row>
    <row r="5" ht="16.00" customHeight="true">
      <c r="A5" s="11">
        <v>42412</v>
      </c>
      <c r="B5" s="10">
        <v>1500</v>
      </c>
      <c r="C5" s="10">
        <v>800</v>
      </c>
    </row>
    <row r="6" ht="16.00" customHeight="true">
      <c r="A6" s="11">
        <v>42426</v>
      </c>
      <c r="B6" s="10">
        <v>2000</v>
      </c>
      <c r="C6" s="10">
        <v>500</v>
      </c>
    </row>
    <row r="7" ht="16.00" customHeight="true">
      <c r="A7" s="11">
        <v>42440</v>
      </c>
      <c r="B7" s="10">
        <v>900</v>
      </c>
      <c r="C7" s="10">
        <v>1000</v>
      </c>
    </row>
    <row r="8" ht="16.00" customHeight="true">
      <c r="A8" s="11">
        <v>42454</v>
      </c>
      <c r="B8" s="10">
        <v>800</v>
      </c>
      <c r="C8" s="10">
        <v>500</v>
      </c>
    </row>
    <row r="9" ht="16.00" customHeight="true">
      <c r="A9" s="11">
        <v>42468</v>
      </c>
      <c r="B9" s="10">
        <v>900</v>
      </c>
      <c r="C9" s="10">
        <v>600</v>
      </c>
    </row>
    <row r="10" ht="16.00" customHeight="true">
      <c r="A10" s="11">
        <v>42482</v>
      </c>
      <c r="B10" s="10">
        <v>1000</v>
      </c>
      <c r="C10" s="10">
        <v>1000</v>
      </c>
    </row>
    <row r="11" ht="16.00" customHeight="true">
      <c r="A11" s="11">
        <v>42496</v>
      </c>
      <c r="B11" s="10">
        <v>1500</v>
      </c>
      <c r="C11" s="10">
        <v>800</v>
      </c>
    </row>
    <row r="12" ht="16.00" customHeight="true">
      <c r="A12" s="11">
        <v>42510</v>
      </c>
      <c r="B12" s="10">
        <v>2000</v>
      </c>
      <c r="C12" s="10">
        <v>500</v>
      </c>
    </row>
    <row r="13" ht="16.00" customHeight="true">
      <c r="A13" s="11">
        <v>42524</v>
      </c>
      <c r="B13" s="10">
        <v>900</v>
      </c>
      <c r="C13" s="10">
        <v>1000</v>
      </c>
    </row>
    <row r="14" ht="16.00" customHeight="true">
      <c r="A14" s="11">
        <v>42538</v>
      </c>
      <c r="B14" s="10">
        <v>800</v>
      </c>
      <c r="C14" s="10">
        <v>500</v>
      </c>
    </row>
    <row r="15" ht="16.00" customHeight="true">
      <c r="A15" s="11">
        <v>42552</v>
      </c>
      <c r="B15" s="10">
        <v>900</v>
      </c>
      <c r="C15" s="10">
        <v>600</v>
      </c>
    </row>
    <row r="16" ht="16.00" customHeight="true">
      <c r="A16" s="11">
        <v>42566</v>
      </c>
      <c r="B16" s="10">
        <v>1000</v>
      </c>
      <c r="C16" s="10">
        <v>1000</v>
      </c>
    </row>
    <row r="17" ht="16.00" customHeight="true">
      <c r="A17" s="11">
        <v>42580</v>
      </c>
      <c r="B17" s="10">
        <v>1500</v>
      </c>
      <c r="C17" s="10">
        <v>800</v>
      </c>
    </row>
    <row r="18" ht="16.00" customHeight="true">
      <c r="A18" s="11">
        <v>42594</v>
      </c>
      <c r="B18" s="10">
        <v>2000</v>
      </c>
      <c r="C18" s="10">
        <v>500</v>
      </c>
    </row>
    <row r="19" ht="16.00" customHeight="true">
      <c r="A19" s="11">
        <v>42608</v>
      </c>
      <c r="B19" s="10">
        <v>900</v>
      </c>
      <c r="C19" s="10">
        <v>1000</v>
      </c>
    </row>
    <row r="20" ht="16.00" customHeight="true">
      <c r="A20" s="11">
        <v>42622</v>
      </c>
      <c r="B20" s="10">
        <v>800</v>
      </c>
      <c r="C20" s="10">
        <v>500</v>
      </c>
    </row>
    <row r="21" ht="16.00" customHeight="true">
      <c r="A21" s="11">
        <v>42636</v>
      </c>
      <c r="B21" s="10">
        <v>900</v>
      </c>
      <c r="C21" s="10">
        <v>600</v>
      </c>
    </row>
    <row r="22" ht="16.00" customHeight="true">
      <c r="A22" s="11">
        <v>42650</v>
      </c>
      <c r="B22" s="10">
        <v>1000</v>
      </c>
      <c r="C22" s="10">
        <v>1000</v>
      </c>
    </row>
    <row r="23" ht="16.00" customHeight="true">
      <c r="A23" s="11">
        <v>42678</v>
      </c>
      <c r="B23" s="10">
        <v>1500</v>
      </c>
      <c r="C23" s="10">
        <v>800</v>
      </c>
    </row>
    <row r="24" ht="16.00" customHeight="true">
      <c r="A24" s="11">
        <v>42692</v>
      </c>
      <c r="B24" s="10">
        <v>2000</v>
      </c>
      <c r="C24" s="10">
        <v>500</v>
      </c>
    </row>
    <row r="25" ht="16.00" customHeight="true">
      <c r="A25" s="11">
        <v>42706</v>
      </c>
      <c r="B25" s="10">
        <v>900</v>
      </c>
      <c r="C25" s="10">
        <v>1000</v>
      </c>
    </row>
    <row r="26" ht="16.00" customHeight="true">
      <c r="A26" s="11">
        <v>42720</v>
      </c>
      <c r="B26" s="10">
        <v>500</v>
      </c>
      <c r="C26" s="10">
        <v>900</v>
      </c>
    </row>
    <row r="27" ht="16.00" customHeight="true">
      <c r="A27" s="11">
        <v>42734</v>
      </c>
      <c r="B27" s="10">
        <v>1000</v>
      </c>
      <c r="C27" s="10">
        <v>5000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Overview</vt:lpstr>
      <vt:lpstr>Pay Dates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2026-05-31T21:32:06Z</dcterms:created>
  <dcterms:modified xsi:type="dcterms:W3CDTF">2026-05-31T21:32:06Z</dcterms:modified>
</cp:coreProperties>
</file>